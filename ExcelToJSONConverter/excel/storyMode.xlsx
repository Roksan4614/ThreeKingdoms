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AD2F19E0-9430-43A8-A23D-4AFEC648C6C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6" l="1"/>
  <c r="J27" i="6" s="1"/>
  <c r="J28" i="6" s="1"/>
  <c r="J30" i="6" s="1"/>
  <c r="J32" i="6" s="1"/>
  <c r="J14" i="6"/>
  <c r="J16" i="6" s="1"/>
  <c r="J17" i="6" s="1"/>
  <c r="J18" i="6" s="1"/>
  <c r="J19" i="6" s="1"/>
  <c r="J20" i="6" s="1"/>
  <c r="J21" i="6" s="1"/>
  <c r="J22" i="6" s="1"/>
  <c r="J4" i="6"/>
  <c r="J5" i="6" s="1"/>
  <c r="J6" i="6" s="1"/>
  <c r="J7" i="6" s="1"/>
  <c r="J8" i="6" s="1"/>
  <c r="J9" i="6" s="1"/>
  <c r="J10" i="6" s="1"/>
  <c r="J11" i="6" s="1"/>
  <c r="J12" i="6" s="1"/>
  <c r="D30" i="6"/>
  <c r="D36" i="6"/>
  <c r="D35" i="6"/>
  <c r="D34" i="6"/>
  <c r="D33" i="6"/>
  <c r="D32" i="6"/>
  <c r="D31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<sst xmlns="http://schemas.openxmlformats.org/spreadsheetml/2006/main" count="292" uniqueCount="175">
  <si>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</si>
  <si>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</si>
  <si>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</si>
  <si>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</si>
  <si>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</si>
  <si>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</si>
  <si>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</si>
  <si>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</si>
  <si>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</si>
  <si>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</si>
  <si>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</si>
  <si>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</si>
  <si>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</si>
  <si>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</si>
  <si>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</si>
  <si>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</si>
  <si>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</si>
  <si>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</si>
  <si>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</si>
  <si>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</si>
  <si>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</si>
  <si>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</si>
  <si>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</si>
  <si>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</si>
  <si>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</si>
  <si>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</si>
  <si>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</si>
  <si>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</si>
  <si>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</si>
  <si>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</si>
  <si>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</si>
  <si>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</si>
  <si>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</si>
  <si>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</si>
  <si>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</si>
  <si>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</si>
  <si>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</si>
  <si>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</si>
  <si>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</si>
  <si>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</si>
  <si>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</si>
  <si>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</si>
  <si>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</si>
  <si>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</si>
  <si>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</si>
  <si>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</si>
  <si>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</si>
  <si>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</si>
  <si>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</si>
  <si>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</si>
  <si>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</si>
  <si>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</si>
  <si>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</si>
  <si>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</si>
  <si>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</si>
  <si>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</si>
  <si>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</si>
  <si>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</si>
  <si>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</si>
  <si>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</si>
  <si>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</si>
  <si>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</si>
  <si>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</si>
  <si>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</si>
  <si>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</si>
  <si>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</si>
  <si>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</si>
  <si>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</si>
  <si>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</si>
  <si>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</si>
  <si>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</si>
  <si>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</si>
  <si>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</si>
  <si>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</si>
  <si>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</si>
  <si>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</si>
  <si>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</si>
  <si>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</si>
  <si>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</si>
  <si>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</si>
  <si>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</si>
  <si>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</si>
  <si>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</si>
  <si>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</si>
  <si>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</si>
  <si>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</si>
  <si>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</si>
  <si>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</si>
  <si>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</si>
  <si>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</si>
  <si>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</si>
  <si>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</si>
  <si>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</si>
  <si>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</si>
  <si>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</si>
  <si>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</si>
  <si>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</si>
  <si>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</si>
  <si>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</si>
  <si>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</si>
  <si>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</si>
  <si>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</si>
  <si>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</si>
  <si>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</si>
  <si>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</si>
  <si>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</si>
  <si>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</si>
  <si>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</si>
  <si>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</si>
  <si>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</si>
  <si>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</si>
  <si>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</si>
  <si>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</si>
  <si>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</si>
  <si>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</si>
  <si>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</si>
  <si>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</si>
  <si>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</si>
  <si>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</si>
  <si>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</si>
  <si>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</si>
  <si>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</si>
  <si>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</si>
  <si>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</si>
  <si>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</si>
  <si>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</si>
  <si>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</si>
  <si>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</si>
  <si>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</si>
  <si>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</si>
  <si>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</si>
  <si>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</si>
  <si>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</si>
  <si>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</si>
  <si>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</si>
  <si>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</si>
  <si>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</si>
  <si>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</si>
  <si>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</si>
  <si>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</si>
  <si>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</si>
  <si>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</si>
  <si>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</si>
  <si>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</si>
  <si>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</si>
  <si>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</si>
  <si>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</si>
  <si>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</si>
  <si>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</si>
  <si>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</si>
  <si>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</si>
  <si>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</si>
  <si>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</si>
  <si>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</si>
  <si>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</si>
  <si>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</si>
  <si>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</si>
  <si>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</si>
  <si>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</si>
  <si>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</si>
  <si>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</si>
  <si>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</si>
  <si>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</si>
  <si>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</si>
  <si>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</si>
  <si>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</si>
  <si>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</si>
  <si>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</si>
  <si>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</si>
  <si>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</si>
  <si>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</si>
  <si>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</si>
  <si>
    <t>reward_currency_type</t>
  </si>
  <si>
    <t>reward_currency_amount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</si>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</sst>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I13" sqref="I1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T36"/>
  <sheetViews>
    <sheetView tabSelected="1" topLeftCell="H16" workbookViewId="0">
      <selection activeCell="P40" sqref="P40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4.25" style="1" bestFit="1" customWidth="1"/>
    <col min="7" max="8" width="7.25" style="1" customWidth="1"/>
    <col min="9" max="9" width="12.5" style="1" bestFit="1" customWidth="1"/>
    <col min="10" max="10" width="10.375" bestFit="1" customWidth="1"/>
    <col min="11" max="11" width="14.125" bestFit="1" customWidth="1"/>
    <col min="12" max="12" width="12.375" bestFit="1" customWidth="1"/>
    <col min="13" max="13" width="20.125" style="17" bestFit="1" customWidth="1"/>
    <col min="14" max="14" width="23" style="17" bestFit="1" customWidth="1"/>
    <col min="15" max="15" width="17.75" bestFit="1" customWidth="1"/>
    <col min="16" max="16" width="25.25" bestFit="1" customWidth="1"/>
    <col min="17" max="17" width="21.375" bestFit="1" customWidth="1"/>
    <col min="18" max="18" width="9.375" style="17" bestFit="1" customWidth="1"/>
    <col min="19" max="19" width="11.25" bestFit="1" customWidth="1"/>
    <col min="20" max="20" width="17.5" style="7" bestFit="1" customWidth="1"/>
  </cols>
  <sheetData>
    <row r="1" spans="1:20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154</v>
      </c>
      <c r="G1" s="3" t="s">
        <v>171</v>
      </c>
      <c r="H1" s="3" t="s">
        <v>171</v>
      </c>
      <c r="I1" s="3" t="s">
        <v>38</v>
      </c>
      <c r="J1" s="3" t="s">
        <v>39</v>
      </c>
      <c r="K1" s="3" t="s">
        <v>40</v>
      </c>
      <c r="L1" s="3" t="s">
        <v>41</v>
      </c>
      <c r="M1" s="15" t="s">
        <v>172</v>
      </c>
      <c r="N1" s="15" t="s">
        <v>173</v>
      </c>
      <c r="O1" s="3" t="s">
        <v>42</v>
      </c>
      <c r="P1" s="3" t="s">
        <v>43</v>
      </c>
      <c r="Q1" s="3" t="s">
        <v>44</v>
      </c>
      <c r="R1" s="3" t="s">
        <v>45</v>
      </c>
      <c r="S1" s="3" t="s">
        <v>46</v>
      </c>
      <c r="T1" s="5" t="s">
        <v>80</v>
      </c>
    </row>
    <row r="2" spans="1:20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0</v>
      </c>
      <c r="G2" s="3" t="s">
        <v>37</v>
      </c>
      <c r="H2" s="3" t="s">
        <v>37</v>
      </c>
      <c r="I2" s="3" t="s">
        <v>37</v>
      </c>
      <c r="J2" s="3" t="s">
        <v>37</v>
      </c>
      <c r="K2" s="3" t="s">
        <v>1</v>
      </c>
      <c r="L2" s="3" t="s">
        <v>1</v>
      </c>
      <c r="M2" s="15" t="s">
        <v>0</v>
      </c>
      <c r="N2" s="15" t="s">
        <v>37</v>
      </c>
      <c r="O2" s="3" t="s">
        <v>0</v>
      </c>
      <c r="P2" s="3" t="s">
        <v>47</v>
      </c>
      <c r="Q2" s="3" t="s">
        <v>37</v>
      </c>
      <c r="R2" s="3" t="s">
        <v>1</v>
      </c>
      <c r="S2" s="3" t="s">
        <v>37</v>
      </c>
      <c r="T2" s="5" t="s">
        <v>0</v>
      </c>
    </row>
    <row r="3" spans="1:20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/>
      <c r="G3" s="2">
        <v>1</v>
      </c>
      <c r="H3" s="2">
        <v>10</v>
      </c>
      <c r="I3" s="2">
        <v>1</v>
      </c>
      <c r="J3" s="2">
        <v>1</v>
      </c>
      <c r="K3" s="4"/>
      <c r="L3" s="14"/>
      <c r="M3" s="16" t="s">
        <v>174</v>
      </c>
      <c r="N3" s="16">
        <v>500</v>
      </c>
      <c r="O3" s="14"/>
      <c r="P3" s="4"/>
      <c r="Q3" s="4"/>
      <c r="R3" s="2"/>
      <c r="S3" s="2">
        <v>1</v>
      </c>
      <c r="T3" s="6"/>
    </row>
    <row r="4" spans="1:20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 t="s">
        <v>155</v>
      </c>
      <c r="G4" s="2">
        <v>1</v>
      </c>
      <c r="H4" s="2">
        <v>10</v>
      </c>
      <c r="I4" s="2">
        <v>1</v>
      </c>
      <c r="J4" s="2">
        <f t="shared" ref="J4:J12" si="0">J3+1</f>
        <v>2</v>
      </c>
      <c r="K4" s="4"/>
      <c r="L4" s="4"/>
      <c r="M4" s="2"/>
      <c r="N4" s="2"/>
      <c r="O4" s="2" t="s">
        <v>48</v>
      </c>
      <c r="P4" s="2" t="s">
        <v>49</v>
      </c>
      <c r="Q4" s="4"/>
      <c r="R4" s="2">
        <v>1</v>
      </c>
      <c r="S4" s="2">
        <v>2</v>
      </c>
      <c r="T4" s="6"/>
    </row>
    <row r="5" spans="1:20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/>
      <c r="G5" s="2">
        <v>2</v>
      </c>
      <c r="H5" s="2">
        <v>5</v>
      </c>
      <c r="I5" s="2">
        <v>1</v>
      </c>
      <c r="J5" s="2">
        <f t="shared" si="0"/>
        <v>3</v>
      </c>
      <c r="K5" s="4"/>
      <c r="L5" s="4"/>
      <c r="M5" s="2" t="s">
        <v>174</v>
      </c>
      <c r="N5" s="2">
        <v>500</v>
      </c>
      <c r="O5" s="4"/>
      <c r="P5" s="4"/>
      <c r="Q5" s="4"/>
      <c r="R5" s="2"/>
      <c r="S5" s="2">
        <v>3</v>
      </c>
      <c r="T5" s="6"/>
    </row>
    <row r="6" spans="1:20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13" t="s">
        <v>156</v>
      </c>
      <c r="G6" s="2">
        <v>2</v>
      </c>
      <c r="H6" s="2">
        <v>10</v>
      </c>
      <c r="I6" s="2">
        <v>1</v>
      </c>
      <c r="J6" s="2">
        <f t="shared" si="0"/>
        <v>4</v>
      </c>
      <c r="K6" s="4"/>
      <c r="L6" s="4"/>
      <c r="M6" s="2"/>
      <c r="N6" s="2"/>
      <c r="O6" s="2" t="s">
        <v>50</v>
      </c>
      <c r="P6" s="2" t="s">
        <v>51</v>
      </c>
      <c r="Q6" s="4"/>
      <c r="R6" s="2">
        <v>1</v>
      </c>
      <c r="S6" s="2">
        <v>4</v>
      </c>
      <c r="T6" s="6"/>
    </row>
    <row r="7" spans="1:20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13" t="s">
        <v>157</v>
      </c>
      <c r="G7" s="2">
        <v>2</v>
      </c>
      <c r="H7" s="2">
        <v>10</v>
      </c>
      <c r="I7" s="2">
        <v>1</v>
      </c>
      <c r="J7" s="2">
        <f t="shared" si="0"/>
        <v>5</v>
      </c>
      <c r="K7" s="4"/>
      <c r="L7" s="4"/>
      <c r="M7" s="2"/>
      <c r="N7" s="2"/>
      <c r="O7" s="2" t="s">
        <v>52</v>
      </c>
      <c r="P7" s="2" t="s">
        <v>53</v>
      </c>
      <c r="Q7" s="4"/>
      <c r="R7" s="2">
        <v>1</v>
      </c>
      <c r="S7" s="2">
        <v>5</v>
      </c>
      <c r="T7" s="6"/>
    </row>
    <row r="8" spans="1:20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13" t="s">
        <v>158</v>
      </c>
      <c r="G8" s="2">
        <v>3</v>
      </c>
      <c r="H8" s="2">
        <v>1</v>
      </c>
      <c r="I8" s="2">
        <v>1</v>
      </c>
      <c r="J8" s="2">
        <f t="shared" si="0"/>
        <v>6</v>
      </c>
      <c r="K8" s="4"/>
      <c r="L8" s="4"/>
      <c r="M8" s="2" t="s">
        <v>174</v>
      </c>
      <c r="N8" s="2">
        <v>500</v>
      </c>
      <c r="O8" s="4"/>
      <c r="P8" s="4"/>
      <c r="Q8" s="4"/>
      <c r="R8" s="2"/>
      <c r="S8" s="2">
        <v>6</v>
      </c>
      <c r="T8" s="6"/>
    </row>
    <row r="9" spans="1:20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 t="s">
        <v>159</v>
      </c>
      <c r="G9" s="2">
        <v>3</v>
      </c>
      <c r="H9" s="2">
        <v>1</v>
      </c>
      <c r="I9" s="2">
        <v>1</v>
      </c>
      <c r="J9" s="2">
        <f t="shared" si="0"/>
        <v>7</v>
      </c>
      <c r="K9" s="4"/>
      <c r="L9" s="4"/>
      <c r="M9" s="2"/>
      <c r="N9" s="2"/>
      <c r="O9" s="2" t="s">
        <v>54</v>
      </c>
      <c r="P9" s="2" t="s">
        <v>55</v>
      </c>
      <c r="Q9" s="4"/>
      <c r="R9" s="2"/>
      <c r="S9" s="2">
        <v>7</v>
      </c>
      <c r="T9" s="6"/>
    </row>
    <row r="10" spans="1:20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13" t="s">
        <v>160</v>
      </c>
      <c r="G10" s="2">
        <v>4</v>
      </c>
      <c r="H10" s="2">
        <v>1</v>
      </c>
      <c r="I10" s="2">
        <v>1</v>
      </c>
      <c r="J10" s="2">
        <f t="shared" si="0"/>
        <v>8</v>
      </c>
      <c r="K10" s="4"/>
      <c r="L10" s="4"/>
      <c r="M10" s="2" t="s">
        <v>174</v>
      </c>
      <c r="N10" s="2">
        <v>500</v>
      </c>
      <c r="O10" s="4"/>
      <c r="P10" s="4"/>
      <c r="Q10" s="4"/>
      <c r="R10" s="2"/>
      <c r="S10" s="2">
        <v>8</v>
      </c>
      <c r="T10" s="6"/>
    </row>
    <row r="11" spans="1:20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13" t="s">
        <v>161</v>
      </c>
      <c r="G11" s="2">
        <v>4</v>
      </c>
      <c r="H11" s="2">
        <v>5</v>
      </c>
      <c r="I11" s="2">
        <v>1</v>
      </c>
      <c r="J11" s="2">
        <f t="shared" si="0"/>
        <v>9</v>
      </c>
      <c r="K11" s="4"/>
      <c r="L11" s="4"/>
      <c r="M11" s="2"/>
      <c r="N11" s="2"/>
      <c r="O11" s="2" t="s">
        <v>56</v>
      </c>
      <c r="P11" s="2" t="s">
        <v>57</v>
      </c>
      <c r="Q11" s="4"/>
      <c r="R11" s="2">
        <v>1</v>
      </c>
      <c r="S11" s="2">
        <v>9</v>
      </c>
      <c r="T11" s="6"/>
    </row>
    <row r="12" spans="1:20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13" t="s">
        <v>162</v>
      </c>
      <c r="G12" s="2">
        <v>4</v>
      </c>
      <c r="H12" s="2">
        <v>5</v>
      </c>
      <c r="I12" s="2">
        <v>1</v>
      </c>
      <c r="J12" s="2">
        <f t="shared" si="0"/>
        <v>10</v>
      </c>
      <c r="K12" s="4"/>
      <c r="L12" s="4"/>
      <c r="M12" s="2"/>
      <c r="N12" s="2"/>
      <c r="O12" s="2" t="s">
        <v>58</v>
      </c>
      <c r="P12" s="2" t="s">
        <v>59</v>
      </c>
      <c r="Q12" s="4"/>
      <c r="R12" s="2">
        <v>1</v>
      </c>
      <c r="S12" s="2">
        <v>10</v>
      </c>
      <c r="T12" s="6"/>
    </row>
    <row r="13" spans="1:20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13" t="s">
        <v>158</v>
      </c>
      <c r="G13" s="2">
        <v>4</v>
      </c>
      <c r="H13" s="2">
        <v>5</v>
      </c>
      <c r="I13" s="2">
        <v>2</v>
      </c>
      <c r="J13" s="2">
        <v>1</v>
      </c>
      <c r="K13" s="4"/>
      <c r="L13" s="4"/>
      <c r="M13" s="2" t="s">
        <v>174</v>
      </c>
      <c r="N13" s="2">
        <v>500</v>
      </c>
      <c r="O13" s="4"/>
      <c r="P13" s="4"/>
      <c r="Q13" s="4"/>
      <c r="R13" s="2"/>
      <c r="S13" s="2">
        <v>11</v>
      </c>
      <c r="T13" s="6"/>
    </row>
    <row r="14" spans="1:20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13" t="s">
        <v>160</v>
      </c>
      <c r="G14" s="2">
        <v>4</v>
      </c>
      <c r="H14" s="2">
        <v>5</v>
      </c>
      <c r="I14" s="2">
        <v>2</v>
      </c>
      <c r="J14" s="2">
        <f t="shared" ref="J14:J22" si="1">J13+1</f>
        <v>2</v>
      </c>
      <c r="K14" s="4"/>
      <c r="L14" s="4"/>
      <c r="M14" s="2" t="s">
        <v>174</v>
      </c>
      <c r="N14" s="2">
        <v>500</v>
      </c>
      <c r="O14" s="4"/>
      <c r="P14" s="4"/>
      <c r="Q14" s="4"/>
      <c r="R14" s="2"/>
      <c r="S14" s="2">
        <v>12</v>
      </c>
      <c r="T14" s="6"/>
    </row>
    <row r="15" spans="1:20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13" t="s">
        <v>160</v>
      </c>
      <c r="G15" s="2">
        <v>4</v>
      </c>
      <c r="H15" s="2">
        <v>5</v>
      </c>
      <c r="I15" s="2">
        <v>2</v>
      </c>
      <c r="J15" s="2">
        <v>2</v>
      </c>
      <c r="K15" s="2">
        <v>1</v>
      </c>
      <c r="L15" s="4"/>
      <c r="M15" s="2"/>
      <c r="N15" s="2"/>
      <c r="O15" s="2" t="s">
        <v>60</v>
      </c>
      <c r="P15" s="2" t="s">
        <v>61</v>
      </c>
      <c r="Q15" s="2">
        <v>2</v>
      </c>
      <c r="R15" s="2"/>
      <c r="S15" s="2">
        <v>12</v>
      </c>
      <c r="T15" s="6"/>
    </row>
    <row r="16" spans="1:20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/>
      <c r="G16" s="2">
        <v>6</v>
      </c>
      <c r="H16" s="2">
        <v>10</v>
      </c>
      <c r="I16" s="2">
        <v>2</v>
      </c>
      <c r="J16" s="2">
        <f t="shared" si="1"/>
        <v>3</v>
      </c>
      <c r="K16" s="4"/>
      <c r="L16" s="4"/>
      <c r="M16" s="2"/>
      <c r="N16" s="2"/>
      <c r="O16" s="2" t="s">
        <v>62</v>
      </c>
      <c r="P16" s="2" t="s">
        <v>63</v>
      </c>
      <c r="Q16" s="4"/>
      <c r="R16" s="2">
        <v>1</v>
      </c>
      <c r="S16" s="2">
        <v>13</v>
      </c>
      <c r="T16" s="6"/>
    </row>
    <row r="17" spans="1:20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13" t="s">
        <v>159</v>
      </c>
      <c r="G17" s="2">
        <v>7</v>
      </c>
      <c r="H17" s="2">
        <v>1</v>
      </c>
      <c r="I17" s="2">
        <v>2</v>
      </c>
      <c r="J17" s="2">
        <f t="shared" si="1"/>
        <v>4</v>
      </c>
      <c r="K17" s="4"/>
      <c r="L17" s="4"/>
      <c r="M17" s="2" t="s">
        <v>174</v>
      </c>
      <c r="N17" s="2">
        <v>500</v>
      </c>
      <c r="O17" s="4"/>
      <c r="P17" s="4"/>
      <c r="Q17" s="4"/>
      <c r="R17" s="2"/>
      <c r="S17" s="2">
        <v>14</v>
      </c>
      <c r="T17" s="6"/>
    </row>
    <row r="18" spans="1:20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13" t="s">
        <v>163</v>
      </c>
      <c r="G18" s="2">
        <v>7</v>
      </c>
      <c r="H18" s="2">
        <v>1</v>
      </c>
      <c r="I18" s="2">
        <v>2</v>
      </c>
      <c r="J18" s="2">
        <f t="shared" si="1"/>
        <v>5</v>
      </c>
      <c r="K18" s="2">
        <v>1</v>
      </c>
      <c r="L18" s="4"/>
      <c r="M18" s="2" t="s">
        <v>174</v>
      </c>
      <c r="N18" s="2">
        <v>500</v>
      </c>
      <c r="O18" s="4"/>
      <c r="P18" s="4"/>
      <c r="Q18" s="4"/>
      <c r="R18" s="2"/>
      <c r="S18" s="2">
        <v>15</v>
      </c>
      <c r="T18" s="6"/>
    </row>
    <row r="19" spans="1:20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13" t="s">
        <v>164</v>
      </c>
      <c r="G19" s="2">
        <v>7</v>
      </c>
      <c r="H19" s="2">
        <v>5</v>
      </c>
      <c r="I19" s="2">
        <v>2</v>
      </c>
      <c r="J19" s="2">
        <f t="shared" si="1"/>
        <v>6</v>
      </c>
      <c r="K19" s="4"/>
      <c r="L19" s="2">
        <v>2</v>
      </c>
      <c r="M19" s="2" t="s">
        <v>174</v>
      </c>
      <c r="N19" s="2">
        <v>500</v>
      </c>
      <c r="O19" s="4"/>
      <c r="P19" s="4"/>
      <c r="Q19" s="4"/>
      <c r="R19" s="2">
        <v>1</v>
      </c>
      <c r="S19" s="2">
        <v>16</v>
      </c>
      <c r="T19" s="6" t="s">
        <v>77</v>
      </c>
    </row>
    <row r="20" spans="1:20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13" t="s">
        <v>165</v>
      </c>
      <c r="G20" s="2">
        <v>7</v>
      </c>
      <c r="H20" s="2">
        <v>5</v>
      </c>
      <c r="I20" s="2">
        <v>2</v>
      </c>
      <c r="J20" s="2">
        <f t="shared" si="1"/>
        <v>7</v>
      </c>
      <c r="K20" s="4"/>
      <c r="L20" s="4"/>
      <c r="M20" s="2"/>
      <c r="N20" s="2"/>
      <c r="O20" s="2" t="s">
        <v>64</v>
      </c>
      <c r="P20" s="2" t="s">
        <v>65</v>
      </c>
      <c r="Q20" s="4"/>
      <c r="R20" s="2">
        <v>1</v>
      </c>
      <c r="S20" s="2">
        <v>17</v>
      </c>
      <c r="T20" s="6"/>
    </row>
    <row r="21" spans="1:20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13" t="s">
        <v>166</v>
      </c>
      <c r="G21" s="2">
        <v>7</v>
      </c>
      <c r="H21" s="2">
        <v>5</v>
      </c>
      <c r="I21" s="2">
        <v>2</v>
      </c>
      <c r="J21" s="2">
        <f t="shared" si="1"/>
        <v>8</v>
      </c>
      <c r="K21" s="4"/>
      <c r="L21" s="4"/>
      <c r="M21" s="2"/>
      <c r="N21" s="2"/>
      <c r="O21" s="2" t="s">
        <v>66</v>
      </c>
      <c r="P21" s="2" t="s">
        <v>67</v>
      </c>
      <c r="Q21" s="4"/>
      <c r="R21" s="2">
        <v>1</v>
      </c>
      <c r="S21" s="2">
        <v>18</v>
      </c>
      <c r="T21" s="6"/>
    </row>
    <row r="22" spans="1:20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13" t="s">
        <v>158</v>
      </c>
      <c r="G22" s="2">
        <v>7</v>
      </c>
      <c r="H22" s="2">
        <v>10</v>
      </c>
      <c r="I22" s="2">
        <v>2</v>
      </c>
      <c r="J22" s="2">
        <f t="shared" si="1"/>
        <v>9</v>
      </c>
      <c r="K22" s="4"/>
      <c r="L22" s="4"/>
      <c r="M22" s="2" t="s">
        <v>174</v>
      </c>
      <c r="N22" s="2">
        <v>500</v>
      </c>
      <c r="O22" s="4"/>
      <c r="P22" s="4"/>
      <c r="Q22" s="4"/>
      <c r="R22" s="2"/>
      <c r="S22" s="2">
        <v>19</v>
      </c>
      <c r="T22" s="6"/>
    </row>
    <row r="23" spans="1:20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13" t="s">
        <v>167</v>
      </c>
      <c r="G23" s="2">
        <v>7</v>
      </c>
      <c r="H23" s="2">
        <v>10</v>
      </c>
      <c r="I23" s="2">
        <v>2</v>
      </c>
      <c r="J23" s="2">
        <v>9</v>
      </c>
      <c r="K23" s="2">
        <v>1</v>
      </c>
      <c r="L23" s="4"/>
      <c r="M23" s="2"/>
      <c r="N23" s="2"/>
      <c r="O23" s="2" t="s">
        <v>68</v>
      </c>
      <c r="P23" s="2" t="s">
        <v>69</v>
      </c>
      <c r="Q23" s="2">
        <v>2</v>
      </c>
      <c r="R23" s="2"/>
      <c r="S23" s="2">
        <v>19</v>
      </c>
      <c r="T23" s="6"/>
    </row>
    <row r="24" spans="1:20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13" t="s">
        <v>163</v>
      </c>
      <c r="G24" s="2">
        <v>8</v>
      </c>
      <c r="H24" s="2">
        <v>5</v>
      </c>
      <c r="I24" s="2">
        <v>3</v>
      </c>
      <c r="J24" s="2">
        <v>1</v>
      </c>
      <c r="K24" s="4"/>
      <c r="L24" s="4"/>
      <c r="M24" s="2"/>
      <c r="N24" s="2"/>
      <c r="O24" s="2" t="s">
        <v>70</v>
      </c>
      <c r="P24" s="2" t="s">
        <v>71</v>
      </c>
      <c r="Q24" s="4"/>
      <c r="R24" s="2">
        <v>1</v>
      </c>
      <c r="S24" s="2">
        <v>20</v>
      </c>
      <c r="T24" s="6"/>
    </row>
    <row r="25" spans="1:20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13" t="s">
        <v>166</v>
      </c>
      <c r="G25" s="2">
        <v>9</v>
      </c>
      <c r="H25" s="2">
        <v>5</v>
      </c>
      <c r="I25" s="2">
        <v>3</v>
      </c>
      <c r="J25" s="2">
        <f t="shared" ref="J25:J32" si="2">J24+1</f>
        <v>2</v>
      </c>
      <c r="K25" s="4"/>
      <c r="L25" s="4"/>
      <c r="M25" s="2" t="s">
        <v>174</v>
      </c>
      <c r="N25" s="2">
        <v>500</v>
      </c>
      <c r="O25" s="4"/>
      <c r="P25" s="4"/>
      <c r="Q25" s="4"/>
      <c r="R25" s="2"/>
      <c r="S25" s="2">
        <v>21</v>
      </c>
      <c r="T25" s="6"/>
    </row>
    <row r="26" spans="1:20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13" t="s">
        <v>166</v>
      </c>
      <c r="G26" s="2">
        <v>9</v>
      </c>
      <c r="H26" s="2">
        <v>5</v>
      </c>
      <c r="I26" s="2">
        <v>3</v>
      </c>
      <c r="J26" s="2">
        <v>2</v>
      </c>
      <c r="K26" s="2">
        <v>1</v>
      </c>
      <c r="L26" s="4"/>
      <c r="M26" s="2" t="s">
        <v>174</v>
      </c>
      <c r="N26" s="2">
        <v>500</v>
      </c>
      <c r="O26" s="4"/>
      <c r="P26" s="4"/>
      <c r="Q26" s="4"/>
      <c r="R26" s="2"/>
      <c r="S26" s="2">
        <v>21</v>
      </c>
      <c r="T26" s="6"/>
    </row>
    <row r="27" spans="1:20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13" t="s">
        <v>168</v>
      </c>
      <c r="G27" s="2">
        <v>9</v>
      </c>
      <c r="H27" s="2">
        <v>10</v>
      </c>
      <c r="I27" s="2">
        <v>3</v>
      </c>
      <c r="J27" s="2">
        <f t="shared" si="2"/>
        <v>3</v>
      </c>
      <c r="K27" s="2">
        <v>1</v>
      </c>
      <c r="L27" s="4"/>
      <c r="M27" s="2"/>
      <c r="N27" s="2"/>
      <c r="O27" s="2" t="s">
        <v>72</v>
      </c>
      <c r="P27" s="2" t="s">
        <v>73</v>
      </c>
      <c r="Q27" s="4"/>
      <c r="R27" s="2"/>
      <c r="S27" s="2">
        <v>22</v>
      </c>
      <c r="T27" s="6"/>
    </row>
    <row r="28" spans="1:20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13" t="s">
        <v>165</v>
      </c>
      <c r="G28" s="2">
        <v>10</v>
      </c>
      <c r="H28" s="2">
        <v>1</v>
      </c>
      <c r="I28" s="2">
        <v>3</v>
      </c>
      <c r="J28" s="2">
        <f t="shared" si="2"/>
        <v>4</v>
      </c>
      <c r="K28" s="4"/>
      <c r="L28" s="4"/>
      <c r="M28" s="2" t="s">
        <v>174</v>
      </c>
      <c r="N28" s="2">
        <v>500</v>
      </c>
      <c r="O28" s="4"/>
      <c r="P28" s="4"/>
      <c r="Q28" s="4"/>
      <c r="R28" s="2"/>
      <c r="S28" s="2">
        <v>23</v>
      </c>
      <c r="T28" s="6"/>
    </row>
    <row r="29" spans="1:20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13" t="s">
        <v>165</v>
      </c>
      <c r="G29" s="2">
        <v>10</v>
      </c>
      <c r="H29" s="2">
        <v>1</v>
      </c>
      <c r="I29" s="2">
        <v>3</v>
      </c>
      <c r="J29" s="2">
        <v>4</v>
      </c>
      <c r="K29" s="2">
        <v>1</v>
      </c>
      <c r="L29" s="4"/>
      <c r="M29" s="2" t="s">
        <v>174</v>
      </c>
      <c r="N29" s="2">
        <v>500</v>
      </c>
      <c r="O29" s="4"/>
      <c r="P29" s="4"/>
      <c r="Q29" s="4"/>
      <c r="R29" s="2"/>
      <c r="S29" s="2">
        <v>23</v>
      </c>
      <c r="T29" s="6"/>
    </row>
    <row r="30" spans="1:20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13" t="s">
        <v>169</v>
      </c>
      <c r="G30" s="2">
        <v>10</v>
      </c>
      <c r="H30" s="2">
        <v>5</v>
      </c>
      <c r="I30" s="2">
        <v>3</v>
      </c>
      <c r="J30" s="2">
        <f t="shared" si="2"/>
        <v>5</v>
      </c>
      <c r="K30" s="4"/>
      <c r="L30" s="4"/>
      <c r="M30" s="2" t="s">
        <v>174</v>
      </c>
      <c r="N30" s="2">
        <v>500</v>
      </c>
      <c r="O30" s="4"/>
      <c r="P30" s="4"/>
      <c r="Q30" s="4"/>
      <c r="R30" s="2"/>
      <c r="S30" s="2">
        <v>24</v>
      </c>
      <c r="T30" s="6"/>
    </row>
    <row r="31" spans="1:20" x14ac:dyDescent="0.3">
      <c r="A31" s="2" t="s">
        <v>30</v>
      </c>
      <c r="B31" s="12" t="s">
        <v>95</v>
      </c>
      <c r="C31" s="2">
        <v>0</v>
      </c>
      <c r="D31" s="2" t="str">
        <f>VLOOKUP(C31,Overview!$B$2:$C$6,2,FALSE)</f>
        <v>위</v>
      </c>
      <c r="E31" s="2">
        <v>208</v>
      </c>
      <c r="F31" s="13" t="s">
        <v>158</v>
      </c>
      <c r="G31" s="2">
        <v>10</v>
      </c>
      <c r="H31" s="2">
        <v>5</v>
      </c>
      <c r="I31" s="2">
        <v>3</v>
      </c>
      <c r="J31" s="2">
        <v>5</v>
      </c>
      <c r="K31" s="2">
        <v>1</v>
      </c>
      <c r="L31" s="4"/>
      <c r="M31" s="2" t="s">
        <v>174</v>
      </c>
      <c r="N31" s="2">
        <v>500</v>
      </c>
      <c r="O31" s="4"/>
      <c r="P31" s="4"/>
      <c r="Q31" s="4"/>
      <c r="R31" s="2"/>
      <c r="S31" s="2">
        <v>24</v>
      </c>
      <c r="T31" s="6"/>
    </row>
    <row r="32" spans="1:20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13" t="s">
        <v>164</v>
      </c>
      <c r="G32" s="2">
        <v>10</v>
      </c>
      <c r="H32" s="2">
        <v>10</v>
      </c>
      <c r="I32" s="2">
        <v>3</v>
      </c>
      <c r="J32" s="2">
        <f t="shared" si="2"/>
        <v>6</v>
      </c>
      <c r="K32" s="4"/>
      <c r="L32" s="4"/>
      <c r="M32" s="2" t="s">
        <v>174</v>
      </c>
      <c r="N32" s="2">
        <v>500</v>
      </c>
      <c r="O32" s="4"/>
      <c r="P32" s="4"/>
      <c r="Q32" s="4"/>
      <c r="R32" s="2"/>
      <c r="S32" s="2">
        <v>25</v>
      </c>
      <c r="T32" s="6"/>
    </row>
    <row r="33" spans="1:20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13" t="s">
        <v>170</v>
      </c>
      <c r="G33" s="2">
        <v>10</v>
      </c>
      <c r="H33" s="2">
        <v>10</v>
      </c>
      <c r="I33" s="2">
        <v>3</v>
      </c>
      <c r="J33" s="2">
        <v>7</v>
      </c>
      <c r="K33" s="4"/>
      <c r="L33" s="4"/>
      <c r="M33" s="2"/>
      <c r="N33" s="2"/>
      <c r="O33" s="2" t="s">
        <v>74</v>
      </c>
      <c r="P33" s="2" t="s">
        <v>75</v>
      </c>
      <c r="Q33" s="4"/>
      <c r="R33" s="2">
        <v>1</v>
      </c>
      <c r="S33" s="2">
        <v>26</v>
      </c>
      <c r="T33" s="6"/>
    </row>
    <row r="34" spans="1:20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13" t="s">
        <v>164</v>
      </c>
      <c r="G34" s="13"/>
      <c r="H34" s="13"/>
      <c r="I34" s="4"/>
      <c r="J34" s="4"/>
      <c r="K34" s="4"/>
      <c r="L34" s="4"/>
      <c r="M34" s="2" t="s">
        <v>174</v>
      </c>
      <c r="N34" s="2">
        <v>500</v>
      </c>
      <c r="O34" s="4"/>
      <c r="P34" s="4"/>
      <c r="Q34" s="4"/>
      <c r="R34" s="2">
        <v>1</v>
      </c>
      <c r="S34" s="2">
        <v>1</v>
      </c>
      <c r="T34" s="6" t="s">
        <v>79</v>
      </c>
    </row>
    <row r="35" spans="1:20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13" t="s">
        <v>164</v>
      </c>
      <c r="G35" s="13"/>
      <c r="H35" s="13"/>
      <c r="I35" s="4"/>
      <c r="J35" s="4"/>
      <c r="K35" s="4"/>
      <c r="L35" s="4"/>
      <c r="M35" s="2" t="s">
        <v>174</v>
      </c>
      <c r="N35" s="2">
        <v>500</v>
      </c>
      <c r="O35" s="4"/>
      <c r="P35" s="4"/>
      <c r="Q35" s="4"/>
      <c r="R35" s="2">
        <v>1</v>
      </c>
      <c r="S35" s="2">
        <v>2</v>
      </c>
      <c r="T35" s="6" t="s">
        <v>78</v>
      </c>
    </row>
    <row r="36" spans="1:20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13" t="s">
        <v>164</v>
      </c>
      <c r="G36" s="13"/>
      <c r="H36" s="13"/>
      <c r="I36" s="4"/>
      <c r="J36" s="4"/>
      <c r="K36" s="4"/>
      <c r="L36" s="4"/>
      <c r="M36" s="2" t="s">
        <v>174</v>
      </c>
      <c r="N36" s="2">
        <v>500</v>
      </c>
      <c r="O36" s="4"/>
      <c r="P36" s="4"/>
      <c r="Q36" s="4"/>
      <c r="R36" s="2">
        <v>1</v>
      </c>
      <c r="S36" s="2">
        <v>3</v>
      </c>
      <c r="T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B12" sqref="B12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2026-07-13T09:06:35Z</dcterms:modified>
</cp:coreProperties>
</file>