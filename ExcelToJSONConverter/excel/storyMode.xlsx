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F42CBFB5-7F8E-45B8-81B5-0A7786E4C4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StoryMode_Node" sheetId="6" r:id="rId2"/>
    <sheet name="StoryMode_Unlock" sheetId="7" r:id="rId3"/>
    <sheet name="StoryMode_Choic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8" i="6" s="1"/>
  <c r="J9" i="6" s="1"/>
  <c r="J10" i="6" s="1"/>
  <c r="J11" i="6" s="1"/>
  <c r="J12" i="6" s="1"/>
  <c r="J13" i="6" s="1"/>
  <c r="J14" i="6" s="1"/>
  <c r="J16" i="6"/>
  <c r="J18" i="6"/>
  <c r="J19" i="6" s="1"/>
  <c r="J20" i="6" s="1"/>
  <c r="J21" i="6" s="1"/>
  <c r="J22" i="6" s="1"/>
  <c r="J23" i="6" s="1"/>
  <c r="J24" i="6" s="1"/>
  <c r="J27" i="6"/>
  <c r="J29" i="6"/>
  <c r="J30" i="6" s="1"/>
  <c r="J32" i="6"/>
  <c r="J34" i="6"/>
  <c r="D5" i="6"/>
  <c r="D3" i="6"/>
  <c r="D4" i="6"/>
  <c r="S38" i="6" l="1"/>
  <c r="S39" i="6" s="1"/>
  <c r="S35" i="6"/>
  <c r="S36" i="6" s="1"/>
  <c r="S6" i="6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9" i="6" s="1"/>
  <c r="S20" i="6" s="1"/>
  <c r="S21" i="6" s="1"/>
  <c r="S22" i="6" s="1"/>
  <c r="S23" i="6" s="1"/>
  <c r="S24" i="6" s="1"/>
  <c r="S25" i="6" s="1"/>
  <c r="S27" i="6" s="1"/>
  <c r="S28" i="6" s="1"/>
  <c r="S30" i="6" s="1"/>
  <c r="S31" i="6" s="1"/>
  <c r="S33" i="6" s="1"/>
  <c r="D33" i="6"/>
  <c r="D39" i="6"/>
  <c r="D38" i="6"/>
  <c r="D37" i="6"/>
  <c r="D36" i="6"/>
  <c r="D35" i="6"/>
  <c r="D34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</calcChain>
</file>

<file path=xl/sharedStrings.xml><?xml version="1.0" encoding="utf-8"?>
<sst xmlns="http://schemas.openxmlformats.org/spreadsheetml/2006/main" count="301" uniqueCount="184">
  <si>
    <t>string</t>
    <phoneticPr fontId="1" type="noConversion"/>
  </si>
  <si>
    <t>int</t>
    <phoneticPr fontId="1" type="noConversion"/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</si>
  <si>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</si>
  <si>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</si>
  <si>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</si>
  <si>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</si>
  <si>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</si>
  <si>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</si>
  <si>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</si>
  <si>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</si>
  <si>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</si>
  <si>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</si>
  <si>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</si>
  <si>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node_12a</t>
  </si>
  <si>
    <t>node_12b</t>
  </si>
  <si>
    <t>node_13</t>
  </si>
  <si>
    <t>node_14</t>
  </si>
  <si>
    <t>node_15</t>
  </si>
  <si>
    <t>node_16</t>
  </si>
  <si>
    <t>node_17</t>
  </si>
  <si>
    <t>node_18</t>
  </si>
  <si>
    <t>node_19a</t>
  </si>
  <si>
    <t>node_19b</t>
  </si>
  <si>
    <t>node_20</t>
  </si>
  <si>
    <t>node_21a</t>
  </si>
  <si>
    <t>node_21b</t>
  </si>
  <si>
    <t>node_22</t>
  </si>
  <si>
    <t>node_23a</t>
  </si>
  <si>
    <t>node_23b</t>
  </si>
  <si>
    <t>node_24a</t>
  </si>
  <si>
    <t>node_24b</t>
  </si>
  <si>
    <t>node_25</t>
  </si>
  <si>
    <t>node_26</t>
  </si>
  <si>
    <t>node_27</t>
  </si>
  <si>
    <t>node_28</t>
  </si>
  <si>
    <t>node_29</t>
  </si>
  <si>
    <t>year</t>
  </si>
  <si>
    <t>int</t>
  </si>
  <si>
    <t>chapter_key</t>
  </si>
  <si>
    <t>stage_key</t>
  </si>
  <si>
    <t>is_conditional</t>
  </si>
  <si>
    <t>has_if_story</t>
  </si>
  <si>
    <t>reward_character</t>
  </si>
  <si>
    <t>#reward_character_name</t>
  </si>
  <si>
    <t>required_choice_seq</t>
  </si>
  <si>
    <t>is_active</t>
  </si>
  <si>
    <t>order_num</t>
  </si>
  <si>
    <t>varchar(100)</t>
  </si>
  <si>
    <t>CaoRen</t>
  </si>
  <si>
    <t>조인</t>
  </si>
  <si>
    <t>SunCe</t>
  </si>
  <si>
    <t>손책</t>
  </si>
  <si>
    <t>XunYu</t>
  </si>
  <si>
    <t>순욱</t>
  </si>
  <si>
    <t>TianYu</t>
  </si>
  <si>
    <t>전예</t>
  </si>
  <si>
    <t>ZhouYu</t>
  </si>
  <si>
    <t>주유</t>
  </si>
  <si>
    <t>TaishiCi</t>
  </si>
  <si>
    <t>태사자</t>
  </si>
  <si>
    <t>YanBaihu</t>
  </si>
  <si>
    <t>엄백호</t>
  </si>
  <si>
    <t>ZhangLiao</t>
  </si>
  <si>
    <t>장료</t>
  </si>
  <si>
    <t>SunQuan</t>
  </si>
  <si>
    <t>손권</t>
  </si>
  <si>
    <t>ZhaoYun</t>
  </si>
  <si>
    <t>조운</t>
  </si>
  <si>
    <t>GuoJia</t>
  </si>
  <si>
    <t>곽가</t>
  </si>
  <si>
    <t>ZhugeLiang</t>
  </si>
  <si>
    <t>제갈량</t>
  </si>
  <si>
    <t>MiFuren</t>
  </si>
  <si>
    <t>미부인</t>
  </si>
  <si>
    <t>HuangZhong</t>
  </si>
  <si>
    <t>황충</t>
  </si>
  <si>
    <t>node_key</t>
    <phoneticPr fontId="1" type="noConversion"/>
  </si>
  <si>
    <t>node_27</t>
    <phoneticPr fontId="1" type="noConversion"/>
  </si>
  <si>
    <t>node_29</t>
    <phoneticPr fontId="1" type="noConversion"/>
  </si>
  <si>
    <t>node_28</t>
    <phoneticPr fontId="1" type="noConversion"/>
  </si>
  <si>
    <t>next_node_key</t>
    <phoneticPr fontId="1" type="noConversion"/>
  </si>
  <si>
    <t>node_key</t>
  </si>
  <si>
    <t>#node_title</t>
  </si>
  <si>
    <t>source_node_key</t>
  </si>
  <si>
    <t>#source_title</t>
  </si>
  <si>
    <t>백호 사냥 B</t>
  </si>
  <si>
    <t>담보가 된 옥</t>
  </si>
  <si>
    <t>용의 산책</t>
  </si>
  <si>
    <t>서주학살</t>
  </si>
  <si>
    <t>헌제 옹립</t>
  </si>
  <si>
    <t>관도대전 B</t>
  </si>
  <si>
    <t>상산의 기개 B</t>
  </si>
  <si>
    <t>서주구원</t>
  </si>
  <si>
    <t>여인의 기개</t>
  </si>
  <si>
    <t>손권의 결단 B</t>
  </si>
  <si>
    <t>강을 태운 불꽃 B</t>
  </si>
  <si>
    <t>choice_seq</t>
  </si>
  <si>
    <t>#choice_key</t>
  </si>
  <si>
    <t>node_1_choice_1</t>
  </si>
  <si>
    <t>node_1_choice_2</t>
  </si>
  <si>
    <t>node_5_choice_1</t>
  </si>
  <si>
    <t>node_5_choice_2</t>
  </si>
  <si>
    <t>node_6_choice_1</t>
  </si>
  <si>
    <t>node_6_choice_2</t>
  </si>
  <si>
    <t>node_7_choice_1</t>
  </si>
  <si>
    <t>node_7_choice_2</t>
  </si>
  <si>
    <t>node_10_choice_1</t>
  </si>
  <si>
    <t>node_10_choice_2</t>
  </si>
  <si>
    <t>node_12b_choice_1</t>
  </si>
  <si>
    <t>node_12b_choice_2</t>
  </si>
  <si>
    <t>node_14_choice_1</t>
  </si>
  <si>
    <t>node_14_choice_2</t>
  </si>
  <si>
    <t>node_15_choice_1</t>
  </si>
  <si>
    <t>node_15_choice_2</t>
  </si>
  <si>
    <t>node_16_choice_1</t>
  </si>
  <si>
    <t>node_16_choice_2</t>
  </si>
  <si>
    <t>node_19b_choice_1</t>
  </si>
  <si>
    <t>node_19b_choice_2</t>
  </si>
  <si>
    <t>node_21b_choice_1</t>
  </si>
  <si>
    <t>node_21b_choice_2</t>
  </si>
  <si>
    <t>node_25_choice_1</t>
  </si>
  <si>
    <t>node_25_choice_2</t>
  </si>
  <si>
    <t>황천당립</t>
  </si>
  <si>
    <t>철벽</t>
  </si>
  <si>
    <t>호로관 전투</t>
  </si>
  <si>
    <t>호랑이의 몰락</t>
  </si>
  <si>
    <t>한실의 기둥</t>
  </si>
  <si>
    <t>칠척극</t>
  </si>
  <si>
    <t>백호 사냥 A</t>
  </si>
  <si>
    <t>여포의 최후</t>
  </si>
  <si>
    <t>청매자주논영웅</t>
  </si>
  <si>
    <t>의의 갈림길</t>
  </si>
  <si>
    <t>복수의 칼날</t>
  </si>
  <si>
    <t>상산 조자룡</t>
  </si>
  <si>
    <t>와룡</t>
  </si>
  <si>
    <t>상산의 기개 A</t>
  </si>
  <si>
    <t>손권의 결단 A</t>
  </si>
  <si>
    <t>강을 태운 불꽃 A</t>
  </si>
  <si>
    <t>화용도의 갈림길</t>
  </si>
  <si>
    <t>백발의 명궁</t>
  </si>
  <si>
    <t>의의 갈림길 2</t>
  </si>
  <si>
    <t>의의 갈림길 3</t>
  </si>
  <si>
    <t>의의 갈림길 4</t>
  </si>
  <si>
    <t>#name</t>
    <phoneticPr fontId="1" type="noConversion"/>
  </si>
  <si>
    <t>region_type</t>
    <phoneticPr fontId="1" type="noConversion"/>
  </si>
  <si>
    <t>#regionName</t>
    <phoneticPr fontId="1" type="noConversion"/>
  </si>
  <si>
    <t>RegionType</t>
    <phoneticPr fontId="1" type="noConversion"/>
  </si>
  <si>
    <t>위</t>
    <phoneticPr fontId="1" type="noConversion"/>
  </si>
  <si>
    <t>촉</t>
    <phoneticPr fontId="1" type="noConversion"/>
  </si>
  <si>
    <t>오</t>
    <phoneticPr fontId="1" type="noConversion"/>
  </si>
  <si>
    <t>군웅</t>
    <phoneticPr fontId="1" type="noConversion"/>
  </si>
  <si>
    <t>전체</t>
    <phoneticPr fontId="1" type="noConversion"/>
  </si>
  <si>
    <t>character_key</t>
    <phoneticPr fontId="1" type="noConversion"/>
  </si>
  <si>
    <t>조인</t>
    <phoneticPr fontId="1" type="noConversion"/>
  </si>
  <si>
    <t>손견</t>
    <phoneticPr fontId="1" type="noConversion"/>
  </si>
  <si>
    <t>순욱</t>
    <phoneticPr fontId="1" type="noConversion"/>
  </si>
  <si>
    <t>조조</t>
    <phoneticPr fontId="1" type="noConversion"/>
  </si>
  <si>
    <t>유비</t>
    <phoneticPr fontId="1" type="noConversion"/>
  </si>
  <si>
    <t>손책</t>
    <phoneticPr fontId="1" type="noConversion"/>
  </si>
  <si>
    <t>주유</t>
    <phoneticPr fontId="1" type="noConversion"/>
  </si>
  <si>
    <t>태사자</t>
    <phoneticPr fontId="1" type="noConversion"/>
  </si>
  <si>
    <t>제갈량</t>
    <phoneticPr fontId="1" type="noConversion"/>
  </si>
  <si>
    <t>관우</t>
    <phoneticPr fontId="1" type="noConversion"/>
  </si>
  <si>
    <t>손권</t>
    <phoneticPr fontId="1" type="noConversion"/>
  </si>
  <si>
    <t>조운</t>
    <phoneticPr fontId="1" type="noConversion"/>
  </si>
  <si>
    <t>곽가</t>
    <phoneticPr fontId="1" type="noConversion"/>
  </si>
  <si>
    <t>미부인</t>
    <phoneticPr fontId="1" type="noConversion"/>
  </si>
  <si>
    <t>황개</t>
    <phoneticPr fontId="1" type="noConversion"/>
  </si>
  <si>
    <t>황충</t>
    <phoneticPr fontId="1" type="noConversion"/>
  </si>
  <si>
    <t>#</t>
    <phoneticPr fontId="1" type="noConversion"/>
  </si>
  <si>
    <t>reward_currency_type</t>
  </si>
  <si>
    <t>reward_currency_amount</t>
  </si>
  <si>
    <t>gold</t>
  </si>
  <si>
    <t>도원결의</t>
    <phoneticPr fontId="1" type="noConversion"/>
  </si>
  <si>
    <t>간웅</t>
    <phoneticPr fontId="1" type="noConversion"/>
  </si>
  <si>
    <t>강동의 호랑이</t>
    <phoneticPr fontId="1" type="noConversion"/>
  </si>
  <si>
    <t>미주랑</t>
    <phoneticPr fontId="1" type="noConversion"/>
  </si>
  <si>
    <t>node_30a</t>
    <phoneticPr fontId="1" type="noConversion"/>
  </si>
  <si>
    <t>node_30b</t>
    <phoneticPr fontId="1" type="noConversion"/>
  </si>
  <si>
    <t>node_30c</t>
    <phoneticPr fontId="1" type="noConversion"/>
  </si>
  <si>
    <t>관도대전 A</t>
    <phoneticPr fontId="1" type="noConversion"/>
  </si>
  <si>
    <t>XiahouDun, XiahouYuan</t>
    <phoneticPr fontId="1" type="noConversion"/>
  </si>
  <si>
    <t>GuanYu, ZhangFei</t>
    <phoneticPr fontId="1" type="noConversion"/>
  </si>
  <si>
    <t>HuangGai,HanDang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</si>
</sst>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"/>
  <sheetViews>
    <sheetView workbookViewId="0">
      <selection activeCell="I13" sqref="I13"/>
    </sheetView>
  </sheetViews>
  <sheetFormatPr defaultRowHeight="16.5" x14ac:dyDescent="0.3"/>
  <sheetData>
    <row r="1" spans="2:3" x14ac:dyDescent="0.3">
      <c r="B1" t="s">
        <v>146</v>
      </c>
    </row>
    <row r="2" spans="2:3" x14ac:dyDescent="0.3">
      <c r="B2">
        <v>-1</v>
      </c>
      <c r="C2" t="s">
        <v>151</v>
      </c>
    </row>
    <row r="3" spans="2:3" x14ac:dyDescent="0.3">
      <c r="B3">
        <v>0</v>
      </c>
      <c r="C3" t="s">
        <v>147</v>
      </c>
    </row>
    <row r="4" spans="2:3" x14ac:dyDescent="0.3">
      <c r="B4">
        <v>1</v>
      </c>
      <c r="C4" t="s">
        <v>148</v>
      </c>
    </row>
    <row r="5" spans="2:3" x14ac:dyDescent="0.3">
      <c r="B5">
        <v>2</v>
      </c>
      <c r="C5" t="s">
        <v>149</v>
      </c>
    </row>
    <row r="6" spans="2:3" x14ac:dyDescent="0.3">
      <c r="B6">
        <v>3</v>
      </c>
      <c r="C6" t="s">
        <v>150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A765-18DF-4AAD-91B0-AAB6166EA35D}">
  <dimension ref="A1:T39"/>
  <sheetViews>
    <sheetView tabSelected="1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O5" sqref="O5"/>
    </sheetView>
  </sheetViews>
  <sheetFormatPr defaultRowHeight="16.5" x14ac:dyDescent="0.3"/>
  <cols>
    <col min="1" max="1" width="10" style="8" bestFit="1" customWidth="1"/>
    <col min="2" max="2" width="16.5" style="8" bestFit="1" customWidth="1"/>
    <col min="3" max="3" width="12.25" style="8" bestFit="1" customWidth="1"/>
    <col min="4" max="4" width="13.625" style="8" bestFit="1" customWidth="1"/>
    <col min="5" max="5" width="5.25" style="8" bestFit="1" customWidth="1"/>
    <col min="6" max="6" width="14.25" style="8" bestFit="1" customWidth="1"/>
    <col min="7" max="8" width="3.75" style="8" bestFit="1" customWidth="1"/>
    <col min="9" max="9" width="12.5" style="8" bestFit="1" customWidth="1"/>
    <col min="10" max="10" width="10.375" style="8" bestFit="1" customWidth="1"/>
    <col min="11" max="11" width="14.125" style="8" bestFit="1" customWidth="1"/>
    <col min="12" max="12" width="12.375" style="8" bestFit="1" customWidth="1"/>
    <col min="13" max="13" width="19.875" style="8" bestFit="1" customWidth="1"/>
    <col min="14" max="14" width="22.25" style="8" bestFit="1" customWidth="1"/>
    <col min="15" max="15" width="17.75" style="8" bestFit="1" customWidth="1"/>
    <col min="16" max="16" width="25.25" style="8" bestFit="1" customWidth="1"/>
    <col min="17" max="17" width="21.375" style="8" bestFit="1" customWidth="1"/>
    <col min="18" max="18" width="9.375" style="8" bestFit="1" customWidth="1"/>
    <col min="19" max="19" width="11.25" style="8" bestFit="1" customWidth="1"/>
    <col min="20" max="20" width="15.375" style="8" bestFit="1" customWidth="1"/>
    <col min="21" max="16384" width="9" style="8"/>
  </cols>
  <sheetData>
    <row r="1" spans="1:20" ht="30" x14ac:dyDescent="0.3">
      <c r="A1" s="2" t="s">
        <v>76</v>
      </c>
      <c r="B1" s="2" t="s">
        <v>143</v>
      </c>
      <c r="C1" s="2" t="s">
        <v>144</v>
      </c>
      <c r="D1" s="2" t="s">
        <v>145</v>
      </c>
      <c r="E1" s="2" t="s">
        <v>36</v>
      </c>
      <c r="F1" s="2" t="s">
        <v>152</v>
      </c>
      <c r="G1" s="2" t="s">
        <v>169</v>
      </c>
      <c r="H1" s="2" t="s">
        <v>169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170</v>
      </c>
      <c r="N1" s="2" t="s">
        <v>171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80</v>
      </c>
    </row>
    <row r="2" spans="1:20" x14ac:dyDescent="0.3">
      <c r="A2" s="2" t="s">
        <v>0</v>
      </c>
      <c r="B2" s="2" t="s">
        <v>0</v>
      </c>
      <c r="C2" s="2" t="s">
        <v>1</v>
      </c>
      <c r="D2" s="2" t="s">
        <v>0</v>
      </c>
      <c r="E2" s="2" t="s">
        <v>37</v>
      </c>
      <c r="F2" s="2" t="s">
        <v>0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1</v>
      </c>
      <c r="L2" s="2" t="s">
        <v>1</v>
      </c>
      <c r="M2" s="2" t="s">
        <v>0</v>
      </c>
      <c r="N2" s="2" t="s">
        <v>37</v>
      </c>
      <c r="O2" s="2" t="s">
        <v>0</v>
      </c>
      <c r="P2" s="2" t="s">
        <v>47</v>
      </c>
      <c r="Q2" s="2" t="s">
        <v>37</v>
      </c>
      <c r="R2" s="2" t="s">
        <v>1</v>
      </c>
      <c r="S2" s="2" t="s">
        <v>37</v>
      </c>
      <c r="T2" s="2" t="s">
        <v>0</v>
      </c>
    </row>
    <row r="3" spans="1:20" x14ac:dyDescent="0.3">
      <c r="A3" s="9" t="s">
        <v>177</v>
      </c>
      <c r="B3" s="9" t="s">
        <v>174</v>
      </c>
      <c r="C3" s="9">
        <v>0</v>
      </c>
      <c r="D3" s="1" t="str">
        <f>VLOOKUP(C3,Overview!$B$2:$C$6,2,FALSE)</f>
        <v>위</v>
      </c>
      <c r="E3" s="9">
        <v>184</v>
      </c>
      <c r="F3" s="9"/>
      <c r="G3" s="9"/>
      <c r="H3" s="9"/>
      <c r="I3" s="1">
        <v>1</v>
      </c>
      <c r="J3" s="1">
        <v>1</v>
      </c>
      <c r="K3" s="9"/>
      <c r="L3" s="9"/>
      <c r="M3" s="9"/>
      <c r="N3" s="9"/>
      <c r="O3" t="s">
        <v>181</v>
      </c>
      <c r="P3" s="9"/>
      <c r="Q3" s="9"/>
      <c r="R3" s="9">
        <v>1</v>
      </c>
      <c r="S3" s="1">
        <v>1</v>
      </c>
      <c r="T3" s="1"/>
    </row>
    <row r="4" spans="1:20" x14ac:dyDescent="0.3">
      <c r="A4" s="9" t="s">
        <v>178</v>
      </c>
      <c r="B4" s="9" t="s">
        <v>173</v>
      </c>
      <c r="C4" s="9">
        <v>1</v>
      </c>
      <c r="D4" s="1" t="str">
        <f>VLOOKUP(C4,Overview!$B$2:$C$6,2,FALSE)</f>
        <v>촉</v>
      </c>
      <c r="E4" s="9">
        <v>184</v>
      </c>
      <c r="F4" s="9"/>
      <c r="G4" s="9"/>
      <c r="H4" s="9"/>
      <c r="I4" s="1">
        <v>1</v>
      </c>
      <c r="J4" s="1">
        <v>1</v>
      </c>
      <c r="K4" s="9"/>
      <c r="L4" s="9"/>
      <c r="M4" s="9"/>
      <c r="N4" s="9"/>
      <c r="O4" s="9" t="s">
        <v>182</v>
      </c>
      <c r="P4" s="9"/>
      <c r="Q4" s="9"/>
      <c r="R4" s="9">
        <v>1</v>
      </c>
      <c r="S4" s="1">
        <v>1</v>
      </c>
      <c r="T4" s="1"/>
    </row>
    <row r="5" spans="1:20" x14ac:dyDescent="0.3">
      <c r="A5" s="9" t="s">
        <v>179</v>
      </c>
      <c r="B5" s="9" t="s">
        <v>175</v>
      </c>
      <c r="C5" s="9">
        <v>2</v>
      </c>
      <c r="D5" s="1" t="str">
        <f>VLOOKUP(C5,Overview!$B$2:$C$6,2,FALSE)</f>
        <v>오</v>
      </c>
      <c r="E5" s="9">
        <v>184</v>
      </c>
      <c r="F5" s="9"/>
      <c r="G5" s="9"/>
      <c r="H5" s="9"/>
      <c r="I5" s="1">
        <v>1</v>
      </c>
      <c r="J5" s="1">
        <v>1</v>
      </c>
      <c r="K5" s="9"/>
      <c r="L5" s="9"/>
      <c r="M5" s="9"/>
      <c r="N5" s="9"/>
      <c r="O5" t="s">
        <v>183</v>
      </c>
      <c r="P5" s="9"/>
      <c r="Q5" s="9"/>
      <c r="R5" s="9">
        <v>1</v>
      </c>
      <c r="S5" s="1">
        <v>1</v>
      </c>
      <c r="T5" s="1"/>
    </row>
    <row r="6" spans="1:20" x14ac:dyDescent="0.3">
      <c r="A6" s="1" t="s">
        <v>2</v>
      </c>
      <c r="B6" s="9" t="s">
        <v>122</v>
      </c>
      <c r="C6" s="1">
        <v>3</v>
      </c>
      <c r="D6" s="1" t="str">
        <f>VLOOKUP(C6,Overview!$B$2:$C$6,2,FALSE)</f>
        <v>군웅</v>
      </c>
      <c r="E6" s="9">
        <v>184</v>
      </c>
      <c r="F6" s="1"/>
      <c r="G6" s="1">
        <v>1</v>
      </c>
      <c r="H6" s="1">
        <v>10</v>
      </c>
      <c r="I6" s="1">
        <v>1</v>
      </c>
      <c r="J6" s="1">
        <v>2</v>
      </c>
      <c r="K6" s="1"/>
      <c r="L6" s="1"/>
      <c r="M6" s="1" t="s">
        <v>172</v>
      </c>
      <c r="N6" s="1">
        <v>500</v>
      </c>
      <c r="O6"/>
      <c r="P6" s="1"/>
      <c r="Q6" s="1"/>
      <c r="R6" s="1"/>
      <c r="S6" s="1">
        <f>S5+1</f>
        <v>2</v>
      </c>
      <c r="T6" s="1"/>
    </row>
    <row r="7" spans="1:20" x14ac:dyDescent="0.3">
      <c r="A7" s="1" t="s">
        <v>3</v>
      </c>
      <c r="B7" s="9" t="s">
        <v>123</v>
      </c>
      <c r="C7" s="1">
        <v>0</v>
      </c>
      <c r="D7" s="1" t="str">
        <f>VLOOKUP(C7,Overview!$B$2:$C$6,2,FALSE)</f>
        <v>위</v>
      </c>
      <c r="E7" s="1">
        <v>190</v>
      </c>
      <c r="F7" s="1" t="s">
        <v>153</v>
      </c>
      <c r="G7" s="1">
        <v>1</v>
      </c>
      <c r="H7" s="1">
        <v>10</v>
      </c>
      <c r="I7" s="1">
        <v>1</v>
      </c>
      <c r="J7" s="1">
        <f t="shared" ref="J7:J14" si="0">J6+1</f>
        <v>3</v>
      </c>
      <c r="K7" s="1"/>
      <c r="L7" s="1"/>
      <c r="M7" s="1"/>
      <c r="N7" s="1"/>
      <c r="O7" s="1" t="s">
        <v>48</v>
      </c>
      <c r="P7" s="1" t="s">
        <v>49</v>
      </c>
      <c r="Q7" s="1"/>
      <c r="R7" s="1">
        <v>1</v>
      </c>
      <c r="S7" s="1">
        <f t="shared" ref="S7:S39" si="1">S6+1</f>
        <v>3</v>
      </c>
      <c r="T7" s="1"/>
    </row>
    <row r="8" spans="1:20" x14ac:dyDescent="0.3">
      <c r="A8" s="1" t="s">
        <v>4</v>
      </c>
      <c r="B8" s="9" t="s">
        <v>124</v>
      </c>
      <c r="C8" s="1">
        <v>-1</v>
      </c>
      <c r="D8" s="1" t="str">
        <f>VLOOKUP(C8,Overview!$B$2:$C$6,2,FALSE)</f>
        <v>전체</v>
      </c>
      <c r="E8" s="1">
        <v>190</v>
      </c>
      <c r="F8" s="1"/>
      <c r="G8" s="1">
        <v>2</v>
      </c>
      <c r="H8" s="1">
        <v>5</v>
      </c>
      <c r="I8" s="1">
        <v>1</v>
      </c>
      <c r="J8" s="1">
        <f t="shared" si="0"/>
        <v>4</v>
      </c>
      <c r="K8" s="1"/>
      <c r="L8" s="1"/>
      <c r="M8" s="1" t="s">
        <v>172</v>
      </c>
      <c r="N8" s="1">
        <v>500</v>
      </c>
      <c r="O8" s="1"/>
      <c r="P8" s="1"/>
      <c r="Q8" s="1"/>
      <c r="R8" s="1"/>
      <c r="S8" s="1">
        <f t="shared" si="1"/>
        <v>4</v>
      </c>
      <c r="T8" s="1"/>
    </row>
    <row r="9" spans="1:20" x14ac:dyDescent="0.3">
      <c r="A9" s="1" t="s">
        <v>5</v>
      </c>
      <c r="B9" s="9" t="s">
        <v>125</v>
      </c>
      <c r="C9" s="1">
        <v>2</v>
      </c>
      <c r="D9" s="1" t="str">
        <f>VLOOKUP(C9,Overview!$B$2:$C$6,2,FALSE)</f>
        <v>오</v>
      </c>
      <c r="E9" s="1">
        <v>191</v>
      </c>
      <c r="F9" s="7" t="s">
        <v>154</v>
      </c>
      <c r="G9" s="1">
        <v>2</v>
      </c>
      <c r="H9" s="1">
        <v>10</v>
      </c>
      <c r="I9" s="1">
        <v>1</v>
      </c>
      <c r="J9" s="1">
        <f t="shared" si="0"/>
        <v>5</v>
      </c>
      <c r="K9" s="1"/>
      <c r="L9" s="1"/>
      <c r="M9" s="1"/>
      <c r="N9" s="1"/>
      <c r="O9" s="1" t="s">
        <v>50</v>
      </c>
      <c r="P9" s="1" t="s">
        <v>51</v>
      </c>
      <c r="Q9" s="1"/>
      <c r="R9" s="1">
        <v>1</v>
      </c>
      <c r="S9" s="1">
        <f t="shared" si="1"/>
        <v>5</v>
      </c>
      <c r="T9" s="1"/>
    </row>
    <row r="10" spans="1:20" x14ac:dyDescent="0.3">
      <c r="A10" s="1" t="s">
        <v>6</v>
      </c>
      <c r="B10" s="9" t="s">
        <v>126</v>
      </c>
      <c r="C10" s="1">
        <v>0</v>
      </c>
      <c r="D10" s="1" t="str">
        <f>VLOOKUP(C10,Overview!$B$2:$C$6,2,FALSE)</f>
        <v>위</v>
      </c>
      <c r="E10" s="1">
        <v>191</v>
      </c>
      <c r="F10" s="7" t="s">
        <v>155</v>
      </c>
      <c r="G10" s="1">
        <v>2</v>
      </c>
      <c r="H10" s="1">
        <v>10</v>
      </c>
      <c r="I10" s="1">
        <v>1</v>
      </c>
      <c r="J10" s="1">
        <f t="shared" si="0"/>
        <v>6</v>
      </c>
      <c r="K10" s="1"/>
      <c r="L10" s="1"/>
      <c r="M10" s="1"/>
      <c r="N10" s="1"/>
      <c r="O10" s="1" t="s">
        <v>52</v>
      </c>
      <c r="P10" s="1" t="s">
        <v>53</v>
      </c>
      <c r="Q10" s="1"/>
      <c r="R10" s="1">
        <v>1</v>
      </c>
      <c r="S10" s="1">
        <f t="shared" si="1"/>
        <v>6</v>
      </c>
      <c r="T10" s="1"/>
    </row>
    <row r="11" spans="1:20" x14ac:dyDescent="0.3">
      <c r="A11" s="1" t="s">
        <v>7</v>
      </c>
      <c r="B11" s="9" t="s">
        <v>88</v>
      </c>
      <c r="C11" s="1">
        <v>0</v>
      </c>
      <c r="D11" s="1" t="str">
        <f>VLOOKUP(C11,Overview!$B$2:$C$6,2,FALSE)</f>
        <v>위</v>
      </c>
      <c r="E11" s="1">
        <v>193</v>
      </c>
      <c r="F11" s="7" t="s">
        <v>156</v>
      </c>
      <c r="G11" s="1">
        <v>3</v>
      </c>
      <c r="H11" s="1">
        <v>1</v>
      </c>
      <c r="I11" s="1">
        <v>1</v>
      </c>
      <c r="J11" s="1">
        <f t="shared" si="0"/>
        <v>7</v>
      </c>
      <c r="K11" s="1"/>
      <c r="L11" s="1"/>
      <c r="M11" s="1" t="s">
        <v>172</v>
      </c>
      <c r="N11" s="1">
        <v>500</v>
      </c>
      <c r="O11" s="1"/>
      <c r="P11" s="1"/>
      <c r="Q11" s="1"/>
      <c r="R11" s="1"/>
      <c r="S11" s="1">
        <f t="shared" si="1"/>
        <v>7</v>
      </c>
      <c r="T11" s="1"/>
    </row>
    <row r="12" spans="1:20" x14ac:dyDescent="0.3">
      <c r="A12" s="1" t="s">
        <v>8</v>
      </c>
      <c r="B12" s="9" t="s">
        <v>92</v>
      </c>
      <c r="C12" s="1">
        <v>1</v>
      </c>
      <c r="D12" s="1" t="str">
        <f>VLOOKUP(C12,Overview!$B$2:$C$6,2,FALSE)</f>
        <v>촉</v>
      </c>
      <c r="E12" s="1">
        <v>193</v>
      </c>
      <c r="F12" s="1" t="s">
        <v>157</v>
      </c>
      <c r="G12" s="1">
        <v>3</v>
      </c>
      <c r="H12" s="1">
        <v>1</v>
      </c>
      <c r="I12" s="1">
        <v>1</v>
      </c>
      <c r="J12" s="1">
        <f t="shared" si="0"/>
        <v>8</v>
      </c>
      <c r="K12" s="1"/>
      <c r="L12" s="1"/>
      <c r="M12" s="1"/>
      <c r="N12" s="1"/>
      <c r="O12" s="1" t="s">
        <v>54</v>
      </c>
      <c r="P12" s="1" t="s">
        <v>55</v>
      </c>
      <c r="Q12" s="1"/>
      <c r="R12" s="1"/>
      <c r="S12" s="1">
        <f t="shared" si="1"/>
        <v>8</v>
      </c>
      <c r="T12" s="1"/>
    </row>
    <row r="13" spans="1:20" x14ac:dyDescent="0.3">
      <c r="A13" s="1" t="s">
        <v>9</v>
      </c>
      <c r="B13" s="9" t="s">
        <v>86</v>
      </c>
      <c r="C13" s="1">
        <v>2</v>
      </c>
      <c r="D13" s="1" t="str">
        <f>VLOOKUP(C13,Overview!$B$2:$C$6,2,FALSE)</f>
        <v>오</v>
      </c>
      <c r="E13" s="1">
        <v>194</v>
      </c>
      <c r="F13" s="7" t="s">
        <v>158</v>
      </c>
      <c r="G13" s="1">
        <v>4</v>
      </c>
      <c r="H13" s="1">
        <v>1</v>
      </c>
      <c r="I13" s="1">
        <v>2</v>
      </c>
      <c r="J13" s="1">
        <f t="shared" si="0"/>
        <v>9</v>
      </c>
      <c r="K13" s="1"/>
      <c r="L13" s="1"/>
      <c r="M13" s="1" t="s">
        <v>172</v>
      </c>
      <c r="N13" s="1">
        <v>500</v>
      </c>
      <c r="O13" s="1"/>
      <c r="P13" s="1"/>
      <c r="Q13" s="1"/>
      <c r="R13" s="1"/>
      <c r="S13" s="1">
        <f t="shared" si="1"/>
        <v>9</v>
      </c>
      <c r="T13" s="1"/>
    </row>
    <row r="14" spans="1:20" x14ac:dyDescent="0.3">
      <c r="A14" s="1" t="s">
        <v>10</v>
      </c>
      <c r="B14" s="9" t="s">
        <v>176</v>
      </c>
      <c r="C14" s="1">
        <v>2</v>
      </c>
      <c r="D14" s="1" t="str">
        <f>VLOOKUP(C14,Overview!$B$2:$C$6,2,FALSE)</f>
        <v>오</v>
      </c>
      <c r="E14" s="1">
        <v>194</v>
      </c>
      <c r="F14" s="7" t="s">
        <v>159</v>
      </c>
      <c r="G14" s="1">
        <v>4</v>
      </c>
      <c r="H14" s="1">
        <v>5</v>
      </c>
      <c r="I14" s="1">
        <v>2</v>
      </c>
      <c r="J14" s="1">
        <f t="shared" si="0"/>
        <v>10</v>
      </c>
      <c r="K14" s="1"/>
      <c r="L14" s="1"/>
      <c r="M14" s="1"/>
      <c r="N14" s="1"/>
      <c r="O14" s="1" t="s">
        <v>56</v>
      </c>
      <c r="P14" s="1" t="s">
        <v>57</v>
      </c>
      <c r="Q14" s="1"/>
      <c r="R14" s="1">
        <v>1</v>
      </c>
      <c r="S14" s="1">
        <f t="shared" si="1"/>
        <v>10</v>
      </c>
      <c r="T14" s="1"/>
    </row>
    <row r="15" spans="1:20" x14ac:dyDescent="0.3">
      <c r="A15" s="1" t="s">
        <v>11</v>
      </c>
      <c r="B15" s="9" t="s">
        <v>127</v>
      </c>
      <c r="C15" s="1">
        <v>2</v>
      </c>
      <c r="D15" s="1" t="str">
        <f>VLOOKUP(C15,Overview!$B$2:$C$6,2,FALSE)</f>
        <v>오</v>
      </c>
      <c r="E15" s="1">
        <v>195</v>
      </c>
      <c r="F15" s="7" t="s">
        <v>160</v>
      </c>
      <c r="G15" s="1">
        <v>4</v>
      </c>
      <c r="H15" s="1">
        <v>5</v>
      </c>
      <c r="I15" s="1">
        <v>2</v>
      </c>
      <c r="J15" s="1">
        <v>1</v>
      </c>
      <c r="K15" s="1"/>
      <c r="L15" s="1"/>
      <c r="M15" s="1"/>
      <c r="N15" s="1"/>
      <c r="O15" s="1" t="s">
        <v>58</v>
      </c>
      <c r="P15" s="1" t="s">
        <v>59</v>
      </c>
      <c r="Q15" s="1"/>
      <c r="R15" s="1">
        <v>1</v>
      </c>
      <c r="S15" s="1">
        <f t="shared" si="1"/>
        <v>11</v>
      </c>
      <c r="T15" s="1"/>
    </row>
    <row r="16" spans="1:20" x14ac:dyDescent="0.3">
      <c r="A16" s="1" t="s">
        <v>12</v>
      </c>
      <c r="B16" s="9" t="s">
        <v>89</v>
      </c>
      <c r="C16" s="1">
        <v>0</v>
      </c>
      <c r="D16" s="1" t="str">
        <f>VLOOKUP(C16,Overview!$B$2:$C$6,2,FALSE)</f>
        <v>위</v>
      </c>
      <c r="E16" s="1">
        <v>196</v>
      </c>
      <c r="F16" s="7" t="s">
        <v>156</v>
      </c>
      <c r="G16" s="1">
        <v>4</v>
      </c>
      <c r="H16" s="1">
        <v>5</v>
      </c>
      <c r="I16" s="1">
        <v>2</v>
      </c>
      <c r="J16" s="1">
        <f t="shared" ref="J16:J24" si="2">J15+1</f>
        <v>2</v>
      </c>
      <c r="K16" s="1"/>
      <c r="L16" s="1"/>
      <c r="M16" s="1" t="s">
        <v>172</v>
      </c>
      <c r="N16" s="1">
        <v>500</v>
      </c>
      <c r="O16" s="1"/>
      <c r="P16" s="1"/>
      <c r="Q16" s="1"/>
      <c r="R16" s="1"/>
      <c r="S16" s="1">
        <f t="shared" si="1"/>
        <v>12</v>
      </c>
      <c r="T16" s="1"/>
    </row>
    <row r="17" spans="1:20" x14ac:dyDescent="0.3">
      <c r="A17" s="1" t="s">
        <v>13</v>
      </c>
      <c r="B17" s="9" t="s">
        <v>128</v>
      </c>
      <c r="C17" s="1">
        <v>2</v>
      </c>
      <c r="D17" s="1" t="str">
        <f>VLOOKUP(C17,Overview!$B$2:$C$6,2,FALSE)</f>
        <v>오</v>
      </c>
      <c r="E17" s="1">
        <v>196</v>
      </c>
      <c r="F17" s="7" t="s">
        <v>158</v>
      </c>
      <c r="G17" s="1">
        <v>4</v>
      </c>
      <c r="H17" s="1">
        <v>5</v>
      </c>
      <c r="I17" s="1">
        <v>2</v>
      </c>
      <c r="J17" s="1">
        <v>2</v>
      </c>
      <c r="K17" s="1"/>
      <c r="L17" s="1"/>
      <c r="M17" s="1" t="s">
        <v>172</v>
      </c>
      <c r="N17" s="1">
        <v>500</v>
      </c>
      <c r="O17" s="1"/>
      <c r="P17" s="1"/>
      <c r="Q17" s="1"/>
      <c r="R17" s="1"/>
      <c r="S17" s="1">
        <f t="shared" si="1"/>
        <v>13</v>
      </c>
      <c r="T17" s="1"/>
    </row>
    <row r="18" spans="1:20" x14ac:dyDescent="0.3">
      <c r="A18" s="1" t="s">
        <v>14</v>
      </c>
      <c r="B18" s="9" t="s">
        <v>85</v>
      </c>
      <c r="C18" s="1">
        <v>2</v>
      </c>
      <c r="D18" s="1" t="str">
        <f>VLOOKUP(C18,Overview!$B$2:$C$6,2,FALSE)</f>
        <v>오</v>
      </c>
      <c r="E18" s="1">
        <v>196</v>
      </c>
      <c r="F18" s="7" t="s">
        <v>158</v>
      </c>
      <c r="G18" s="1">
        <v>4</v>
      </c>
      <c r="H18" s="1">
        <v>5</v>
      </c>
      <c r="I18" s="1">
        <v>2</v>
      </c>
      <c r="J18" s="1">
        <f t="shared" si="2"/>
        <v>3</v>
      </c>
      <c r="K18" s="1">
        <v>1</v>
      </c>
      <c r="L18" s="1"/>
      <c r="M18" s="1"/>
      <c r="N18" s="1"/>
      <c r="O18" s="1" t="s">
        <v>60</v>
      </c>
      <c r="P18" s="1" t="s">
        <v>61</v>
      </c>
      <c r="Q18" s="1">
        <v>2</v>
      </c>
      <c r="R18" s="1"/>
      <c r="S18" s="1">
        <v>13</v>
      </c>
      <c r="T18" s="1"/>
    </row>
    <row r="19" spans="1:20" x14ac:dyDescent="0.3">
      <c r="A19" s="1" t="s">
        <v>15</v>
      </c>
      <c r="B19" s="9" t="s">
        <v>129</v>
      </c>
      <c r="C19" s="1">
        <v>0</v>
      </c>
      <c r="D19" s="1" t="str">
        <f>VLOOKUP(C19,Overview!$B$2:$C$6,2,FALSE)</f>
        <v>위</v>
      </c>
      <c r="E19" s="1">
        <v>199</v>
      </c>
      <c r="F19" s="1"/>
      <c r="G19" s="1">
        <v>6</v>
      </c>
      <c r="H19" s="1">
        <v>10</v>
      </c>
      <c r="I19" s="1">
        <v>2</v>
      </c>
      <c r="J19" s="1">
        <f t="shared" si="2"/>
        <v>4</v>
      </c>
      <c r="K19" s="1"/>
      <c r="L19" s="1"/>
      <c r="M19" s="1"/>
      <c r="N19" s="1"/>
      <c r="O19" s="1" t="s">
        <v>62</v>
      </c>
      <c r="P19" s="1" t="s">
        <v>63</v>
      </c>
      <c r="Q19" s="1"/>
      <c r="R19" s="1">
        <v>1</v>
      </c>
      <c r="S19" s="1">
        <f t="shared" si="1"/>
        <v>14</v>
      </c>
      <c r="T19" s="1" t="s">
        <v>77</v>
      </c>
    </row>
    <row r="20" spans="1:20" x14ac:dyDescent="0.3">
      <c r="A20" s="1" t="s">
        <v>16</v>
      </c>
      <c r="B20" s="9" t="s">
        <v>130</v>
      </c>
      <c r="C20" s="1">
        <v>1</v>
      </c>
      <c r="D20" s="1" t="str">
        <f>VLOOKUP(C20,Overview!$B$2:$C$6,2,FALSE)</f>
        <v>촉</v>
      </c>
      <c r="E20" s="1">
        <v>199</v>
      </c>
      <c r="F20" s="7" t="s">
        <v>157</v>
      </c>
      <c r="G20" s="1">
        <v>7</v>
      </c>
      <c r="H20" s="1">
        <v>1</v>
      </c>
      <c r="I20" s="1">
        <v>2</v>
      </c>
      <c r="J20" s="1">
        <f t="shared" si="2"/>
        <v>5</v>
      </c>
      <c r="K20" s="1"/>
      <c r="L20" s="1"/>
      <c r="M20" s="1" t="s">
        <v>172</v>
      </c>
      <c r="N20" s="1">
        <v>500</v>
      </c>
      <c r="O20" s="1"/>
      <c r="P20" s="1"/>
      <c r="Q20" s="1"/>
      <c r="R20" s="1"/>
      <c r="S20" s="1">
        <f t="shared" si="1"/>
        <v>15</v>
      </c>
      <c r="T20" s="1"/>
    </row>
    <row r="21" spans="1:20" x14ac:dyDescent="0.3">
      <c r="A21" s="1" t="s">
        <v>17</v>
      </c>
      <c r="B21" s="9" t="s">
        <v>87</v>
      </c>
      <c r="C21" s="1">
        <v>0</v>
      </c>
      <c r="D21" s="1" t="str">
        <f>VLOOKUP(C21,Overview!$B$2:$C$6,2,FALSE)</f>
        <v>위</v>
      </c>
      <c r="E21" s="1">
        <v>200</v>
      </c>
      <c r="F21" s="7" t="s">
        <v>161</v>
      </c>
      <c r="G21" s="1">
        <v>7</v>
      </c>
      <c r="H21" s="1">
        <v>1</v>
      </c>
      <c r="I21" s="1">
        <v>2</v>
      </c>
      <c r="J21" s="1">
        <f t="shared" si="2"/>
        <v>6</v>
      </c>
      <c r="K21" s="1">
        <v>1</v>
      </c>
      <c r="L21" s="1"/>
      <c r="M21" s="1" t="s">
        <v>172</v>
      </c>
      <c r="N21" s="1">
        <v>500</v>
      </c>
      <c r="O21" s="1"/>
      <c r="P21" s="1"/>
      <c r="Q21" s="1"/>
      <c r="R21" s="1"/>
      <c r="S21" s="1">
        <f t="shared" si="1"/>
        <v>16</v>
      </c>
      <c r="T21" s="1"/>
    </row>
    <row r="22" spans="1:20" x14ac:dyDescent="0.3">
      <c r="A22" s="1" t="s">
        <v>18</v>
      </c>
      <c r="B22" s="9" t="s">
        <v>131</v>
      </c>
      <c r="C22" s="1">
        <v>1</v>
      </c>
      <c r="D22" s="1" t="str">
        <f>VLOOKUP(C22,Overview!$B$2:$C$6,2,FALSE)</f>
        <v>촉</v>
      </c>
      <c r="E22" s="1">
        <v>200</v>
      </c>
      <c r="F22" s="7" t="s">
        <v>162</v>
      </c>
      <c r="G22" s="1">
        <v>7</v>
      </c>
      <c r="H22" s="1">
        <v>5</v>
      </c>
      <c r="I22" s="1">
        <v>2</v>
      </c>
      <c r="J22" s="1">
        <f t="shared" si="2"/>
        <v>7</v>
      </c>
      <c r="K22" s="1"/>
      <c r="L22" s="1">
        <v>2</v>
      </c>
      <c r="M22" s="1" t="s">
        <v>172</v>
      </c>
      <c r="N22" s="1">
        <v>500</v>
      </c>
      <c r="O22" s="1"/>
      <c r="P22" s="1"/>
      <c r="Q22" s="1"/>
      <c r="R22" s="1">
        <v>1</v>
      </c>
      <c r="S22" s="1">
        <f t="shared" si="1"/>
        <v>17</v>
      </c>
      <c r="T22" s="1"/>
    </row>
    <row r="23" spans="1:20" x14ac:dyDescent="0.3">
      <c r="A23" s="1" t="s">
        <v>19</v>
      </c>
      <c r="B23" s="9" t="s">
        <v>132</v>
      </c>
      <c r="C23" s="1">
        <v>2</v>
      </c>
      <c r="D23" s="1" t="str">
        <f>VLOOKUP(C23,Overview!$B$2:$C$6,2,FALSE)</f>
        <v>오</v>
      </c>
      <c r="E23" s="1">
        <v>200</v>
      </c>
      <c r="F23" s="7" t="s">
        <v>163</v>
      </c>
      <c r="G23" s="1">
        <v>7</v>
      </c>
      <c r="H23" s="1">
        <v>5</v>
      </c>
      <c r="I23" s="1">
        <v>2</v>
      </c>
      <c r="J23" s="1">
        <f t="shared" si="2"/>
        <v>8</v>
      </c>
      <c r="K23" s="1"/>
      <c r="L23" s="1"/>
      <c r="M23" s="1"/>
      <c r="N23" s="1"/>
      <c r="O23" s="1" t="s">
        <v>64</v>
      </c>
      <c r="P23" s="1" t="s">
        <v>65</v>
      </c>
      <c r="Q23" s="1"/>
      <c r="R23" s="1">
        <v>1</v>
      </c>
      <c r="S23" s="1">
        <f t="shared" si="1"/>
        <v>18</v>
      </c>
      <c r="T23" s="1"/>
    </row>
    <row r="24" spans="1:20" x14ac:dyDescent="0.3">
      <c r="A24" s="1" t="s">
        <v>20</v>
      </c>
      <c r="B24" s="9" t="s">
        <v>133</v>
      </c>
      <c r="C24" s="1">
        <v>1</v>
      </c>
      <c r="D24" s="1" t="str">
        <f>VLOOKUP(C24,Overview!$B$2:$C$6,2,FALSE)</f>
        <v>촉</v>
      </c>
      <c r="E24" s="1">
        <v>200</v>
      </c>
      <c r="F24" s="7" t="s">
        <v>164</v>
      </c>
      <c r="G24" s="1">
        <v>7</v>
      </c>
      <c r="H24" s="1">
        <v>5</v>
      </c>
      <c r="I24" s="1">
        <v>3</v>
      </c>
      <c r="J24" s="1">
        <f t="shared" si="2"/>
        <v>9</v>
      </c>
      <c r="K24" s="1"/>
      <c r="L24" s="1"/>
      <c r="M24" s="1"/>
      <c r="N24" s="1"/>
      <c r="O24" s="1" t="s">
        <v>66</v>
      </c>
      <c r="P24" s="1" t="s">
        <v>67</v>
      </c>
      <c r="Q24" s="1"/>
      <c r="R24" s="1">
        <v>1</v>
      </c>
      <c r="S24" s="1">
        <f t="shared" si="1"/>
        <v>19</v>
      </c>
      <c r="T24" s="1"/>
    </row>
    <row r="25" spans="1:20" x14ac:dyDescent="0.3">
      <c r="A25" s="1" t="s">
        <v>21</v>
      </c>
      <c r="B25" s="9" t="s">
        <v>180</v>
      </c>
      <c r="C25" s="1">
        <v>0</v>
      </c>
      <c r="D25" s="1" t="str">
        <f>VLOOKUP(C25,Overview!$B$2:$C$6,2,FALSE)</f>
        <v>위</v>
      </c>
      <c r="E25" s="1">
        <v>207</v>
      </c>
      <c r="F25" s="7" t="s">
        <v>156</v>
      </c>
      <c r="G25" s="1">
        <v>7</v>
      </c>
      <c r="H25" s="1">
        <v>10</v>
      </c>
      <c r="I25" s="1">
        <v>3</v>
      </c>
      <c r="J25" s="1">
        <v>9</v>
      </c>
      <c r="K25" s="1"/>
      <c r="L25" s="1"/>
      <c r="M25" s="1" t="s">
        <v>172</v>
      </c>
      <c r="N25" s="1">
        <v>500</v>
      </c>
      <c r="O25" s="1"/>
      <c r="P25" s="1"/>
      <c r="Q25" s="1"/>
      <c r="R25" s="1"/>
      <c r="S25" s="1">
        <f t="shared" si="1"/>
        <v>20</v>
      </c>
      <c r="T25" s="1"/>
    </row>
    <row r="26" spans="1:20" x14ac:dyDescent="0.3">
      <c r="A26" s="1" t="s">
        <v>22</v>
      </c>
      <c r="B26" s="9" t="s">
        <v>90</v>
      </c>
      <c r="C26" s="1">
        <v>0</v>
      </c>
      <c r="D26" s="1" t="str">
        <f>VLOOKUP(C26,Overview!$B$2:$C$6,2,FALSE)</f>
        <v>위</v>
      </c>
      <c r="E26" s="1">
        <v>207</v>
      </c>
      <c r="F26" s="7" t="s">
        <v>165</v>
      </c>
      <c r="G26" s="1">
        <v>7</v>
      </c>
      <c r="H26" s="1">
        <v>10</v>
      </c>
      <c r="I26" s="1">
        <v>3</v>
      </c>
      <c r="J26" s="1">
        <v>1</v>
      </c>
      <c r="K26" s="1">
        <v>1</v>
      </c>
      <c r="L26" s="1"/>
      <c r="M26" s="1"/>
      <c r="N26" s="1"/>
      <c r="O26" s="1" t="s">
        <v>68</v>
      </c>
      <c r="P26" s="1" t="s">
        <v>69</v>
      </c>
      <c r="Q26" s="1">
        <v>2</v>
      </c>
      <c r="R26" s="1"/>
      <c r="S26" s="1">
        <v>20</v>
      </c>
      <c r="T26" s="1"/>
    </row>
    <row r="27" spans="1:20" x14ac:dyDescent="0.3">
      <c r="A27" s="1" t="s">
        <v>23</v>
      </c>
      <c r="B27" s="9" t="s">
        <v>134</v>
      </c>
      <c r="C27" s="1">
        <v>1</v>
      </c>
      <c r="D27" s="1" t="str">
        <f>VLOOKUP(C27,Overview!$B$2:$C$6,2,FALSE)</f>
        <v>촉</v>
      </c>
      <c r="E27" s="1">
        <v>207</v>
      </c>
      <c r="F27" s="7" t="s">
        <v>161</v>
      </c>
      <c r="G27" s="1">
        <v>8</v>
      </c>
      <c r="H27" s="1">
        <v>5</v>
      </c>
      <c r="I27" s="1">
        <v>3</v>
      </c>
      <c r="J27" s="1">
        <f t="shared" ref="J27:J34" si="3">J26+1</f>
        <v>2</v>
      </c>
      <c r="K27" s="1"/>
      <c r="L27" s="1"/>
      <c r="M27" s="1"/>
      <c r="N27" s="1"/>
      <c r="O27" s="1" t="s">
        <v>70</v>
      </c>
      <c r="P27" s="1" t="s">
        <v>71</v>
      </c>
      <c r="Q27" s="1"/>
      <c r="R27" s="1">
        <v>1</v>
      </c>
      <c r="S27" s="1">
        <f t="shared" si="1"/>
        <v>21</v>
      </c>
      <c r="T27" s="1"/>
    </row>
    <row r="28" spans="1:20" x14ac:dyDescent="0.3">
      <c r="A28" s="1" t="s">
        <v>24</v>
      </c>
      <c r="B28" s="9" t="s">
        <v>135</v>
      </c>
      <c r="C28" s="1">
        <v>1</v>
      </c>
      <c r="D28" s="1" t="str">
        <f>VLOOKUP(C28,Overview!$B$2:$C$6,2,FALSE)</f>
        <v>촉</v>
      </c>
      <c r="E28" s="1">
        <v>208</v>
      </c>
      <c r="F28" s="7" t="s">
        <v>164</v>
      </c>
      <c r="G28" s="1">
        <v>9</v>
      </c>
      <c r="H28" s="1">
        <v>5</v>
      </c>
      <c r="I28" s="1">
        <v>3</v>
      </c>
      <c r="J28" s="1">
        <v>2</v>
      </c>
      <c r="K28" s="1"/>
      <c r="L28" s="1"/>
      <c r="M28" s="1" t="s">
        <v>172</v>
      </c>
      <c r="N28" s="1">
        <v>500</v>
      </c>
      <c r="O28" s="1"/>
      <c r="P28" s="1"/>
      <c r="Q28" s="1"/>
      <c r="R28" s="1"/>
      <c r="S28" s="1">
        <f t="shared" si="1"/>
        <v>22</v>
      </c>
      <c r="T28" s="1"/>
    </row>
    <row r="29" spans="1:20" x14ac:dyDescent="0.3">
      <c r="A29" s="1" t="s">
        <v>25</v>
      </c>
      <c r="B29" s="9" t="s">
        <v>91</v>
      </c>
      <c r="C29" s="1">
        <v>1</v>
      </c>
      <c r="D29" s="1" t="str">
        <f>VLOOKUP(C29,Overview!$B$2:$C$6,2,FALSE)</f>
        <v>촉</v>
      </c>
      <c r="E29" s="1">
        <v>208</v>
      </c>
      <c r="F29" s="7" t="s">
        <v>164</v>
      </c>
      <c r="G29" s="1">
        <v>9</v>
      </c>
      <c r="H29" s="1">
        <v>5</v>
      </c>
      <c r="I29" s="1">
        <v>3</v>
      </c>
      <c r="J29" s="1">
        <f t="shared" si="3"/>
        <v>3</v>
      </c>
      <c r="K29" s="1">
        <v>1</v>
      </c>
      <c r="L29" s="1"/>
      <c r="M29" s="1" t="s">
        <v>172</v>
      </c>
      <c r="N29" s="1">
        <v>500</v>
      </c>
      <c r="O29" s="1"/>
      <c r="P29" s="1"/>
      <c r="Q29" s="1"/>
      <c r="R29" s="1"/>
      <c r="S29" s="1">
        <v>22</v>
      </c>
      <c r="T29" s="1"/>
    </row>
    <row r="30" spans="1:20" x14ac:dyDescent="0.3">
      <c r="A30" s="1" t="s">
        <v>26</v>
      </c>
      <c r="B30" s="9" t="s">
        <v>93</v>
      </c>
      <c r="C30" s="1">
        <v>1</v>
      </c>
      <c r="D30" s="1" t="str">
        <f>VLOOKUP(C30,Overview!$B$2:$C$6,2,FALSE)</f>
        <v>촉</v>
      </c>
      <c r="E30" s="1">
        <v>208</v>
      </c>
      <c r="F30" s="7" t="s">
        <v>166</v>
      </c>
      <c r="G30" s="1">
        <v>9</v>
      </c>
      <c r="H30" s="1">
        <v>10</v>
      </c>
      <c r="I30" s="1">
        <v>3</v>
      </c>
      <c r="J30" s="1">
        <f t="shared" si="3"/>
        <v>4</v>
      </c>
      <c r="K30" s="1">
        <v>1</v>
      </c>
      <c r="L30" s="1"/>
      <c r="M30" s="1"/>
      <c r="N30" s="1"/>
      <c r="O30" s="1" t="s">
        <v>72</v>
      </c>
      <c r="P30" s="1" t="s">
        <v>73</v>
      </c>
      <c r="Q30" s="1"/>
      <c r="R30" s="1"/>
      <c r="S30" s="1">
        <f t="shared" si="1"/>
        <v>23</v>
      </c>
      <c r="T30" s="1"/>
    </row>
    <row r="31" spans="1:20" x14ac:dyDescent="0.3">
      <c r="A31" s="1" t="s">
        <v>27</v>
      </c>
      <c r="B31" s="9" t="s">
        <v>136</v>
      </c>
      <c r="C31" s="1">
        <v>2</v>
      </c>
      <c r="D31" s="1" t="str">
        <f>VLOOKUP(C31,Overview!$B$2:$C$6,2,FALSE)</f>
        <v>오</v>
      </c>
      <c r="E31" s="1">
        <v>208</v>
      </c>
      <c r="F31" s="7" t="s">
        <v>163</v>
      </c>
      <c r="G31" s="1">
        <v>10</v>
      </c>
      <c r="H31" s="1">
        <v>1</v>
      </c>
      <c r="I31" s="1">
        <v>3</v>
      </c>
      <c r="J31" s="1">
        <v>4</v>
      </c>
      <c r="K31" s="1"/>
      <c r="L31" s="1"/>
      <c r="M31" s="1" t="s">
        <v>172</v>
      </c>
      <c r="N31" s="1">
        <v>500</v>
      </c>
      <c r="O31" s="1"/>
      <c r="P31" s="1"/>
      <c r="Q31" s="1"/>
      <c r="R31" s="1"/>
      <c r="S31" s="1">
        <f t="shared" si="1"/>
        <v>24</v>
      </c>
      <c r="T31" s="1"/>
    </row>
    <row r="32" spans="1:20" x14ac:dyDescent="0.3">
      <c r="A32" s="1" t="s">
        <v>28</v>
      </c>
      <c r="B32" s="9" t="s">
        <v>94</v>
      </c>
      <c r="C32" s="1">
        <v>2</v>
      </c>
      <c r="D32" s="1" t="str">
        <f>VLOOKUP(C32,Overview!$B$2:$C$6,2,FALSE)</f>
        <v>오</v>
      </c>
      <c r="E32" s="1">
        <v>208</v>
      </c>
      <c r="F32" s="7" t="s">
        <v>163</v>
      </c>
      <c r="G32" s="1">
        <v>10</v>
      </c>
      <c r="H32" s="1">
        <v>1</v>
      </c>
      <c r="I32" s="1">
        <v>3</v>
      </c>
      <c r="J32" s="1">
        <f t="shared" si="3"/>
        <v>5</v>
      </c>
      <c r="K32" s="1">
        <v>1</v>
      </c>
      <c r="L32" s="1"/>
      <c r="M32" s="1" t="s">
        <v>172</v>
      </c>
      <c r="N32" s="1">
        <v>500</v>
      </c>
      <c r="O32" s="1"/>
      <c r="P32" s="1"/>
      <c r="Q32" s="1"/>
      <c r="R32" s="1"/>
      <c r="S32" s="1">
        <v>24</v>
      </c>
      <c r="T32" s="1"/>
    </row>
    <row r="33" spans="1:20" x14ac:dyDescent="0.3">
      <c r="A33" s="1" t="s">
        <v>29</v>
      </c>
      <c r="B33" s="9" t="s">
        <v>137</v>
      </c>
      <c r="C33" s="1">
        <v>2</v>
      </c>
      <c r="D33" s="1" t="str">
        <f>VLOOKUP(C33,Overview!$B$2:$C$6,2,FALSE)</f>
        <v>오</v>
      </c>
      <c r="E33" s="1">
        <v>208</v>
      </c>
      <c r="F33" s="7" t="s">
        <v>167</v>
      </c>
      <c r="G33" s="1">
        <v>10</v>
      </c>
      <c r="H33" s="1">
        <v>5</v>
      </c>
      <c r="I33" s="1">
        <v>3</v>
      </c>
      <c r="J33" s="1">
        <v>5</v>
      </c>
      <c r="K33" s="1"/>
      <c r="L33" s="1"/>
      <c r="M33" s="1" t="s">
        <v>172</v>
      </c>
      <c r="N33" s="1">
        <v>500</v>
      </c>
      <c r="O33" s="1"/>
      <c r="P33" s="1"/>
      <c r="Q33" s="1"/>
      <c r="R33" s="1"/>
      <c r="S33" s="1">
        <f t="shared" si="1"/>
        <v>25</v>
      </c>
      <c r="T33" s="1"/>
    </row>
    <row r="34" spans="1:20" x14ac:dyDescent="0.3">
      <c r="A34" s="1" t="s">
        <v>30</v>
      </c>
      <c r="B34" s="9" t="s">
        <v>95</v>
      </c>
      <c r="C34" s="1">
        <v>0</v>
      </c>
      <c r="D34" s="1" t="str">
        <f>VLOOKUP(C34,Overview!$B$2:$C$6,2,FALSE)</f>
        <v>위</v>
      </c>
      <c r="E34" s="1">
        <v>208</v>
      </c>
      <c r="F34" s="7" t="s">
        <v>156</v>
      </c>
      <c r="G34" s="1">
        <v>10</v>
      </c>
      <c r="H34" s="1">
        <v>5</v>
      </c>
      <c r="I34" s="1">
        <v>3</v>
      </c>
      <c r="J34" s="1">
        <f t="shared" si="3"/>
        <v>6</v>
      </c>
      <c r="K34" s="1">
        <v>1</v>
      </c>
      <c r="L34" s="1"/>
      <c r="M34" s="1" t="s">
        <v>172</v>
      </c>
      <c r="N34" s="1">
        <v>500</v>
      </c>
      <c r="O34" s="1"/>
      <c r="P34" s="1"/>
      <c r="Q34" s="1"/>
      <c r="R34" s="1"/>
      <c r="S34" s="1">
        <v>25</v>
      </c>
      <c r="T34" s="1" t="s">
        <v>79</v>
      </c>
    </row>
    <row r="35" spans="1:20" x14ac:dyDescent="0.3">
      <c r="A35" s="1" t="s">
        <v>31</v>
      </c>
      <c r="B35" s="9" t="s">
        <v>138</v>
      </c>
      <c r="C35" s="1">
        <v>1</v>
      </c>
      <c r="D35" s="1" t="str">
        <f>VLOOKUP(C35,Overview!$B$2:$C$6,2,FALSE)</f>
        <v>촉</v>
      </c>
      <c r="E35" s="1">
        <v>208</v>
      </c>
      <c r="F35" s="7" t="s">
        <v>162</v>
      </c>
      <c r="G35" s="1">
        <v>10</v>
      </c>
      <c r="H35" s="1">
        <v>10</v>
      </c>
      <c r="I35" s="1">
        <v>3</v>
      </c>
      <c r="J35" s="1">
        <v>7</v>
      </c>
      <c r="K35" s="1"/>
      <c r="L35" s="1"/>
      <c r="M35" s="1" t="s">
        <v>172</v>
      </c>
      <c r="N35" s="1">
        <v>500</v>
      </c>
      <c r="O35" s="1"/>
      <c r="P35" s="1"/>
      <c r="Q35" s="1"/>
      <c r="R35" s="1"/>
      <c r="S35" s="1">
        <f t="shared" si="1"/>
        <v>26</v>
      </c>
      <c r="T35" s="1" t="s">
        <v>78</v>
      </c>
    </row>
    <row r="36" spans="1:20" x14ac:dyDescent="0.3">
      <c r="A36" s="1" t="s">
        <v>32</v>
      </c>
      <c r="B36" s="9" t="s">
        <v>139</v>
      </c>
      <c r="C36" s="1">
        <v>1</v>
      </c>
      <c r="D36" s="1" t="str">
        <f>VLOOKUP(C36,Overview!$B$2:$C$6,2,FALSE)</f>
        <v>촉</v>
      </c>
      <c r="E36" s="1">
        <v>209</v>
      </c>
      <c r="F36" s="7" t="s">
        <v>168</v>
      </c>
      <c r="G36" s="1">
        <v>10</v>
      </c>
      <c r="H36" s="1">
        <v>10</v>
      </c>
      <c r="I36" s="1">
        <v>3</v>
      </c>
      <c r="J36" s="1">
        <v>8</v>
      </c>
      <c r="K36" s="1"/>
      <c r="L36" s="1"/>
      <c r="M36" s="1"/>
      <c r="N36" s="1"/>
      <c r="O36" s="1" t="s">
        <v>74</v>
      </c>
      <c r="P36" s="1" t="s">
        <v>75</v>
      </c>
      <c r="Q36" s="1"/>
      <c r="R36" s="1">
        <v>1</v>
      </c>
      <c r="S36" s="1">
        <f t="shared" si="1"/>
        <v>27</v>
      </c>
      <c r="T36" s="1"/>
    </row>
    <row r="37" spans="1:20" x14ac:dyDescent="0.3">
      <c r="A37" s="1" t="s">
        <v>33</v>
      </c>
      <c r="B37" s="9" t="s">
        <v>140</v>
      </c>
      <c r="C37" s="1">
        <v>1</v>
      </c>
      <c r="D37" s="1" t="str">
        <f>VLOOKUP(C37,Overview!$B$2:$C$6,2,FALSE)</f>
        <v>촉</v>
      </c>
      <c r="E37" s="1">
        <v>200</v>
      </c>
      <c r="F37" s="7" t="s">
        <v>162</v>
      </c>
      <c r="G37" s="7"/>
      <c r="H37" s="7"/>
      <c r="I37" s="1"/>
      <c r="J37" s="1"/>
      <c r="K37" s="1"/>
      <c r="L37" s="1"/>
      <c r="M37" s="1" t="s">
        <v>172</v>
      </c>
      <c r="N37" s="1">
        <v>500</v>
      </c>
      <c r="O37" s="1"/>
      <c r="P37" s="1"/>
      <c r="Q37" s="1"/>
      <c r="R37" s="1">
        <v>1</v>
      </c>
      <c r="S37" s="1">
        <v>1</v>
      </c>
      <c r="T37" s="1"/>
    </row>
    <row r="38" spans="1:20" x14ac:dyDescent="0.3">
      <c r="A38" s="1" t="s">
        <v>34</v>
      </c>
      <c r="B38" s="9" t="s">
        <v>141</v>
      </c>
      <c r="C38" s="1">
        <v>1</v>
      </c>
      <c r="D38" s="1" t="str">
        <f>VLOOKUP(C38,Overview!$B$2:$C$6,2,FALSE)</f>
        <v>촉</v>
      </c>
      <c r="E38" s="1">
        <v>200</v>
      </c>
      <c r="F38" s="7" t="s">
        <v>162</v>
      </c>
      <c r="G38" s="7"/>
      <c r="H38" s="7"/>
      <c r="I38" s="1"/>
      <c r="J38" s="1"/>
      <c r="K38" s="1"/>
      <c r="L38" s="1"/>
      <c r="M38" s="1" t="s">
        <v>172</v>
      </c>
      <c r="N38" s="1">
        <v>500</v>
      </c>
      <c r="O38" s="1"/>
      <c r="P38" s="1"/>
      <c r="Q38" s="1"/>
      <c r="R38" s="1">
        <v>1</v>
      </c>
      <c r="S38" s="1">
        <f t="shared" si="1"/>
        <v>2</v>
      </c>
      <c r="T38" s="1"/>
    </row>
    <row r="39" spans="1:20" x14ac:dyDescent="0.3">
      <c r="A39" s="1" t="s">
        <v>35</v>
      </c>
      <c r="B39" s="9" t="s">
        <v>142</v>
      </c>
      <c r="C39" s="1">
        <v>1</v>
      </c>
      <c r="D39" s="1" t="str">
        <f>VLOOKUP(C39,Overview!$B$2:$C$6,2,FALSE)</f>
        <v>촉</v>
      </c>
      <c r="E39" s="1">
        <v>200</v>
      </c>
      <c r="F39" s="7" t="s">
        <v>162</v>
      </c>
      <c r="G39" s="7"/>
      <c r="H39" s="7"/>
      <c r="I39" s="1"/>
      <c r="J39" s="1"/>
      <c r="K39" s="1"/>
      <c r="L39" s="1"/>
      <c r="M39" s="1" t="s">
        <v>172</v>
      </c>
      <c r="N39" s="1">
        <v>500</v>
      </c>
      <c r="O39" s="1"/>
      <c r="P39" s="1"/>
      <c r="Q39" s="1"/>
      <c r="R39" s="1">
        <v>1</v>
      </c>
      <c r="S39" s="1">
        <f t="shared" si="1"/>
        <v>3</v>
      </c>
      <c r="T3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8660-C15C-467B-BEA0-C806D0AD149C}">
  <dimension ref="A1:E10"/>
  <sheetViews>
    <sheetView workbookViewId="0">
      <selection activeCell="A3" sqref="A3"/>
    </sheetView>
  </sheetViews>
  <sheetFormatPr defaultRowHeight="16.5" x14ac:dyDescent="0.3"/>
  <cols>
    <col min="1" max="1" width="16.75" bestFit="1" customWidth="1"/>
    <col min="2" max="2" width="18.375" bestFit="1" customWidth="1"/>
    <col min="3" max="3" width="17.875" bestFit="1" customWidth="1"/>
    <col min="4" max="4" width="18.375" bestFit="1" customWidth="1"/>
    <col min="5" max="5" width="21.375" bestFit="1" customWidth="1"/>
  </cols>
  <sheetData>
    <row r="1" spans="1:5" x14ac:dyDescent="0.3">
      <c r="A1" s="2" t="s">
        <v>81</v>
      </c>
      <c r="B1" s="2" t="s">
        <v>82</v>
      </c>
      <c r="C1" s="2" t="s">
        <v>83</v>
      </c>
      <c r="D1" s="2" t="s">
        <v>84</v>
      </c>
      <c r="E1" s="2" t="s">
        <v>44</v>
      </c>
    </row>
    <row r="2" spans="1:5" x14ac:dyDescent="0.3">
      <c r="A2" s="2" t="s">
        <v>0</v>
      </c>
      <c r="B2" s="2" t="s">
        <v>47</v>
      </c>
      <c r="C2" s="2" t="s">
        <v>0</v>
      </c>
      <c r="D2" s="2" t="s">
        <v>47</v>
      </c>
      <c r="E2" s="2" t="s">
        <v>37</v>
      </c>
    </row>
    <row r="3" spans="1:5" x14ac:dyDescent="0.3">
      <c r="A3" s="1" t="s">
        <v>14</v>
      </c>
      <c r="B3" s="1" t="s">
        <v>85</v>
      </c>
      <c r="C3" s="1" t="s">
        <v>8</v>
      </c>
      <c r="D3" s="1" t="s">
        <v>86</v>
      </c>
      <c r="E3" s="1">
        <v>2</v>
      </c>
    </row>
    <row r="4" spans="1:5" x14ac:dyDescent="0.3">
      <c r="A4" s="1" t="s">
        <v>17</v>
      </c>
      <c r="B4" s="1" t="s">
        <v>87</v>
      </c>
      <c r="C4" s="1" t="s">
        <v>6</v>
      </c>
      <c r="D4" s="1" t="s">
        <v>88</v>
      </c>
      <c r="E4" s="1">
        <v>2</v>
      </c>
    </row>
    <row r="5" spans="1:5" x14ac:dyDescent="0.3">
      <c r="A5" s="1" t="s">
        <v>17</v>
      </c>
      <c r="B5" s="1" t="s">
        <v>87</v>
      </c>
      <c r="C5" s="1" t="s">
        <v>11</v>
      </c>
      <c r="D5" s="1" t="s">
        <v>89</v>
      </c>
      <c r="E5" s="1">
        <v>2</v>
      </c>
    </row>
    <row r="6" spans="1:5" x14ac:dyDescent="0.3">
      <c r="A6" s="1" t="s">
        <v>22</v>
      </c>
      <c r="B6" s="1" t="s">
        <v>90</v>
      </c>
      <c r="C6" s="1" t="s">
        <v>17</v>
      </c>
      <c r="D6" s="1" t="s">
        <v>87</v>
      </c>
      <c r="E6" s="1">
        <v>1</v>
      </c>
    </row>
    <row r="7" spans="1:5" x14ac:dyDescent="0.3">
      <c r="A7" s="1" t="s">
        <v>25</v>
      </c>
      <c r="B7" s="1" t="s">
        <v>91</v>
      </c>
      <c r="C7" s="1" t="s">
        <v>7</v>
      </c>
      <c r="D7" s="1" t="s">
        <v>92</v>
      </c>
      <c r="E7" s="1">
        <v>2</v>
      </c>
    </row>
    <row r="8" spans="1:5" x14ac:dyDescent="0.3">
      <c r="A8" s="1" t="s">
        <v>26</v>
      </c>
      <c r="B8" s="1" t="s">
        <v>93</v>
      </c>
      <c r="C8" s="1" t="s">
        <v>25</v>
      </c>
      <c r="D8" s="1" t="s">
        <v>91</v>
      </c>
      <c r="E8" s="1">
        <v>2</v>
      </c>
    </row>
    <row r="9" spans="1:5" x14ac:dyDescent="0.3">
      <c r="A9" s="1" t="s">
        <v>28</v>
      </c>
      <c r="B9" s="1" t="s">
        <v>94</v>
      </c>
      <c r="C9" s="1" t="s">
        <v>14</v>
      </c>
      <c r="D9" s="1" t="s">
        <v>85</v>
      </c>
      <c r="E9" s="1">
        <v>2</v>
      </c>
    </row>
    <row r="10" spans="1:5" x14ac:dyDescent="0.3">
      <c r="A10" s="1" t="s">
        <v>30</v>
      </c>
      <c r="B10" s="1" t="s">
        <v>95</v>
      </c>
      <c r="C10" s="1" t="s">
        <v>22</v>
      </c>
      <c r="D10" s="1" t="s">
        <v>90</v>
      </c>
      <c r="E10" s="1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0BCF-0DE0-47F0-BFA4-CA773C61935E}">
  <dimension ref="A1:C26"/>
  <sheetViews>
    <sheetView workbookViewId="0">
      <selection activeCell="C29" sqref="C29"/>
    </sheetView>
  </sheetViews>
  <sheetFormatPr defaultRowHeight="16.5" x14ac:dyDescent="0.3"/>
  <cols>
    <col min="1" max="1" width="10" style="3" bestFit="1" customWidth="1"/>
    <col min="2" max="2" width="11.75" style="3" bestFit="1" customWidth="1"/>
    <col min="3" max="3" width="18.75" style="3" bestFit="1" customWidth="1"/>
  </cols>
  <sheetData>
    <row r="1" spans="1:3" x14ac:dyDescent="0.25">
      <c r="A1" s="4" t="s">
        <v>81</v>
      </c>
      <c r="B1" s="4" t="s">
        <v>96</v>
      </c>
      <c r="C1" s="4" t="s">
        <v>97</v>
      </c>
    </row>
    <row r="2" spans="1:3" x14ac:dyDescent="0.25">
      <c r="A2" s="4" t="s">
        <v>0</v>
      </c>
      <c r="B2" s="4" t="s">
        <v>37</v>
      </c>
      <c r="C2" s="4" t="s">
        <v>47</v>
      </c>
    </row>
    <row r="3" spans="1:3" x14ac:dyDescent="0.2">
      <c r="A3" s="5" t="s">
        <v>2</v>
      </c>
      <c r="B3" s="6">
        <v>1</v>
      </c>
      <c r="C3" s="5" t="s">
        <v>98</v>
      </c>
    </row>
    <row r="4" spans="1:3" x14ac:dyDescent="0.2">
      <c r="A4" s="5" t="s">
        <v>2</v>
      </c>
      <c r="B4" s="6">
        <v>2</v>
      </c>
      <c r="C4" s="5" t="s">
        <v>99</v>
      </c>
    </row>
    <row r="5" spans="1:3" x14ac:dyDescent="0.2">
      <c r="A5" s="5" t="s">
        <v>6</v>
      </c>
      <c r="B5" s="6">
        <v>1</v>
      </c>
      <c r="C5" s="5" t="s">
        <v>100</v>
      </c>
    </row>
    <row r="6" spans="1:3" x14ac:dyDescent="0.2">
      <c r="A6" s="5" t="s">
        <v>6</v>
      </c>
      <c r="B6" s="6">
        <v>2</v>
      </c>
      <c r="C6" s="5" t="s">
        <v>101</v>
      </c>
    </row>
    <row r="7" spans="1:3" x14ac:dyDescent="0.2">
      <c r="A7" s="5" t="s">
        <v>7</v>
      </c>
      <c r="B7" s="6">
        <v>1</v>
      </c>
      <c r="C7" s="5" t="s">
        <v>102</v>
      </c>
    </row>
    <row r="8" spans="1:3" x14ac:dyDescent="0.2">
      <c r="A8" s="5" t="s">
        <v>7</v>
      </c>
      <c r="B8" s="6">
        <v>2</v>
      </c>
      <c r="C8" s="5" t="s">
        <v>103</v>
      </c>
    </row>
    <row r="9" spans="1:3" x14ac:dyDescent="0.2">
      <c r="A9" s="5" t="s">
        <v>8</v>
      </c>
      <c r="B9" s="6">
        <v>1</v>
      </c>
      <c r="C9" s="5" t="s">
        <v>104</v>
      </c>
    </row>
    <row r="10" spans="1:3" x14ac:dyDescent="0.2">
      <c r="A10" s="5" t="s">
        <v>8</v>
      </c>
      <c r="B10" s="6">
        <v>2</v>
      </c>
      <c r="C10" s="5" t="s">
        <v>105</v>
      </c>
    </row>
    <row r="11" spans="1:3" x14ac:dyDescent="0.2">
      <c r="A11" s="5" t="s">
        <v>11</v>
      </c>
      <c r="B11" s="6">
        <v>1</v>
      </c>
      <c r="C11" s="5" t="s">
        <v>106</v>
      </c>
    </row>
    <row r="12" spans="1:3" x14ac:dyDescent="0.2">
      <c r="A12" s="5" t="s">
        <v>11</v>
      </c>
      <c r="B12" s="6">
        <v>2</v>
      </c>
      <c r="C12" s="5" t="s">
        <v>107</v>
      </c>
    </row>
    <row r="13" spans="1:3" x14ac:dyDescent="0.2">
      <c r="A13" s="5" t="s">
        <v>14</v>
      </c>
      <c r="B13" s="6">
        <v>1</v>
      </c>
      <c r="C13" s="5" t="s">
        <v>108</v>
      </c>
    </row>
    <row r="14" spans="1:3" x14ac:dyDescent="0.2">
      <c r="A14" s="5" t="s">
        <v>14</v>
      </c>
      <c r="B14" s="6">
        <v>2</v>
      </c>
      <c r="C14" s="5" t="s">
        <v>109</v>
      </c>
    </row>
    <row r="15" spans="1:3" x14ac:dyDescent="0.2">
      <c r="A15" s="5" t="s">
        <v>16</v>
      </c>
      <c r="B15" s="6">
        <v>1</v>
      </c>
      <c r="C15" s="5" t="s">
        <v>110</v>
      </c>
    </row>
    <row r="16" spans="1:3" x14ac:dyDescent="0.2">
      <c r="A16" s="5" t="s">
        <v>16</v>
      </c>
      <c r="B16" s="6">
        <v>2</v>
      </c>
      <c r="C16" s="5" t="s">
        <v>111</v>
      </c>
    </row>
    <row r="17" spans="1:3" x14ac:dyDescent="0.2">
      <c r="A17" s="5" t="s">
        <v>17</v>
      </c>
      <c r="B17" s="6">
        <v>1</v>
      </c>
      <c r="C17" s="5" t="s">
        <v>112</v>
      </c>
    </row>
    <row r="18" spans="1:3" x14ac:dyDescent="0.2">
      <c r="A18" s="5" t="s">
        <v>17</v>
      </c>
      <c r="B18" s="6">
        <v>2</v>
      </c>
      <c r="C18" s="5" t="s">
        <v>113</v>
      </c>
    </row>
    <row r="19" spans="1:3" x14ac:dyDescent="0.2">
      <c r="A19" s="5" t="s">
        <v>18</v>
      </c>
      <c r="B19" s="6">
        <v>1</v>
      </c>
      <c r="C19" s="5" t="s">
        <v>114</v>
      </c>
    </row>
    <row r="20" spans="1:3" x14ac:dyDescent="0.2">
      <c r="A20" s="5" t="s">
        <v>18</v>
      </c>
      <c r="B20" s="6">
        <v>2</v>
      </c>
      <c r="C20" s="5" t="s">
        <v>115</v>
      </c>
    </row>
    <row r="21" spans="1:3" x14ac:dyDescent="0.2">
      <c r="A21" s="5" t="s">
        <v>22</v>
      </c>
      <c r="B21" s="6">
        <v>1</v>
      </c>
      <c r="C21" s="5" t="s">
        <v>116</v>
      </c>
    </row>
    <row r="22" spans="1:3" x14ac:dyDescent="0.2">
      <c r="A22" s="5" t="s">
        <v>22</v>
      </c>
      <c r="B22" s="6">
        <v>2</v>
      </c>
      <c r="C22" s="5" t="s">
        <v>117</v>
      </c>
    </row>
    <row r="23" spans="1:3" x14ac:dyDescent="0.2">
      <c r="A23" s="5" t="s">
        <v>25</v>
      </c>
      <c r="B23" s="6">
        <v>1</v>
      </c>
      <c r="C23" s="5" t="s">
        <v>118</v>
      </c>
    </row>
    <row r="24" spans="1:3" x14ac:dyDescent="0.2">
      <c r="A24" s="5" t="s">
        <v>25</v>
      </c>
      <c r="B24" s="6">
        <v>2</v>
      </c>
      <c r="C24" s="5" t="s">
        <v>119</v>
      </c>
    </row>
    <row r="25" spans="1:3" x14ac:dyDescent="0.2">
      <c r="A25" s="5" t="s">
        <v>31</v>
      </c>
      <c r="B25" s="6">
        <v>1</v>
      </c>
      <c r="C25" s="5" t="s">
        <v>120</v>
      </c>
    </row>
    <row r="26" spans="1:3" x14ac:dyDescent="0.2">
      <c r="A26" s="5" t="s">
        <v>31</v>
      </c>
      <c r="B26" s="6">
        <v>2</v>
      </c>
      <c r="C26" s="5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StoryMode_Node</vt:lpstr>
      <vt:lpstr>StoryMode_Unlock</vt:lpstr>
      <vt:lpstr>StoryMode_Choice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2026-07-15T12:26:04Z</dcterms:modified>
</cp:coreProperties>
</file>