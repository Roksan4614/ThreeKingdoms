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421CFE4-1010-4352-96EE-125699EA2037}" xr6:coauthVersionLast="47" xr6:coauthVersionMax="47" xr10:uidLastSave="{00000000-0000-0000-0000-000000000000}"/>
  <bookViews>
    <workbookView xWindow="-28920" yWindow="1395" windowWidth="29040" windowHeight="16440" activeTab="1" xr2:uid="{00000000-000D-0000-FFFF-FFFF00000000}"/>
  </bookViews>
  <sheets>
    <sheet name="Overview" sheetId="1" r:id="rId1"/>
    <sheet name="s_item" sheetId="3" r:id="rId2"/>
    <sheet name="s_treasur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3" i="3"/>
  <c r="C68" i="3"/>
  <c r="C40" i="3"/>
  <c r="C39" i="3"/>
  <c r="C6" i="3" l="1"/>
  <c r="C5" i="3"/>
  <c r="C4" i="3"/>
  <c r="C3" i="3"/>
  <c r="B3" i="1"/>
  <c r="E3" i="1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E4" i="3" l="1"/>
  <c r="E5" i="3"/>
  <c r="B4" i="1"/>
  <c r="C47" i="3"/>
  <c r="C62" i="3"/>
  <c r="C54" i="3"/>
  <c r="C46" i="3"/>
  <c r="C65" i="3"/>
  <c r="C45" i="3"/>
  <c r="C42" i="3"/>
  <c r="C67" i="3"/>
  <c r="C58" i="3"/>
  <c r="C57" i="3"/>
  <c r="C51" i="3"/>
  <c r="C44" i="3"/>
  <c r="C64" i="3"/>
  <c r="C63" i="3"/>
  <c r="C60" i="3"/>
  <c r="C52" i="3"/>
  <c r="C43" i="3"/>
  <c r="C41" i="3"/>
  <c r="C66" i="3"/>
  <c r="C61" i="3"/>
  <c r="C56" i="3"/>
  <c r="C55" i="3"/>
  <c r="C50" i="3"/>
  <c r="C49" i="3"/>
  <c r="C48" i="3"/>
  <c r="C59" i="3"/>
  <c r="C53" i="3"/>
  <c r="B5" i="1"/>
  <c r="E6" i="3" l="1"/>
  <c r="C30" i="3"/>
  <c r="C24" i="3"/>
  <c r="C32" i="3"/>
  <c r="C29" i="3"/>
  <c r="C28" i="3"/>
  <c r="C26" i="3"/>
  <c r="C31" i="3"/>
  <c r="C27" i="3"/>
  <c r="C36" i="3"/>
  <c r="C35" i="3"/>
  <c r="C23" i="3"/>
  <c r="C34" i="3"/>
  <c r="C25" i="3"/>
  <c r="C33" i="3"/>
  <c r="C22" i="3"/>
  <c r="C16" i="3"/>
  <c r="C12" i="3"/>
  <c r="C9" i="3"/>
  <c r="C21" i="3"/>
  <c r="C15" i="3"/>
  <c r="C10" i="3"/>
  <c r="C20" i="3"/>
  <c r="C14" i="3"/>
  <c r="C11" i="3"/>
  <c r="C8" i="3"/>
  <c r="C19" i="3"/>
  <c r="C13" i="3"/>
  <c r="C7" i="3"/>
  <c r="C18" i="3"/>
  <c r="C17" i="3"/>
  <c r="B6" i="1"/>
  <c r="E9" i="3" l="1"/>
  <c r="E8" i="3"/>
  <c r="E11" i="3"/>
  <c r="E10" i="3"/>
  <c r="E7" i="3"/>
  <c r="C103" i="3"/>
  <c r="C75" i="3"/>
  <c r="C93" i="3"/>
  <c r="C89" i="3"/>
  <c r="C84" i="3"/>
  <c r="C83" i="3"/>
  <c r="C81" i="3"/>
  <c r="C102" i="3"/>
  <c r="C74" i="3"/>
  <c r="C95" i="3"/>
  <c r="C91" i="3"/>
  <c r="C90" i="3"/>
  <c r="C108" i="3"/>
  <c r="C79" i="3"/>
  <c r="C101" i="3"/>
  <c r="C73" i="3"/>
  <c r="C97" i="3"/>
  <c r="C94" i="3"/>
  <c r="C111" i="3"/>
  <c r="C80" i="3"/>
  <c r="C78" i="3"/>
  <c r="C100" i="3"/>
  <c r="C72" i="3"/>
  <c r="C70" i="3"/>
  <c r="C69" i="3"/>
  <c r="C86" i="3"/>
  <c r="C112" i="3"/>
  <c r="C82" i="3"/>
  <c r="C107" i="3"/>
  <c r="C77" i="3"/>
  <c r="C76" i="3"/>
  <c r="C99" i="3"/>
  <c r="C71" i="3"/>
  <c r="C98" i="3"/>
  <c r="C96" i="3"/>
  <c r="C92" i="3"/>
  <c r="C113" i="3"/>
  <c r="C104" i="3"/>
  <c r="C87" i="3"/>
  <c r="C106" i="3"/>
  <c r="C110" i="3"/>
  <c r="C85" i="3"/>
  <c r="C109" i="3"/>
  <c r="C105" i="3"/>
  <c r="C88" i="3"/>
  <c r="B7" i="1"/>
  <c r="E16" i="3" l="1"/>
  <c r="E14" i="3"/>
  <c r="E12" i="3"/>
  <c r="E13" i="3"/>
  <c r="E15" i="3"/>
  <c r="C38" i="3"/>
  <c r="C37" i="3"/>
  <c r="B8" i="1"/>
  <c r="E18" i="3" l="1"/>
  <c r="E21" i="3"/>
  <c r="E17" i="3"/>
  <c r="E20" i="3"/>
  <c r="E19" i="3"/>
  <c r="B9" i="1"/>
  <c r="C159" i="3" s="1"/>
  <c r="C131" i="3"/>
  <c r="C125" i="3"/>
  <c r="C151" i="3"/>
  <c r="C120" i="3"/>
  <c r="C119" i="3"/>
  <c r="C144" i="3"/>
  <c r="C134" i="3"/>
  <c r="C158" i="3"/>
  <c r="C130" i="3"/>
  <c r="C126" i="3"/>
  <c r="C124" i="3"/>
  <c r="C150" i="3"/>
  <c r="C148" i="3"/>
  <c r="C117" i="3"/>
  <c r="C142" i="3"/>
  <c r="C138" i="3"/>
  <c r="C157" i="3"/>
  <c r="C129" i="3"/>
  <c r="C121" i="3"/>
  <c r="C147" i="3"/>
  <c r="C145" i="3"/>
  <c r="C143" i="3"/>
  <c r="C132" i="3"/>
  <c r="C156" i="3"/>
  <c r="C128" i="3"/>
  <c r="C122" i="3"/>
  <c r="C146" i="3"/>
  <c r="C155" i="3"/>
  <c r="C127" i="3"/>
  <c r="C123" i="3"/>
  <c r="C149" i="3"/>
  <c r="C118" i="3"/>
  <c r="C116" i="3"/>
  <c r="C114" i="3"/>
  <c r="C137" i="3"/>
  <c r="C154" i="3"/>
  <c r="C140" i="3"/>
  <c r="C153" i="3"/>
  <c r="C141" i="3"/>
  <c r="C136" i="3"/>
  <c r="C133" i="3"/>
  <c r="C152" i="3"/>
  <c r="C115" i="3"/>
  <c r="C139" i="3"/>
  <c r="C135" i="3"/>
  <c r="E26" i="3" l="1"/>
  <c r="E24" i="3"/>
  <c r="E22" i="3"/>
  <c r="E25" i="3"/>
  <c r="E23" i="3"/>
  <c r="E31" i="3" l="1"/>
  <c r="E29" i="3"/>
  <c r="E30" i="3"/>
  <c r="E28" i="3"/>
  <c r="E27" i="3"/>
  <c r="E36" i="3" l="1"/>
  <c r="E35" i="3"/>
  <c r="E33" i="3"/>
  <c r="E32" i="3"/>
  <c r="E34" i="3"/>
  <c r="E37" i="3" l="1"/>
  <c r="E38" i="3" l="1"/>
  <c r="E40" i="3" l="1"/>
  <c r="E39" i="3" l="1"/>
  <c r="E41" i="3" l="1"/>
  <c r="E46" i="3" l="1"/>
  <c r="E44" i="3"/>
  <c r="E43" i="3"/>
  <c r="E42" i="3"/>
  <c r="E59" i="3"/>
  <c r="E57" i="3"/>
  <c r="E52" i="3"/>
  <c r="E45" i="3"/>
  <c r="E60" i="3"/>
  <c r="E51" i="3"/>
  <c r="E47" i="3"/>
  <c r="E61" i="3"/>
  <c r="E58" i="3"/>
  <c r="E53" i="3"/>
  <c r="E50" i="3"/>
  <c r="E56" i="3"/>
  <c r="E54" i="3"/>
  <c r="E48" i="3"/>
  <c r="E55" i="3"/>
  <c r="E49" i="3"/>
  <c r="E66" i="3" l="1"/>
  <c r="E63" i="3"/>
  <c r="E65" i="3"/>
  <c r="E62" i="3"/>
  <c r="E64" i="3"/>
  <c r="E67" i="3"/>
  <c r="E68" i="3" l="1"/>
  <c r="E102" i="3" l="1"/>
  <c r="E74" i="3"/>
  <c r="E100" i="3"/>
  <c r="E97" i="3"/>
  <c r="E96" i="3"/>
  <c r="E112" i="3"/>
  <c r="E110" i="3"/>
  <c r="E109" i="3"/>
  <c r="E107" i="3"/>
  <c r="E78" i="3"/>
  <c r="E75" i="3"/>
  <c r="E101" i="3"/>
  <c r="E73" i="3"/>
  <c r="E72" i="3"/>
  <c r="E99" i="3"/>
  <c r="E95" i="3"/>
  <c r="E92" i="3"/>
  <c r="E91" i="3"/>
  <c r="E89" i="3"/>
  <c r="E87" i="3"/>
  <c r="E85" i="3"/>
  <c r="E80" i="3"/>
  <c r="E106" i="3"/>
  <c r="E77" i="3"/>
  <c r="E76" i="3"/>
  <c r="E71" i="3"/>
  <c r="E98" i="3"/>
  <c r="E94" i="3"/>
  <c r="E93" i="3"/>
  <c r="E88" i="3"/>
  <c r="E86" i="3"/>
  <c r="E84" i="3"/>
  <c r="E82" i="3"/>
  <c r="E108" i="3"/>
  <c r="E79" i="3"/>
  <c r="E70" i="3"/>
  <c r="E69" i="3"/>
  <c r="E90" i="3"/>
  <c r="E113" i="3"/>
  <c r="E81" i="3"/>
  <c r="E105" i="3"/>
  <c r="E103" i="3"/>
  <c r="E111" i="3"/>
  <c r="E83" i="3"/>
  <c r="E104" i="3"/>
  <c r="E159" i="3" l="1"/>
  <c r="E158" i="3"/>
  <c r="E130" i="3"/>
  <c r="E154" i="3"/>
  <c r="E151" i="3"/>
  <c r="E149" i="3"/>
  <c r="E148" i="3"/>
  <c r="E146" i="3"/>
  <c r="E117" i="3"/>
  <c r="E144" i="3"/>
  <c r="E114" i="3"/>
  <c r="E132" i="3"/>
  <c r="E157" i="3"/>
  <c r="E129" i="3"/>
  <c r="E126" i="3"/>
  <c r="E125" i="3"/>
  <c r="E124" i="3"/>
  <c r="E150" i="3"/>
  <c r="E140" i="3"/>
  <c r="E137" i="3"/>
  <c r="E156" i="3"/>
  <c r="E128" i="3"/>
  <c r="E153" i="3"/>
  <c r="E123" i="3"/>
  <c r="E147" i="3"/>
  <c r="E118" i="3"/>
  <c r="E143" i="3"/>
  <c r="E141" i="3"/>
  <c r="E133" i="3"/>
  <c r="E155" i="3"/>
  <c r="E127" i="3"/>
  <c r="E152" i="3"/>
  <c r="E122" i="3"/>
  <c r="E121" i="3"/>
  <c r="E120" i="3"/>
  <c r="E119" i="3"/>
  <c r="E145" i="3"/>
  <c r="E116" i="3"/>
  <c r="E115" i="3"/>
  <c r="E142" i="3"/>
  <c r="E135" i="3"/>
  <c r="E131" i="3"/>
  <c r="E139" i="3"/>
  <c r="E138" i="3"/>
  <c r="E136" i="3"/>
  <c r="E134" i="3"/>
</calcChain>
</file>

<file path=xl/sharedStrings.xml><?xml version="1.0" encoding="utf-8"?>
<sst xmlns="http://schemas.openxmlformats.org/spreadsheetml/2006/main" count="813" uniqueCount="337">
  <si>
    <t>string</t>
    <phoneticPr fontId="1" type="noConversion"/>
  </si>
  <si>
    <t>currency</t>
  </si>
  <si>
    <t>soul_stone</t>
  </si>
  <si>
    <t>bundle</t>
  </si>
  <si>
    <t>item</t>
  </si>
  <si>
    <t>#category</t>
    <phoneticPr fontId="1" type="noConversion"/>
  </si>
  <si>
    <t>key</t>
  </si>
  <si>
    <t>stat</t>
  </si>
  <si>
    <t>effect</t>
  </si>
  <si>
    <t>pieces_required</t>
  </si>
  <si>
    <t>enum castle_stat_type</t>
  </si>
  <si>
    <t>int</t>
  </si>
  <si>
    <t>liutao</t>
  </si>
  <si>
    <t>sanlue</t>
  </si>
  <si>
    <t>weiliaozi</t>
  </si>
  <si>
    <t>commanders_banner</t>
  </si>
  <si>
    <t>tiger_tally</t>
  </si>
  <si>
    <t>war_drum_gong</t>
  </si>
  <si>
    <t>sima_fa</t>
  </si>
  <si>
    <t>wuzi</t>
  </si>
  <si>
    <t>red_cliff_flame</t>
  </si>
  <si>
    <t>bangcheonhwagug_shard</t>
  </si>
  <si>
    <t>ganjiang_moye</t>
  </si>
  <si>
    <t>chungou</t>
  </si>
  <si>
    <t>zhanlu</t>
  </si>
  <si>
    <t>yuchang</t>
  </si>
  <si>
    <t>taie</t>
  </si>
  <si>
    <t>juque</t>
  </si>
  <si>
    <t>shengxie</t>
  </si>
  <si>
    <t>lords_war_bow</t>
  </si>
  <si>
    <t>wujangwon_star</t>
  </si>
  <si>
    <t>art_of_war</t>
  </si>
  <si>
    <t>qimen_dunjia</t>
  </si>
  <si>
    <t>i_ching</t>
  </si>
  <si>
    <t>guiguzi</t>
  </si>
  <si>
    <t>guanzi</t>
  </si>
  <si>
    <t>han_feizi</t>
  </si>
  <si>
    <t>su_shu_of_huangshi</t>
  </si>
  <si>
    <t>mozi</t>
  </si>
  <si>
    <t>emperors_seal</t>
  </si>
  <si>
    <t>book_of_lord_shang</t>
  </si>
  <si>
    <t>lushi_chunqiu</t>
  </si>
  <si>
    <t>analects</t>
  </si>
  <si>
    <t>wei_administrative_code</t>
  </si>
  <si>
    <t>stratagems_of_warring_states</t>
  </si>
  <si>
    <t>imperial_jade_seal</t>
  </si>
  <si>
    <t>prefects_official_seal</t>
  </si>
  <si>
    <t>huanglao_silk_manuscript</t>
  </si>
  <si>
    <t>doewon_cup</t>
  </si>
  <si>
    <t>hes_jade_disc</t>
  </si>
  <si>
    <t>classic_of_mountains_and_seas</t>
  </si>
  <si>
    <t>xuanhe_qin</t>
  </si>
  <si>
    <t>phoenix_jade_pendant</t>
  </si>
  <si>
    <t>book_of_rites</t>
  </si>
  <si>
    <t>alliance_letter</t>
  </si>
  <si>
    <t>hetu_luoshu</t>
  </si>
  <si>
    <t>map_of_queen_mother_of_the_west</t>
  </si>
  <si>
    <t>#name</t>
    <phoneticPr fontId="1" type="noConversion"/>
  </si>
  <si>
    <t>육도</t>
  </si>
  <si>
    <t>삼략</t>
  </si>
  <si>
    <t>위료자</t>
  </si>
  <si>
    <t>장수기</t>
  </si>
  <si>
    <t>호부</t>
  </si>
  <si>
    <t>금고</t>
  </si>
  <si>
    <t>사마법</t>
  </si>
  <si>
    <t>오자</t>
  </si>
  <si>
    <t>적벽의 화염</t>
  </si>
  <si>
    <t>방천화극 파편</t>
  </si>
  <si>
    <t>간장막야</t>
  </si>
  <si>
    <t>순구</t>
  </si>
  <si>
    <t>담로</t>
  </si>
  <si>
    <t>어장</t>
  </si>
  <si>
    <t>태아</t>
  </si>
  <si>
    <t>거궐</t>
  </si>
  <si>
    <t>승영</t>
  </si>
  <si>
    <t>군왕궁</t>
  </si>
  <si>
    <t>오장원의 별</t>
  </si>
  <si>
    <t>손자병법</t>
  </si>
  <si>
    <t>기문둔갑</t>
  </si>
  <si>
    <t>주역</t>
  </si>
  <si>
    <t>귀곡자</t>
  </si>
  <si>
    <t>관자</t>
  </si>
  <si>
    <t>한비자</t>
  </si>
  <si>
    <t>황석공소서</t>
  </si>
  <si>
    <t>묵자</t>
  </si>
  <si>
    <t>황제의 인장</t>
  </si>
  <si>
    <t>상군서</t>
  </si>
  <si>
    <t>여씨춘추</t>
  </si>
  <si>
    <t>논어</t>
  </si>
  <si>
    <t>정전</t>
  </si>
  <si>
    <t>전국책</t>
  </si>
  <si>
    <t>옥새</t>
  </si>
  <si>
    <t>군목 인장</t>
  </si>
  <si>
    <t>황노백서</t>
  </si>
  <si>
    <t>도원의 술잔</t>
  </si>
  <si>
    <t>화씨벽</t>
  </si>
  <si>
    <t>산해경</t>
  </si>
  <si>
    <t>현학금</t>
  </si>
  <si>
    <t>봉황패</t>
  </si>
  <si>
    <t>예기</t>
  </si>
  <si>
    <t>연환서</t>
  </si>
  <si>
    <t>하도낙서</t>
  </si>
  <si>
    <t>서왕모도</t>
  </si>
  <si>
    <t>leadership</t>
  </si>
  <si>
    <t>leadership</t>
    <phoneticPr fontId="1" type="noConversion"/>
  </si>
  <si>
    <t>strength</t>
  </si>
  <si>
    <t>strength</t>
    <phoneticPr fontId="1" type="noConversion"/>
  </si>
  <si>
    <t>intellect</t>
  </si>
  <si>
    <t>intellect</t>
    <phoneticPr fontId="1" type="noConversion"/>
  </si>
  <si>
    <t>politics</t>
  </si>
  <si>
    <t>politics</t>
    <phoneticPr fontId="1" type="noConversion"/>
  </si>
  <si>
    <t>charisma</t>
  </si>
  <si>
    <t>charisma</t>
    <phoneticPr fontId="1" type="noConversion"/>
  </si>
  <si>
    <t>#stat</t>
    <phoneticPr fontId="1" type="noConversion"/>
  </si>
  <si>
    <t>int</t>
    <phoneticPr fontId="1" type="noConversion"/>
  </si>
  <si>
    <t>{"boss_damage":1,"attack_speed":1}</t>
  </si>
  <si>
    <t>{"attack_speed":1,"boss_damage":1}</t>
  </si>
  <si>
    <t>{"cooldown_rate":1,"move_speed":1,"life_steal":1}</t>
  </si>
  <si>
    <t>{"attack_speed":1,"critical_rate":1,"critical_damage":1}</t>
  </si>
  <si>
    <t>{"life_steal":1,"move_speed":1}</t>
  </si>
  <si>
    <t>tournament_point</t>
  </si>
  <si>
    <t>tournament_ticket</t>
  </si>
  <si>
    <t>raid_point</t>
  </si>
  <si>
    <t>rice</t>
  </si>
  <si>
    <t>paid_gold</t>
  </si>
  <si>
    <t>time_stone</t>
  </si>
  <si>
    <t>rice_pocket_normal</t>
  </si>
  <si>
    <t>rice_pocket_elite</t>
  </si>
  <si>
    <t>rice_pocket_general</t>
  </si>
  <si>
    <t>rice_pocket_hero</t>
  </si>
  <si>
    <t>rice_pocket_legend</t>
  </si>
  <si>
    <t>gold_pocket_normal</t>
  </si>
  <si>
    <t>gold_pocket_elite</t>
  </si>
  <si>
    <t>gold_pocket_general</t>
  </si>
  <si>
    <t>gold_pocket_hero</t>
  </si>
  <si>
    <t>gold_pocket_legend</t>
  </si>
  <si>
    <t>time_stone_pocket_normal</t>
  </si>
  <si>
    <t>time_stone_pocket_elite</t>
  </si>
  <si>
    <t>time_stone_pocket_general</t>
  </si>
  <si>
    <t>time_stone_pocket_hero</t>
  </si>
  <si>
    <t>time_stone_pocket_legend</t>
  </si>
  <si>
    <t>class_soul_stone_random_box_normal</t>
  </si>
  <si>
    <t>class_soul_stone_random_box_elite</t>
  </si>
  <si>
    <t>class_soul_stone_random_box_general</t>
  </si>
  <si>
    <t>class_soul_stone_random_box_hero</t>
  </si>
  <si>
    <t>class_soul_stone_random_box_legend</t>
  </si>
  <si>
    <t>dedicated_soul_stone_random_box_normal</t>
  </si>
  <si>
    <t>dedicated_soul_stone_random_box_elite</t>
  </si>
  <si>
    <t>dedicated_soul_stone_random_box_general</t>
  </si>
  <si>
    <t>dedicated_soul_stone_random_box_hero</t>
  </si>
  <si>
    <t>dedicated_soul_stone_random_box_legend</t>
  </si>
  <si>
    <t>treasure_piece_random_box_normal</t>
  </si>
  <si>
    <t>treasure_piece_random_box_elite</t>
  </si>
  <si>
    <t>treasure_piece_random_box_general</t>
  </si>
  <si>
    <t>treasure_piece_random_box_hero</t>
  </si>
  <si>
    <t>treasure_piece_random_box_legend</t>
  </si>
  <si>
    <t>normal_gacha_ticket</t>
  </si>
  <si>
    <t>gacha_ticket</t>
  </si>
  <si>
    <t>premium_gacha_ticket</t>
  </si>
  <si>
    <t>public_soul_stone</t>
  </si>
  <si>
    <t>dedicated_soul_stone_cao_cao</t>
  </si>
  <si>
    <t>dedicated_soul_stone_cao_ren</t>
  </si>
  <si>
    <t>dedicated_soul_stone_xiahou_dun</t>
  </si>
  <si>
    <t>dedicated_soul_stone_zhang_liao</t>
  </si>
  <si>
    <t>dedicated_soul_stone_xiahou_yuan</t>
  </si>
  <si>
    <t>dedicated_soul_stone_xun_yu</t>
  </si>
  <si>
    <t>dedicated_soul_stone_liu_bei</t>
  </si>
  <si>
    <t>dedicated_soul_stone_guan_yu</t>
  </si>
  <si>
    <t>dedicated_soul_stone_zhang_fei</t>
  </si>
  <si>
    <t>dedicated_soul_stone_zhao_yun</t>
  </si>
  <si>
    <t>dedicated_soul_stone_huang_zhong</t>
  </si>
  <si>
    <t>dedicated_soul_stone_zhuge_liang</t>
  </si>
  <si>
    <t>dedicated_soul_stone_sun_jian</t>
  </si>
  <si>
    <t>dedicated_soul_stone_sun_quan</t>
  </si>
  <si>
    <t>dedicated_soul_stone_huang_gai</t>
  </si>
  <si>
    <t>dedicated_soul_stone_sun_ce</t>
  </si>
  <si>
    <t>dedicated_soul_stone_taishi_ci</t>
  </si>
  <si>
    <t>dedicated_soul_stone_han_dang</t>
  </si>
  <si>
    <t>dedicated_soul_stone_zhou_yu</t>
  </si>
  <si>
    <t>dedicated_soul_stone_lu_bu</t>
  </si>
  <si>
    <t>class_soul_stone_commander</t>
  </si>
  <si>
    <t>class_soul_stone_champion</t>
  </si>
  <si>
    <t>class_soul_stone_vanguard</t>
  </si>
  <si>
    <t>class_soul_stone_chaser</t>
  </si>
  <si>
    <t>class_soul_stone_archer</t>
  </si>
  <si>
    <t>class_soul_stone_strategist</t>
  </si>
  <si>
    <t>treasure_mileage</t>
  </si>
  <si>
    <t>treasure_piece_liutao</t>
  </si>
  <si>
    <t>treasure_piece</t>
  </si>
  <si>
    <t>treasure_piece_sanlue</t>
  </si>
  <si>
    <t>treasure_piece_weiliaozi</t>
  </si>
  <si>
    <t>treasure_piece_commanders_banner</t>
  </si>
  <si>
    <t>treasure_piece_tiger_tally</t>
  </si>
  <si>
    <t>treasure_piece_war_drum_gong</t>
  </si>
  <si>
    <t>treasure_piece_sima_fa</t>
  </si>
  <si>
    <t>treasure_piece_wuzi</t>
  </si>
  <si>
    <t>treasure_piece_red_cliff_flame</t>
  </si>
  <si>
    <t>treasure_piece_bangcheonhwagug_shard</t>
  </si>
  <si>
    <t>treasure_piece_ganjiang_moye</t>
  </si>
  <si>
    <t>treasure_piece_chungou</t>
  </si>
  <si>
    <t>treasure_piece_zhanlu</t>
  </si>
  <si>
    <t>treasure_piece_yuchang</t>
  </si>
  <si>
    <t>treasure_piece_taie</t>
  </si>
  <si>
    <t>treasure_piece_juque</t>
  </si>
  <si>
    <t>treasure_piece_shengxie</t>
  </si>
  <si>
    <t>treasure_piece_lords_war_bow</t>
  </si>
  <si>
    <t>treasure_piece_wujangwon_star</t>
  </si>
  <si>
    <t>treasure_piece_art_of_war</t>
  </si>
  <si>
    <t>treasure_piece_qimen_dunjia</t>
  </si>
  <si>
    <t>treasure_piece_i_ching</t>
  </si>
  <si>
    <t>treasure_piece_guiguzi</t>
  </si>
  <si>
    <t>treasure_piece_guanzi</t>
  </si>
  <si>
    <t>treasure_piece_han_feizi</t>
  </si>
  <si>
    <t>treasure_piece_su_shu_of_huangshi</t>
  </si>
  <si>
    <t>treasure_piece_mozi</t>
  </si>
  <si>
    <t>treasure_piece_emperors_seal</t>
  </si>
  <si>
    <t>treasure_piece_book_of_lord_shang</t>
  </si>
  <si>
    <t>treasure_piece_lushi_chunqiu</t>
  </si>
  <si>
    <t>treasure_piece_analects</t>
  </si>
  <si>
    <t>treasure_piece_wei_administrative_code</t>
  </si>
  <si>
    <t>treasure_piece_stratagems_of_warring_states</t>
  </si>
  <si>
    <t>treasure_piece_imperial_jade_seal</t>
  </si>
  <si>
    <t>treasure_piece_prefects_official_seal</t>
  </si>
  <si>
    <t>treasure_piece_huanglao_silk_manuscript</t>
  </si>
  <si>
    <t>treasure_piece_doewon_cup</t>
  </si>
  <si>
    <t>treasure_piece_hes_jade_disc</t>
  </si>
  <si>
    <t>treasure_piece_classic_of_mountains_and_seas</t>
  </si>
  <si>
    <t>treasure_piece_xuanhe_qin</t>
  </si>
  <si>
    <t>treasure_piece_phoenix_jade_pendant</t>
  </si>
  <si>
    <t>treasure_piece_book_of_rites</t>
  </si>
  <si>
    <t>treasure_piece_alliance_letter</t>
  </si>
  <si>
    <t>treasure_piece_hetu_luoshu</t>
  </si>
  <si>
    <t>treasure_piece_map_of_queen_mother_of_the_west</t>
  </si>
  <si>
    <t>treasure_liutao</t>
  </si>
  <si>
    <t>treasure</t>
  </si>
  <si>
    <t>treasure_sanlue</t>
  </si>
  <si>
    <t>treasure_weiliaozi</t>
  </si>
  <si>
    <t>treasure_commanders_banner</t>
  </si>
  <si>
    <t>treasure_tiger_tally</t>
  </si>
  <si>
    <t>treasure_war_drum_gong</t>
  </si>
  <si>
    <t>treasure_sima_fa</t>
  </si>
  <si>
    <t>treasure_wuzi</t>
  </si>
  <si>
    <t>treasure_red_cliff_flame</t>
  </si>
  <si>
    <t>treasure_bangcheonhwagug_shard</t>
  </si>
  <si>
    <t>treasure_ganjiang_moye</t>
  </si>
  <si>
    <t>treasure_chungou</t>
  </si>
  <si>
    <t>treasure_zhanlu</t>
  </si>
  <si>
    <t>treasure_yuchang</t>
  </si>
  <si>
    <t>treasure_taie</t>
  </si>
  <si>
    <t>treasure_juque</t>
  </si>
  <si>
    <t>treasure_shengxie</t>
  </si>
  <si>
    <t>treasure_lords_war_bow</t>
  </si>
  <si>
    <t>treasure_wujangwon_star</t>
  </si>
  <si>
    <t>treasure_art_of_war</t>
  </si>
  <si>
    <t>treasure_qimen_dunjia</t>
  </si>
  <si>
    <t>treasure_i_ching</t>
  </si>
  <si>
    <t>treasure_guiguzi</t>
  </si>
  <si>
    <t>treasure_guanzi</t>
  </si>
  <si>
    <t>treasure_han_feizi</t>
  </si>
  <si>
    <t>treasure_su_shu_of_huangshi</t>
  </si>
  <si>
    <t>treasure_mozi</t>
  </si>
  <si>
    <t>treasure_emperors_seal</t>
  </si>
  <si>
    <t>treasure_book_of_lord_shang</t>
  </si>
  <si>
    <t>treasure_lushi_chunqiu</t>
  </si>
  <si>
    <t>treasure_analects</t>
  </si>
  <si>
    <t>treasure_wei_administrative_code</t>
  </si>
  <si>
    <t>treasure_stratagems_of_warring_states</t>
  </si>
  <si>
    <t>treasure_imperial_jade_seal</t>
  </si>
  <si>
    <t>treasure_prefects_official_seal</t>
  </si>
  <si>
    <t>treasure_huanglao_silk_manuscript</t>
  </si>
  <si>
    <t>treasure_doewon_cup</t>
  </si>
  <si>
    <t>treasure_hes_jade_disc</t>
  </si>
  <si>
    <t>treasure_classic_of_mountains_and_seas</t>
  </si>
  <si>
    <t>treasure_xuanhe_qin</t>
  </si>
  <si>
    <t>treasure_phoenix_jade_pendant</t>
  </si>
  <si>
    <t>treasure_book_of_rites</t>
  </si>
  <si>
    <t>treasure_alliance_letter</t>
  </si>
  <si>
    <t>treasure_hetu_luoshu</t>
  </si>
  <si>
    <t>treasure_map_of_queen_mother_of_the_west</t>
  </si>
  <si>
    <t>contents_ticket</t>
  </si>
  <si>
    <t>Category</t>
    <phoneticPr fontId="1" type="noConversion"/>
  </si>
  <si>
    <t>treasure_piece</t>
    <phoneticPr fontId="1" type="noConversion"/>
  </si>
  <si>
    <t>gold</t>
  </si>
  <si>
    <t>pocket_rice</t>
  </si>
  <si>
    <t>pocket_gold</t>
  </si>
  <si>
    <t>pocket_time_stone</t>
  </si>
  <si>
    <t>random_box_class_soul_stone</t>
  </si>
  <si>
    <t>random_box_dedicated_soul_stone</t>
  </si>
  <si>
    <t>ticket_gacha_normal</t>
  </si>
  <si>
    <t>ticket_gacha_premium</t>
  </si>
  <si>
    <t>point_raid</t>
  </si>
  <si>
    <t>point_tournament</t>
  </si>
  <si>
    <t>dedicated_soul_stone</t>
  </si>
  <si>
    <t>class_soul_stone</t>
  </si>
  <si>
    <t>ticket_tournament</t>
  </si>
  <si>
    <t>#type</t>
    <phoneticPr fontId="1" type="noConversion"/>
  </si>
  <si>
    <t>random_box_treasure_piece</t>
  </si>
  <si>
    <t>ticket_gacha_normal</t>
    <phoneticPr fontId="1" type="noConversion"/>
  </si>
  <si>
    <t>ticket_gacha_premium</t>
    <phoneticPr fontId="1" type="noConversion"/>
  </si>
  <si>
    <t>category</t>
  </si>
  <si>
    <t>string</t>
  </si>
  <si>
    <t>type</t>
    <phoneticPr fontId="1" type="noConversion"/>
  </si>
  <si>
    <t>rice</t>
    <phoneticPr fontId="1" type="noConversion"/>
  </si>
  <si>
    <t>random_box_class_soul_stone</t>
    <phoneticPr fontId="1" type="noConversion"/>
  </si>
  <si>
    <t>random_box_dedicated_soul_stone</t>
    <phoneticPr fontId="1" type="noConversion"/>
  </si>
  <si>
    <t>random_box_treasure_piece</t>
    <phoneticPr fontId="1" type="noConversion"/>
  </si>
  <si>
    <t>public_soul_stone</t>
    <phoneticPr fontId="1" type="noConversion"/>
  </si>
  <si>
    <t>dedicated_soul_stone</t>
    <phoneticPr fontId="1" type="noConversion"/>
  </si>
  <si>
    <t>class_soul_stone</t>
    <phoneticPr fontId="1" type="noConversion"/>
  </si>
  <si>
    <t>value</t>
  </si>
  <si>
    <t>CaoCao</t>
  </si>
  <si>
    <t>CaoRen</t>
  </si>
  <si>
    <t>XiahouDun</t>
  </si>
  <si>
    <t>ZhangLiao</t>
  </si>
  <si>
    <t>XiahouYuan</t>
  </si>
  <si>
    <t>XunYu</t>
  </si>
  <si>
    <t>LiuBei</t>
  </si>
  <si>
    <t>GuanYu</t>
  </si>
  <si>
    <t>ZhangFei</t>
  </si>
  <si>
    <t>ZhaoYun</t>
  </si>
  <si>
    <t>HuangZhong</t>
  </si>
  <si>
    <t>ZhugeLiang</t>
  </si>
  <si>
    <t>SunJian</t>
  </si>
  <si>
    <t>SunQuan</t>
  </si>
  <si>
    <t>HuangGai</t>
  </si>
  <si>
    <t>SunCe</t>
  </si>
  <si>
    <t>TaishiCi</t>
  </si>
  <si>
    <t>HanDang</t>
  </si>
  <si>
    <t>ZhouYu</t>
  </si>
  <si>
    <t>LuBu</t>
  </si>
  <si>
    <t>commander</t>
  </si>
  <si>
    <t>champion</t>
  </si>
  <si>
    <t>vanguard</t>
  </si>
  <si>
    <t>chaser</t>
  </si>
  <si>
    <t>archer</t>
  </si>
  <si>
    <t>strategist</t>
  </si>
  <si>
    <t>gold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</si>
</sst>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3" sqref="B3"/>
    </sheetView>
  </sheetViews>
  <sheetFormatPr defaultRowHeight="16.5" x14ac:dyDescent="0.3"/>
  <cols>
    <col min="1" max="1" width="12.25" bestFit="1" customWidth="1"/>
    <col min="4" max="4" width="26.875" bestFit="1" customWidth="1"/>
  </cols>
  <sheetData>
    <row r="1" spans="1:8" ht="17.25" thickBot="1" x14ac:dyDescent="0.35">
      <c r="A1" t="s">
        <v>280</v>
      </c>
    </row>
    <row r="2" spans="1:8" ht="17.25" thickBot="1" x14ac:dyDescent="0.35">
      <c r="A2" s="5" t="s">
        <v>1</v>
      </c>
      <c r="B2">
        <v>0</v>
      </c>
      <c r="D2" t="s">
        <v>302</v>
      </c>
      <c r="E2">
        <v>0</v>
      </c>
      <c r="G2" t="s">
        <v>104</v>
      </c>
      <c r="H2">
        <v>0</v>
      </c>
    </row>
    <row r="3" spans="1:8" ht="17.25" thickBot="1" x14ac:dyDescent="0.35">
      <c r="A3" s="6" t="s">
        <v>2</v>
      </c>
      <c r="B3">
        <f t="shared" ref="B3:B8" si="0">B2+1</f>
        <v>1</v>
      </c>
      <c r="D3" t="s">
        <v>282</v>
      </c>
      <c r="E3">
        <f t="shared" ref="E3:E21" si="1">E2+1</f>
        <v>1</v>
      </c>
      <c r="G3" t="s">
        <v>106</v>
      </c>
      <c r="H3">
        <v>1</v>
      </c>
    </row>
    <row r="4" spans="1:8" ht="17.25" thickBot="1" x14ac:dyDescent="0.35">
      <c r="A4" s="6" t="s">
        <v>3</v>
      </c>
      <c r="B4">
        <f t="shared" si="0"/>
        <v>2</v>
      </c>
      <c r="D4" t="s">
        <v>125</v>
      </c>
      <c r="E4">
        <f t="shared" si="1"/>
        <v>2</v>
      </c>
      <c r="G4" t="s">
        <v>108</v>
      </c>
      <c r="H4">
        <v>2</v>
      </c>
    </row>
    <row r="5" spans="1:8" ht="17.25" thickBot="1" x14ac:dyDescent="0.35">
      <c r="A5" s="6" t="s">
        <v>4</v>
      </c>
      <c r="B5">
        <f t="shared" si="0"/>
        <v>3</v>
      </c>
      <c r="D5" t="s">
        <v>283</v>
      </c>
      <c r="E5">
        <f t="shared" si="1"/>
        <v>3</v>
      </c>
      <c r="G5" t="s">
        <v>110</v>
      </c>
      <c r="H5">
        <v>3</v>
      </c>
    </row>
    <row r="6" spans="1:8" ht="17.25" thickBot="1" x14ac:dyDescent="0.35">
      <c r="A6" s="6" t="s">
        <v>281</v>
      </c>
      <c r="B6">
        <f t="shared" si="0"/>
        <v>4</v>
      </c>
      <c r="D6" t="s">
        <v>284</v>
      </c>
      <c r="E6">
        <f t="shared" si="1"/>
        <v>4</v>
      </c>
      <c r="G6" t="s">
        <v>112</v>
      </c>
      <c r="H6">
        <v>4</v>
      </c>
    </row>
    <row r="7" spans="1:8" ht="17.25" thickBot="1" x14ac:dyDescent="0.35">
      <c r="A7" s="6" t="s">
        <v>157</v>
      </c>
      <c r="B7">
        <f t="shared" si="0"/>
        <v>5</v>
      </c>
      <c r="D7" t="s">
        <v>285</v>
      </c>
      <c r="E7">
        <f t="shared" si="1"/>
        <v>5</v>
      </c>
    </row>
    <row r="8" spans="1:8" ht="17.25" thickBot="1" x14ac:dyDescent="0.35">
      <c r="A8" s="6" t="s">
        <v>234</v>
      </c>
      <c r="B8">
        <f t="shared" si="0"/>
        <v>6</v>
      </c>
      <c r="D8" t="s">
        <v>303</v>
      </c>
      <c r="E8">
        <f t="shared" si="1"/>
        <v>6</v>
      </c>
      <c r="F8" s="12"/>
    </row>
    <row r="9" spans="1:8" ht="17.25" thickBot="1" x14ac:dyDescent="0.35">
      <c r="A9" s="6" t="s">
        <v>279</v>
      </c>
      <c r="B9">
        <f>B8+1</f>
        <v>7</v>
      </c>
      <c r="D9" t="s">
        <v>304</v>
      </c>
      <c r="E9">
        <f t="shared" si="1"/>
        <v>7</v>
      </c>
    </row>
    <row r="10" spans="1:8" x14ac:dyDescent="0.3">
      <c r="D10" t="s">
        <v>296</v>
      </c>
      <c r="E10">
        <f t="shared" si="1"/>
        <v>8</v>
      </c>
    </row>
    <row r="11" spans="1:8" x14ac:dyDescent="0.3">
      <c r="D11" t="s">
        <v>297</v>
      </c>
      <c r="E11">
        <f t="shared" si="1"/>
        <v>9</v>
      </c>
    </row>
    <row r="12" spans="1:8" x14ac:dyDescent="0.3">
      <c r="D12" t="s">
        <v>298</v>
      </c>
      <c r="E12">
        <f t="shared" si="1"/>
        <v>10</v>
      </c>
    </row>
    <row r="13" spans="1:8" x14ac:dyDescent="0.3">
      <c r="D13" t="s">
        <v>291</v>
      </c>
      <c r="E13">
        <f t="shared" si="1"/>
        <v>11</v>
      </c>
    </row>
    <row r="14" spans="1:8" x14ac:dyDescent="0.3">
      <c r="D14" t="s">
        <v>290</v>
      </c>
      <c r="E14">
        <f t="shared" si="1"/>
        <v>12</v>
      </c>
    </row>
    <row r="15" spans="1:8" x14ac:dyDescent="0.3">
      <c r="D15" t="s">
        <v>306</v>
      </c>
      <c r="E15">
        <f t="shared" si="1"/>
        <v>13</v>
      </c>
    </row>
    <row r="16" spans="1:8" x14ac:dyDescent="0.3">
      <c r="D16" t="s">
        <v>307</v>
      </c>
      <c r="E16">
        <f t="shared" si="1"/>
        <v>14</v>
      </c>
    </row>
    <row r="17" spans="4:5" x14ac:dyDescent="0.3">
      <c r="D17" t="s">
        <v>308</v>
      </c>
      <c r="E17">
        <f t="shared" si="1"/>
        <v>15</v>
      </c>
    </row>
    <row r="18" spans="4:5" x14ac:dyDescent="0.3">
      <c r="D18" t="s">
        <v>186</v>
      </c>
      <c r="E18">
        <f t="shared" si="1"/>
        <v>16</v>
      </c>
    </row>
    <row r="19" spans="4:5" x14ac:dyDescent="0.3">
      <c r="D19" t="s">
        <v>188</v>
      </c>
      <c r="E19">
        <f t="shared" si="1"/>
        <v>17</v>
      </c>
    </row>
    <row r="20" spans="4:5" x14ac:dyDescent="0.3">
      <c r="D20" t="s">
        <v>234</v>
      </c>
      <c r="E20">
        <f t="shared" si="1"/>
        <v>18</v>
      </c>
    </row>
    <row r="21" spans="4:5" x14ac:dyDescent="0.3">
      <c r="D21" t="s">
        <v>294</v>
      </c>
      <c r="E21">
        <f t="shared" si="1"/>
        <v>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9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5" sqref="A5"/>
    </sheetView>
  </sheetViews>
  <sheetFormatPr defaultRowHeight="16.5" x14ac:dyDescent="0.3"/>
  <cols>
    <col min="1" max="1" width="42" customWidth="1"/>
    <col min="2" max="2" width="12.875" bestFit="1" customWidth="1"/>
    <col min="3" max="3" width="8.375" bestFit="1" customWidth="1"/>
    <col min="4" max="4" width="28.875" style="13" bestFit="1" customWidth="1"/>
    <col min="5" max="5" width="4.875" bestFit="1" customWidth="1"/>
    <col min="6" max="6" width="35.625" bestFit="1" customWidth="1"/>
  </cols>
  <sheetData>
    <row r="1" spans="1:6" x14ac:dyDescent="0.3">
      <c r="A1" s="14" t="s">
        <v>6</v>
      </c>
      <c r="B1" s="14" t="s">
        <v>5</v>
      </c>
      <c r="C1" s="14" t="s">
        <v>299</v>
      </c>
      <c r="D1" s="15" t="s">
        <v>295</v>
      </c>
      <c r="E1" s="14" t="s">
        <v>301</v>
      </c>
      <c r="F1" s="14" t="s">
        <v>309</v>
      </c>
    </row>
    <row r="2" spans="1:6" x14ac:dyDescent="0.3">
      <c r="A2" s="14" t="s">
        <v>0</v>
      </c>
      <c r="B2" s="14"/>
      <c r="C2" s="14" t="s">
        <v>114</v>
      </c>
      <c r="D2" s="15"/>
      <c r="E2" s="14" t="s">
        <v>114</v>
      </c>
      <c r="F2" s="14" t="s">
        <v>300</v>
      </c>
    </row>
    <row r="3" spans="1:6" x14ac:dyDescent="0.3">
      <c r="A3" s="16" t="s">
        <v>123</v>
      </c>
      <c r="B3" s="16" t="s">
        <v>1</v>
      </c>
      <c r="C3" s="11">
        <f>VLOOKUP(B3,Overview!$A$2:$B$9,2,FALSE)</f>
        <v>0</v>
      </c>
      <c r="D3" s="16" t="s">
        <v>123</v>
      </c>
      <c r="E3" s="17">
        <f>VLOOKUP(D3,Overview!$D$2:$E$21,2,FALSE)</f>
        <v>0</v>
      </c>
      <c r="F3" s="18"/>
    </row>
    <row r="4" spans="1:6" x14ac:dyDescent="0.3">
      <c r="A4" s="16" t="s">
        <v>336</v>
      </c>
      <c r="B4" s="16" t="s">
        <v>1</v>
      </c>
      <c r="C4" s="11">
        <f>VLOOKUP(B4,Overview!$A$2:$B$9,2,FALSE)</f>
        <v>0</v>
      </c>
      <c r="D4" s="16" t="s">
        <v>282</v>
      </c>
      <c r="E4" s="17">
        <f>VLOOKUP(D4,Overview!$D$2:$E$21,2,FALSE)</f>
        <v>1</v>
      </c>
      <c r="F4" s="18"/>
    </row>
    <row r="5" spans="1:6" x14ac:dyDescent="0.3">
      <c r="A5" s="16" t="s">
        <v>124</v>
      </c>
      <c r="B5" s="16" t="s">
        <v>1</v>
      </c>
      <c r="C5" s="11">
        <f>VLOOKUP(B5,Overview!$A$2:$B$9,2,FALSE)</f>
        <v>0</v>
      </c>
      <c r="D5" s="16" t="s">
        <v>282</v>
      </c>
      <c r="E5" s="17">
        <f>VLOOKUP(D5,Overview!$D$2:$E$21,2,FALSE)</f>
        <v>1</v>
      </c>
      <c r="F5" s="18"/>
    </row>
    <row r="6" spans="1:6" x14ac:dyDescent="0.3">
      <c r="A6" s="16" t="s">
        <v>125</v>
      </c>
      <c r="B6" s="16" t="s">
        <v>1</v>
      </c>
      <c r="C6" s="11">
        <f>VLOOKUP(B6,Overview!$A$2:$B$9,2,FALSE)</f>
        <v>0</v>
      </c>
      <c r="D6" s="16" t="s">
        <v>125</v>
      </c>
      <c r="E6" s="17">
        <f>VLOOKUP(D6,Overview!$D$2:$E$21,2,FALSE)</f>
        <v>2</v>
      </c>
      <c r="F6" s="18"/>
    </row>
    <row r="7" spans="1:6" x14ac:dyDescent="0.3">
      <c r="A7" s="16" t="s">
        <v>126</v>
      </c>
      <c r="B7" s="16" t="s">
        <v>3</v>
      </c>
      <c r="C7" s="11">
        <f>VLOOKUP(B7,Overview!$A$2:$B$9,2,FALSE)</f>
        <v>2</v>
      </c>
      <c r="D7" s="16" t="s">
        <v>283</v>
      </c>
      <c r="E7" s="17">
        <f>VLOOKUP(D7,Overview!$D$2:$E$21,2,FALSE)</f>
        <v>3</v>
      </c>
      <c r="F7" s="16" t="s">
        <v>126</v>
      </c>
    </row>
    <row r="8" spans="1:6" x14ac:dyDescent="0.3">
      <c r="A8" s="16" t="s">
        <v>127</v>
      </c>
      <c r="B8" s="16" t="s">
        <v>3</v>
      </c>
      <c r="C8" s="11">
        <f>VLOOKUP(B8,Overview!$A$2:$B$9,2,FALSE)</f>
        <v>2</v>
      </c>
      <c r="D8" s="16" t="s">
        <v>283</v>
      </c>
      <c r="E8" s="17">
        <f>VLOOKUP(D8,Overview!$D$2:$E$21,2,FALSE)</f>
        <v>3</v>
      </c>
      <c r="F8" s="16" t="s">
        <v>127</v>
      </c>
    </row>
    <row r="9" spans="1:6" x14ac:dyDescent="0.3">
      <c r="A9" s="16" t="s">
        <v>128</v>
      </c>
      <c r="B9" s="16" t="s">
        <v>3</v>
      </c>
      <c r="C9" s="11">
        <f>VLOOKUP(B9,Overview!$A$2:$B$9,2,FALSE)</f>
        <v>2</v>
      </c>
      <c r="D9" s="16" t="s">
        <v>283</v>
      </c>
      <c r="E9" s="17">
        <f>VLOOKUP(D9,Overview!$D$2:$E$21,2,FALSE)</f>
        <v>3</v>
      </c>
      <c r="F9" s="16" t="s">
        <v>128</v>
      </c>
    </row>
    <row r="10" spans="1:6" x14ac:dyDescent="0.3">
      <c r="A10" s="16" t="s">
        <v>129</v>
      </c>
      <c r="B10" s="16" t="s">
        <v>3</v>
      </c>
      <c r="C10" s="11">
        <f>VLOOKUP(B10,Overview!$A$2:$B$9,2,FALSE)</f>
        <v>2</v>
      </c>
      <c r="D10" s="16" t="s">
        <v>283</v>
      </c>
      <c r="E10" s="17">
        <f>VLOOKUP(D10,Overview!$D$2:$E$21,2,FALSE)</f>
        <v>3</v>
      </c>
      <c r="F10" s="16" t="s">
        <v>129</v>
      </c>
    </row>
    <row r="11" spans="1:6" x14ac:dyDescent="0.3">
      <c r="A11" s="16" t="s">
        <v>130</v>
      </c>
      <c r="B11" s="16" t="s">
        <v>3</v>
      </c>
      <c r="C11" s="11">
        <f>VLOOKUP(B11,Overview!$A$2:$B$9,2,FALSE)</f>
        <v>2</v>
      </c>
      <c r="D11" s="16" t="s">
        <v>283</v>
      </c>
      <c r="E11" s="17">
        <f>VLOOKUP(D11,Overview!$D$2:$E$21,2,FALSE)</f>
        <v>3</v>
      </c>
      <c r="F11" s="16" t="s">
        <v>130</v>
      </c>
    </row>
    <row r="12" spans="1:6" x14ac:dyDescent="0.3">
      <c r="A12" s="16" t="s">
        <v>131</v>
      </c>
      <c r="B12" s="16" t="s">
        <v>3</v>
      </c>
      <c r="C12" s="11">
        <f>VLOOKUP(B12,Overview!$A$2:$B$9,2,FALSE)</f>
        <v>2</v>
      </c>
      <c r="D12" s="16" t="s">
        <v>284</v>
      </c>
      <c r="E12" s="17">
        <f>VLOOKUP(D12,Overview!$D$2:$E$21,2,FALSE)</f>
        <v>4</v>
      </c>
      <c r="F12" s="16" t="s">
        <v>131</v>
      </c>
    </row>
    <row r="13" spans="1:6" x14ac:dyDescent="0.3">
      <c r="A13" s="16" t="s">
        <v>132</v>
      </c>
      <c r="B13" s="16" t="s">
        <v>3</v>
      </c>
      <c r="C13" s="11">
        <f>VLOOKUP(B13,Overview!$A$2:$B$9,2,FALSE)</f>
        <v>2</v>
      </c>
      <c r="D13" s="16" t="s">
        <v>284</v>
      </c>
      <c r="E13" s="17">
        <f>VLOOKUP(D13,Overview!$D$2:$E$21,2,FALSE)</f>
        <v>4</v>
      </c>
      <c r="F13" s="16" t="s">
        <v>132</v>
      </c>
    </row>
    <row r="14" spans="1:6" x14ac:dyDescent="0.3">
      <c r="A14" s="16" t="s">
        <v>133</v>
      </c>
      <c r="B14" s="16" t="s">
        <v>3</v>
      </c>
      <c r="C14" s="11">
        <f>VLOOKUP(B14,Overview!$A$2:$B$9,2,FALSE)</f>
        <v>2</v>
      </c>
      <c r="D14" s="16" t="s">
        <v>284</v>
      </c>
      <c r="E14" s="17">
        <f>VLOOKUP(D14,Overview!$D$2:$E$21,2,FALSE)</f>
        <v>4</v>
      </c>
      <c r="F14" s="16" t="s">
        <v>133</v>
      </c>
    </row>
    <row r="15" spans="1:6" x14ac:dyDescent="0.3">
      <c r="A15" s="16" t="s">
        <v>134</v>
      </c>
      <c r="B15" s="16" t="s">
        <v>3</v>
      </c>
      <c r="C15" s="11">
        <f>VLOOKUP(B15,Overview!$A$2:$B$9,2,FALSE)</f>
        <v>2</v>
      </c>
      <c r="D15" s="16" t="s">
        <v>284</v>
      </c>
      <c r="E15" s="17">
        <f>VLOOKUP(D15,Overview!$D$2:$E$21,2,FALSE)</f>
        <v>4</v>
      </c>
      <c r="F15" s="16" t="s">
        <v>134</v>
      </c>
    </row>
    <row r="16" spans="1:6" x14ac:dyDescent="0.3">
      <c r="A16" s="16" t="s">
        <v>135</v>
      </c>
      <c r="B16" s="16" t="s">
        <v>3</v>
      </c>
      <c r="C16" s="11">
        <f>VLOOKUP(B16,Overview!$A$2:$B$9,2,FALSE)</f>
        <v>2</v>
      </c>
      <c r="D16" s="16" t="s">
        <v>284</v>
      </c>
      <c r="E16" s="17">
        <f>VLOOKUP(D16,Overview!$D$2:$E$21,2,FALSE)</f>
        <v>4</v>
      </c>
      <c r="F16" s="16" t="s">
        <v>135</v>
      </c>
    </row>
    <row r="17" spans="1:6" x14ac:dyDescent="0.3">
      <c r="A17" s="16" t="s">
        <v>136</v>
      </c>
      <c r="B17" s="16" t="s">
        <v>3</v>
      </c>
      <c r="C17" s="11">
        <f>VLOOKUP(B17,Overview!$A$2:$B$9,2,FALSE)</f>
        <v>2</v>
      </c>
      <c r="D17" s="16" t="s">
        <v>285</v>
      </c>
      <c r="E17" s="17">
        <f>VLOOKUP(D17,Overview!$D$2:$E$21,2,FALSE)</f>
        <v>5</v>
      </c>
      <c r="F17" s="16" t="s">
        <v>136</v>
      </c>
    </row>
    <row r="18" spans="1:6" x14ac:dyDescent="0.3">
      <c r="A18" s="16" t="s">
        <v>137</v>
      </c>
      <c r="B18" s="16" t="s">
        <v>3</v>
      </c>
      <c r="C18" s="11">
        <f>VLOOKUP(B18,Overview!$A$2:$B$9,2,FALSE)</f>
        <v>2</v>
      </c>
      <c r="D18" s="16" t="s">
        <v>285</v>
      </c>
      <c r="E18" s="17">
        <f>VLOOKUP(D18,Overview!$D$2:$E$21,2,FALSE)</f>
        <v>5</v>
      </c>
      <c r="F18" s="16" t="s">
        <v>137</v>
      </c>
    </row>
    <row r="19" spans="1:6" x14ac:dyDescent="0.3">
      <c r="A19" s="16" t="s">
        <v>138</v>
      </c>
      <c r="B19" s="16" t="s">
        <v>3</v>
      </c>
      <c r="C19" s="11">
        <f>VLOOKUP(B19,Overview!$A$2:$B$9,2,FALSE)</f>
        <v>2</v>
      </c>
      <c r="D19" s="16" t="s">
        <v>285</v>
      </c>
      <c r="E19" s="17">
        <f>VLOOKUP(D19,Overview!$D$2:$E$21,2,FALSE)</f>
        <v>5</v>
      </c>
      <c r="F19" s="16" t="s">
        <v>138</v>
      </c>
    </row>
    <row r="20" spans="1:6" x14ac:dyDescent="0.3">
      <c r="A20" s="16" t="s">
        <v>139</v>
      </c>
      <c r="B20" s="16" t="s">
        <v>3</v>
      </c>
      <c r="C20" s="11">
        <f>VLOOKUP(B20,Overview!$A$2:$B$9,2,FALSE)</f>
        <v>2</v>
      </c>
      <c r="D20" s="16" t="s">
        <v>285</v>
      </c>
      <c r="E20" s="17">
        <f>VLOOKUP(D20,Overview!$D$2:$E$21,2,FALSE)</f>
        <v>5</v>
      </c>
      <c r="F20" s="16" t="s">
        <v>139</v>
      </c>
    </row>
    <row r="21" spans="1:6" x14ac:dyDescent="0.3">
      <c r="A21" s="16" t="s">
        <v>140</v>
      </c>
      <c r="B21" s="16" t="s">
        <v>3</v>
      </c>
      <c r="C21" s="11">
        <f>VLOOKUP(B21,Overview!$A$2:$B$9,2,FALSE)</f>
        <v>2</v>
      </c>
      <c r="D21" s="16" t="s">
        <v>285</v>
      </c>
      <c r="E21" s="17">
        <f>VLOOKUP(D21,Overview!$D$2:$E$21,2,FALSE)</f>
        <v>5</v>
      </c>
      <c r="F21" s="16" t="s">
        <v>140</v>
      </c>
    </row>
    <row r="22" spans="1:6" x14ac:dyDescent="0.3">
      <c r="A22" s="16" t="s">
        <v>141</v>
      </c>
      <c r="B22" s="16" t="s">
        <v>3</v>
      </c>
      <c r="C22" s="11">
        <f>VLOOKUP(B22,Overview!$A$2:$B$9,2,FALSE)</f>
        <v>2</v>
      </c>
      <c r="D22" s="16" t="s">
        <v>286</v>
      </c>
      <c r="E22" s="17">
        <f>VLOOKUP(D22,Overview!$D$2:$E$21,2,FALSE)</f>
        <v>6</v>
      </c>
      <c r="F22" s="16" t="s">
        <v>141</v>
      </c>
    </row>
    <row r="23" spans="1:6" x14ac:dyDescent="0.3">
      <c r="A23" s="16" t="s">
        <v>142</v>
      </c>
      <c r="B23" s="16" t="s">
        <v>3</v>
      </c>
      <c r="C23" s="11">
        <f>VLOOKUP(B23,Overview!$A$2:$B$9,2,FALSE)</f>
        <v>2</v>
      </c>
      <c r="D23" s="16" t="s">
        <v>286</v>
      </c>
      <c r="E23" s="17">
        <f>VLOOKUP(D23,Overview!$D$2:$E$21,2,FALSE)</f>
        <v>6</v>
      </c>
      <c r="F23" s="16" t="s">
        <v>142</v>
      </c>
    </row>
    <row r="24" spans="1:6" x14ac:dyDescent="0.3">
      <c r="A24" s="16" t="s">
        <v>143</v>
      </c>
      <c r="B24" s="16" t="s">
        <v>3</v>
      </c>
      <c r="C24" s="11">
        <f>VLOOKUP(B24,Overview!$A$2:$B$9,2,FALSE)</f>
        <v>2</v>
      </c>
      <c r="D24" s="16" t="s">
        <v>286</v>
      </c>
      <c r="E24" s="17">
        <f>VLOOKUP(D24,Overview!$D$2:$E$21,2,FALSE)</f>
        <v>6</v>
      </c>
      <c r="F24" s="16" t="s">
        <v>143</v>
      </c>
    </row>
    <row r="25" spans="1:6" x14ac:dyDescent="0.3">
      <c r="A25" s="16" t="s">
        <v>144</v>
      </c>
      <c r="B25" s="16" t="s">
        <v>3</v>
      </c>
      <c r="C25" s="11">
        <f>VLOOKUP(B25,Overview!$A$2:$B$9,2,FALSE)</f>
        <v>2</v>
      </c>
      <c r="D25" s="16" t="s">
        <v>286</v>
      </c>
      <c r="E25" s="17">
        <f>VLOOKUP(D25,Overview!$D$2:$E$21,2,FALSE)</f>
        <v>6</v>
      </c>
      <c r="F25" s="16" t="s">
        <v>144</v>
      </c>
    </row>
    <row r="26" spans="1:6" x14ac:dyDescent="0.3">
      <c r="A26" s="16" t="s">
        <v>145</v>
      </c>
      <c r="B26" s="16" t="s">
        <v>3</v>
      </c>
      <c r="C26" s="11">
        <f>VLOOKUP(B26,Overview!$A$2:$B$9,2,FALSE)</f>
        <v>2</v>
      </c>
      <c r="D26" s="16" t="s">
        <v>286</v>
      </c>
      <c r="E26" s="17">
        <f>VLOOKUP(D26,Overview!$D$2:$E$21,2,FALSE)</f>
        <v>6</v>
      </c>
      <c r="F26" s="16" t="s">
        <v>145</v>
      </c>
    </row>
    <row r="27" spans="1:6" x14ac:dyDescent="0.3">
      <c r="A27" s="16" t="s">
        <v>146</v>
      </c>
      <c r="B27" s="16" t="s">
        <v>3</v>
      </c>
      <c r="C27" s="11">
        <f>VLOOKUP(B27,Overview!$A$2:$B$9,2,FALSE)</f>
        <v>2</v>
      </c>
      <c r="D27" s="16" t="s">
        <v>287</v>
      </c>
      <c r="E27" s="17">
        <f>VLOOKUP(D27,Overview!$D$2:$E$21,2,FALSE)</f>
        <v>7</v>
      </c>
      <c r="F27" s="16" t="s">
        <v>146</v>
      </c>
    </row>
    <row r="28" spans="1:6" x14ac:dyDescent="0.3">
      <c r="A28" s="16" t="s">
        <v>147</v>
      </c>
      <c r="B28" s="16" t="s">
        <v>3</v>
      </c>
      <c r="C28" s="11">
        <f>VLOOKUP(B28,Overview!$A$2:$B$9,2,FALSE)</f>
        <v>2</v>
      </c>
      <c r="D28" s="16" t="s">
        <v>287</v>
      </c>
      <c r="E28" s="17">
        <f>VLOOKUP(D28,Overview!$D$2:$E$21,2,FALSE)</f>
        <v>7</v>
      </c>
      <c r="F28" s="16" t="s">
        <v>147</v>
      </c>
    </row>
    <row r="29" spans="1:6" x14ac:dyDescent="0.3">
      <c r="A29" s="16" t="s">
        <v>148</v>
      </c>
      <c r="B29" s="16" t="s">
        <v>3</v>
      </c>
      <c r="C29" s="11">
        <f>VLOOKUP(B29,Overview!$A$2:$B$9,2,FALSE)</f>
        <v>2</v>
      </c>
      <c r="D29" s="16" t="s">
        <v>287</v>
      </c>
      <c r="E29" s="17">
        <f>VLOOKUP(D29,Overview!$D$2:$E$21,2,FALSE)</f>
        <v>7</v>
      </c>
      <c r="F29" s="16" t="s">
        <v>148</v>
      </c>
    </row>
    <row r="30" spans="1:6" x14ac:dyDescent="0.3">
      <c r="A30" s="16" t="s">
        <v>149</v>
      </c>
      <c r="B30" s="16" t="s">
        <v>3</v>
      </c>
      <c r="C30" s="11">
        <f>VLOOKUP(B30,Overview!$A$2:$B$9,2,FALSE)</f>
        <v>2</v>
      </c>
      <c r="D30" s="16" t="s">
        <v>287</v>
      </c>
      <c r="E30" s="17">
        <f>VLOOKUP(D30,Overview!$D$2:$E$21,2,FALSE)</f>
        <v>7</v>
      </c>
      <c r="F30" s="16" t="s">
        <v>149</v>
      </c>
    </row>
    <row r="31" spans="1:6" x14ac:dyDescent="0.3">
      <c r="A31" s="16" t="s">
        <v>150</v>
      </c>
      <c r="B31" s="16" t="s">
        <v>3</v>
      </c>
      <c r="C31" s="11">
        <f>VLOOKUP(B31,Overview!$A$2:$B$9,2,FALSE)</f>
        <v>2</v>
      </c>
      <c r="D31" s="16" t="s">
        <v>287</v>
      </c>
      <c r="E31" s="17">
        <f>VLOOKUP(D31,Overview!$D$2:$E$21,2,FALSE)</f>
        <v>7</v>
      </c>
      <c r="F31" s="16" t="s">
        <v>150</v>
      </c>
    </row>
    <row r="32" spans="1:6" x14ac:dyDescent="0.3">
      <c r="A32" s="16" t="s">
        <v>151</v>
      </c>
      <c r="B32" s="16" t="s">
        <v>3</v>
      </c>
      <c r="C32" s="11">
        <f>VLOOKUP(B32,Overview!$A$2:$B$9,2,FALSE)</f>
        <v>2</v>
      </c>
      <c r="D32" s="16" t="s">
        <v>305</v>
      </c>
      <c r="E32" s="17">
        <f>VLOOKUP(D32,Overview!$D$2:$E$21,2,FALSE)</f>
        <v>8</v>
      </c>
      <c r="F32" s="16" t="s">
        <v>151</v>
      </c>
    </row>
    <row r="33" spans="1:6" x14ac:dyDescent="0.3">
      <c r="A33" s="16" t="s">
        <v>152</v>
      </c>
      <c r="B33" s="16" t="s">
        <v>3</v>
      </c>
      <c r="C33" s="11">
        <f>VLOOKUP(B33,Overview!$A$2:$B$9,2,FALSE)</f>
        <v>2</v>
      </c>
      <c r="D33" s="16" t="s">
        <v>305</v>
      </c>
      <c r="E33" s="17">
        <f>VLOOKUP(D33,Overview!$D$2:$E$21,2,FALSE)</f>
        <v>8</v>
      </c>
      <c r="F33" s="16" t="s">
        <v>152</v>
      </c>
    </row>
    <row r="34" spans="1:6" x14ac:dyDescent="0.3">
      <c r="A34" s="16" t="s">
        <v>153</v>
      </c>
      <c r="B34" s="16" t="s">
        <v>3</v>
      </c>
      <c r="C34" s="11">
        <f>VLOOKUP(B34,Overview!$A$2:$B$9,2,FALSE)</f>
        <v>2</v>
      </c>
      <c r="D34" s="16" t="s">
        <v>305</v>
      </c>
      <c r="E34" s="17">
        <f>VLOOKUP(D34,Overview!$D$2:$E$21,2,FALSE)</f>
        <v>8</v>
      </c>
      <c r="F34" s="16" t="s">
        <v>153</v>
      </c>
    </row>
    <row r="35" spans="1:6" x14ac:dyDescent="0.3">
      <c r="A35" s="16" t="s">
        <v>154</v>
      </c>
      <c r="B35" s="16" t="s">
        <v>3</v>
      </c>
      <c r="C35" s="11">
        <f>VLOOKUP(B35,Overview!$A$2:$B$9,2,FALSE)</f>
        <v>2</v>
      </c>
      <c r="D35" s="16" t="s">
        <v>305</v>
      </c>
      <c r="E35" s="17">
        <f>VLOOKUP(D35,Overview!$D$2:$E$21,2,FALSE)</f>
        <v>8</v>
      </c>
      <c r="F35" s="16" t="s">
        <v>154</v>
      </c>
    </row>
    <row r="36" spans="1:6" x14ac:dyDescent="0.3">
      <c r="A36" s="16" t="s">
        <v>155</v>
      </c>
      <c r="B36" s="16" t="s">
        <v>3</v>
      </c>
      <c r="C36" s="11">
        <f>VLOOKUP(B36,Overview!$A$2:$B$9,2,FALSE)</f>
        <v>2</v>
      </c>
      <c r="D36" s="16" t="s">
        <v>305</v>
      </c>
      <c r="E36" s="17">
        <f>VLOOKUP(D36,Overview!$D$2:$E$21,2,FALSE)</f>
        <v>8</v>
      </c>
      <c r="F36" s="16" t="s">
        <v>155</v>
      </c>
    </row>
    <row r="37" spans="1:6" x14ac:dyDescent="0.3">
      <c r="A37" s="16" t="s">
        <v>156</v>
      </c>
      <c r="B37" s="19" t="s">
        <v>157</v>
      </c>
      <c r="C37" s="11">
        <f>VLOOKUP(B37,Overview!$A$2:$B$9,2,FALSE)</f>
        <v>5</v>
      </c>
      <c r="D37" s="16" t="s">
        <v>288</v>
      </c>
      <c r="E37" s="17">
        <f>VLOOKUP(D37,Overview!$D$2:$E$21,2,FALSE)</f>
        <v>9</v>
      </c>
      <c r="F37" s="18"/>
    </row>
    <row r="38" spans="1:6" x14ac:dyDescent="0.3">
      <c r="A38" s="16" t="s">
        <v>158</v>
      </c>
      <c r="B38" s="19" t="s">
        <v>157</v>
      </c>
      <c r="C38" s="11">
        <f>VLOOKUP(B38,Overview!$A$2:$B$9,2,FALSE)</f>
        <v>5</v>
      </c>
      <c r="D38" s="16" t="s">
        <v>289</v>
      </c>
      <c r="E38" s="17">
        <f>VLOOKUP(D38,Overview!$D$2:$E$21,2,FALSE)</f>
        <v>10</v>
      </c>
      <c r="F38" s="18"/>
    </row>
    <row r="39" spans="1:6" x14ac:dyDescent="0.3">
      <c r="A39" s="16" t="s">
        <v>122</v>
      </c>
      <c r="B39" s="16" t="s">
        <v>1</v>
      </c>
      <c r="C39" s="11">
        <f>VLOOKUP(B39,Overview!$A$2:$B$9,2,FALSE)</f>
        <v>0</v>
      </c>
      <c r="D39" s="16" t="s">
        <v>290</v>
      </c>
      <c r="E39" s="17">
        <f>VLOOKUP(D39,Overview!$D$2:$E$21,2,FALSE)</f>
        <v>12</v>
      </c>
      <c r="F39" s="18"/>
    </row>
    <row r="40" spans="1:6" x14ac:dyDescent="0.3">
      <c r="A40" s="16" t="s">
        <v>120</v>
      </c>
      <c r="B40" s="16" t="s">
        <v>1</v>
      </c>
      <c r="C40" s="11">
        <f>VLOOKUP(B40,Overview!$A$2:$B$9,2,FALSE)</f>
        <v>0</v>
      </c>
      <c r="D40" s="16" t="s">
        <v>291</v>
      </c>
      <c r="E40" s="17">
        <f>VLOOKUP(D40,Overview!$D$2:$E$21,2,FALSE)</f>
        <v>11</v>
      </c>
      <c r="F40" s="18"/>
    </row>
    <row r="41" spans="1:6" x14ac:dyDescent="0.3">
      <c r="A41" s="16" t="s">
        <v>159</v>
      </c>
      <c r="B41" s="16" t="s">
        <v>2</v>
      </c>
      <c r="C41" s="11">
        <f>VLOOKUP(B41,Overview!$A$2:$B$9,2,FALSE)</f>
        <v>1</v>
      </c>
      <c r="D41" s="16" t="s">
        <v>159</v>
      </c>
      <c r="E41" s="17">
        <f>VLOOKUP(D41,Overview!$D$2:$E$21,2,FALSE)</f>
        <v>13</v>
      </c>
      <c r="F41" s="18"/>
    </row>
    <row r="42" spans="1:6" x14ac:dyDescent="0.3">
      <c r="A42" s="16" t="s">
        <v>160</v>
      </c>
      <c r="B42" s="16" t="s">
        <v>2</v>
      </c>
      <c r="C42" s="11">
        <f>VLOOKUP(B42,Overview!$A$2:$B$9,2,FALSE)</f>
        <v>1</v>
      </c>
      <c r="D42" s="16" t="s">
        <v>292</v>
      </c>
      <c r="E42" s="17">
        <f>VLOOKUP(D42,Overview!$D$2:$E$21,2,FALSE)</f>
        <v>14</v>
      </c>
      <c r="F42" s="16" t="s">
        <v>310</v>
      </c>
    </row>
    <row r="43" spans="1:6" x14ac:dyDescent="0.3">
      <c r="A43" s="16" t="s">
        <v>161</v>
      </c>
      <c r="B43" s="16" t="s">
        <v>2</v>
      </c>
      <c r="C43" s="11">
        <f>VLOOKUP(B43,Overview!$A$2:$B$9,2,FALSE)</f>
        <v>1</v>
      </c>
      <c r="D43" s="16" t="s">
        <v>292</v>
      </c>
      <c r="E43" s="17">
        <f>VLOOKUP(D43,Overview!$D$2:$E$21,2,FALSE)</f>
        <v>14</v>
      </c>
      <c r="F43" s="16" t="s">
        <v>311</v>
      </c>
    </row>
    <row r="44" spans="1:6" x14ac:dyDescent="0.3">
      <c r="A44" s="16" t="s">
        <v>162</v>
      </c>
      <c r="B44" s="16" t="s">
        <v>2</v>
      </c>
      <c r="C44" s="11">
        <f>VLOOKUP(B44,Overview!$A$2:$B$9,2,FALSE)</f>
        <v>1</v>
      </c>
      <c r="D44" s="16" t="s">
        <v>292</v>
      </c>
      <c r="E44" s="17">
        <f>VLOOKUP(D44,Overview!$D$2:$E$21,2,FALSE)</f>
        <v>14</v>
      </c>
      <c r="F44" s="16" t="s">
        <v>312</v>
      </c>
    </row>
    <row r="45" spans="1:6" x14ac:dyDescent="0.3">
      <c r="A45" s="16" t="s">
        <v>163</v>
      </c>
      <c r="B45" s="16" t="s">
        <v>2</v>
      </c>
      <c r="C45" s="11">
        <f>VLOOKUP(B45,Overview!$A$2:$B$9,2,FALSE)</f>
        <v>1</v>
      </c>
      <c r="D45" s="16" t="s">
        <v>292</v>
      </c>
      <c r="E45" s="17">
        <f>VLOOKUP(D45,Overview!$D$2:$E$21,2,FALSE)</f>
        <v>14</v>
      </c>
      <c r="F45" s="16" t="s">
        <v>313</v>
      </c>
    </row>
    <row r="46" spans="1:6" x14ac:dyDescent="0.3">
      <c r="A46" s="16" t="s">
        <v>164</v>
      </c>
      <c r="B46" s="16" t="s">
        <v>2</v>
      </c>
      <c r="C46" s="11">
        <f>VLOOKUP(B46,Overview!$A$2:$B$9,2,FALSE)</f>
        <v>1</v>
      </c>
      <c r="D46" s="16" t="s">
        <v>307</v>
      </c>
      <c r="E46" s="17">
        <f>VLOOKUP(D46,Overview!$D$2:$E$21,2,FALSE)</f>
        <v>14</v>
      </c>
      <c r="F46" s="16" t="s">
        <v>314</v>
      </c>
    </row>
    <row r="47" spans="1:6" x14ac:dyDescent="0.3">
      <c r="A47" s="16" t="s">
        <v>165</v>
      </c>
      <c r="B47" s="16" t="s">
        <v>2</v>
      </c>
      <c r="C47" s="11">
        <f>VLOOKUP(B47,Overview!$A$2:$B$9,2,FALSE)</f>
        <v>1</v>
      </c>
      <c r="D47" s="16" t="s">
        <v>292</v>
      </c>
      <c r="E47" s="17">
        <f>VLOOKUP(D47,Overview!$D$2:$E$21,2,FALSE)</f>
        <v>14</v>
      </c>
      <c r="F47" s="16" t="s">
        <v>315</v>
      </c>
    </row>
    <row r="48" spans="1:6" x14ac:dyDescent="0.3">
      <c r="A48" s="16" t="s">
        <v>166</v>
      </c>
      <c r="B48" s="16" t="s">
        <v>2</v>
      </c>
      <c r="C48" s="11">
        <f>VLOOKUP(B48,Overview!$A$2:$B$9,2,FALSE)</f>
        <v>1</v>
      </c>
      <c r="D48" s="16" t="s">
        <v>292</v>
      </c>
      <c r="E48" s="17">
        <f>VLOOKUP(D48,Overview!$D$2:$E$21,2,FALSE)</f>
        <v>14</v>
      </c>
      <c r="F48" s="16" t="s">
        <v>316</v>
      </c>
    </row>
    <row r="49" spans="1:6" x14ac:dyDescent="0.3">
      <c r="A49" s="16" t="s">
        <v>167</v>
      </c>
      <c r="B49" s="16" t="s">
        <v>2</v>
      </c>
      <c r="C49" s="11">
        <f>VLOOKUP(B49,Overview!$A$2:$B$9,2,FALSE)</f>
        <v>1</v>
      </c>
      <c r="D49" s="16" t="s">
        <v>292</v>
      </c>
      <c r="E49" s="17">
        <f>VLOOKUP(D49,Overview!$D$2:$E$21,2,FALSE)</f>
        <v>14</v>
      </c>
      <c r="F49" s="16" t="s">
        <v>317</v>
      </c>
    </row>
    <row r="50" spans="1:6" x14ac:dyDescent="0.3">
      <c r="A50" s="16" t="s">
        <v>168</v>
      </c>
      <c r="B50" s="16" t="s">
        <v>2</v>
      </c>
      <c r="C50" s="11">
        <f>VLOOKUP(B50,Overview!$A$2:$B$9,2,FALSE)</f>
        <v>1</v>
      </c>
      <c r="D50" s="16" t="s">
        <v>292</v>
      </c>
      <c r="E50" s="17">
        <f>VLOOKUP(D50,Overview!$D$2:$E$21,2,FALSE)</f>
        <v>14</v>
      </c>
      <c r="F50" s="16" t="s">
        <v>318</v>
      </c>
    </row>
    <row r="51" spans="1:6" x14ac:dyDescent="0.3">
      <c r="A51" s="16" t="s">
        <v>169</v>
      </c>
      <c r="B51" s="16" t="s">
        <v>2</v>
      </c>
      <c r="C51" s="11">
        <f>VLOOKUP(B51,Overview!$A$2:$B$9,2,FALSE)</f>
        <v>1</v>
      </c>
      <c r="D51" s="16" t="s">
        <v>292</v>
      </c>
      <c r="E51" s="17">
        <f>VLOOKUP(D51,Overview!$D$2:$E$21,2,FALSE)</f>
        <v>14</v>
      </c>
      <c r="F51" s="16" t="s">
        <v>319</v>
      </c>
    </row>
    <row r="52" spans="1:6" x14ac:dyDescent="0.3">
      <c r="A52" s="16" t="s">
        <v>170</v>
      </c>
      <c r="B52" s="16" t="s">
        <v>2</v>
      </c>
      <c r="C52" s="11">
        <f>VLOOKUP(B52,Overview!$A$2:$B$9,2,FALSE)</f>
        <v>1</v>
      </c>
      <c r="D52" s="16" t="s">
        <v>292</v>
      </c>
      <c r="E52" s="17">
        <f>VLOOKUP(D52,Overview!$D$2:$E$21,2,FALSE)</f>
        <v>14</v>
      </c>
      <c r="F52" s="16" t="s">
        <v>320</v>
      </c>
    </row>
    <row r="53" spans="1:6" x14ac:dyDescent="0.3">
      <c r="A53" s="16" t="s">
        <v>171</v>
      </c>
      <c r="B53" s="16" t="s">
        <v>2</v>
      </c>
      <c r="C53" s="11">
        <f>VLOOKUP(B53,Overview!$A$2:$B$9,2,FALSE)</f>
        <v>1</v>
      </c>
      <c r="D53" s="16" t="s">
        <v>292</v>
      </c>
      <c r="E53" s="17">
        <f>VLOOKUP(D53,Overview!$D$2:$E$21,2,FALSE)</f>
        <v>14</v>
      </c>
      <c r="F53" s="16" t="s">
        <v>321</v>
      </c>
    </row>
    <row r="54" spans="1:6" x14ac:dyDescent="0.3">
      <c r="A54" s="16" t="s">
        <v>172</v>
      </c>
      <c r="B54" s="16" t="s">
        <v>2</v>
      </c>
      <c r="C54" s="11">
        <f>VLOOKUP(B54,Overview!$A$2:$B$9,2,FALSE)</f>
        <v>1</v>
      </c>
      <c r="D54" s="16" t="s">
        <v>292</v>
      </c>
      <c r="E54" s="17">
        <f>VLOOKUP(D54,Overview!$D$2:$E$21,2,FALSE)</f>
        <v>14</v>
      </c>
      <c r="F54" s="16" t="s">
        <v>322</v>
      </c>
    </row>
    <row r="55" spans="1:6" x14ac:dyDescent="0.3">
      <c r="A55" s="16" t="s">
        <v>173</v>
      </c>
      <c r="B55" s="16" t="s">
        <v>2</v>
      </c>
      <c r="C55" s="11">
        <f>VLOOKUP(B55,Overview!$A$2:$B$9,2,FALSE)</f>
        <v>1</v>
      </c>
      <c r="D55" s="16" t="s">
        <v>292</v>
      </c>
      <c r="E55" s="17">
        <f>VLOOKUP(D55,Overview!$D$2:$E$21,2,FALSE)</f>
        <v>14</v>
      </c>
      <c r="F55" s="16" t="s">
        <v>323</v>
      </c>
    </row>
    <row r="56" spans="1:6" x14ac:dyDescent="0.3">
      <c r="A56" s="16" t="s">
        <v>174</v>
      </c>
      <c r="B56" s="16" t="s">
        <v>2</v>
      </c>
      <c r="C56" s="11">
        <f>VLOOKUP(B56,Overview!$A$2:$B$9,2,FALSE)</f>
        <v>1</v>
      </c>
      <c r="D56" s="16" t="s">
        <v>292</v>
      </c>
      <c r="E56" s="17">
        <f>VLOOKUP(D56,Overview!$D$2:$E$21,2,FALSE)</f>
        <v>14</v>
      </c>
      <c r="F56" s="16" t="s">
        <v>324</v>
      </c>
    </row>
    <row r="57" spans="1:6" x14ac:dyDescent="0.3">
      <c r="A57" s="16" t="s">
        <v>175</v>
      </c>
      <c r="B57" s="16" t="s">
        <v>2</v>
      </c>
      <c r="C57" s="11">
        <f>VLOOKUP(B57,Overview!$A$2:$B$9,2,FALSE)</f>
        <v>1</v>
      </c>
      <c r="D57" s="16" t="s">
        <v>292</v>
      </c>
      <c r="E57" s="17">
        <f>VLOOKUP(D57,Overview!$D$2:$E$21,2,FALSE)</f>
        <v>14</v>
      </c>
      <c r="F57" s="16" t="s">
        <v>325</v>
      </c>
    </row>
    <row r="58" spans="1:6" x14ac:dyDescent="0.3">
      <c r="A58" s="16" t="s">
        <v>176</v>
      </c>
      <c r="B58" s="16" t="s">
        <v>2</v>
      </c>
      <c r="C58" s="11">
        <f>VLOOKUP(B58,Overview!$A$2:$B$9,2,FALSE)</f>
        <v>1</v>
      </c>
      <c r="D58" s="16" t="s">
        <v>292</v>
      </c>
      <c r="E58" s="17">
        <f>VLOOKUP(D58,Overview!$D$2:$E$21,2,FALSE)</f>
        <v>14</v>
      </c>
      <c r="F58" s="16" t="s">
        <v>326</v>
      </c>
    </row>
    <row r="59" spans="1:6" x14ac:dyDescent="0.3">
      <c r="A59" s="16" t="s">
        <v>177</v>
      </c>
      <c r="B59" s="16" t="s">
        <v>2</v>
      </c>
      <c r="C59" s="11">
        <f>VLOOKUP(B59,Overview!$A$2:$B$9,2,FALSE)</f>
        <v>1</v>
      </c>
      <c r="D59" s="16" t="s">
        <v>292</v>
      </c>
      <c r="E59" s="17">
        <f>VLOOKUP(D59,Overview!$D$2:$E$21,2,FALSE)</f>
        <v>14</v>
      </c>
      <c r="F59" s="16" t="s">
        <v>327</v>
      </c>
    </row>
    <row r="60" spans="1:6" x14ac:dyDescent="0.3">
      <c r="A60" s="16" t="s">
        <v>178</v>
      </c>
      <c r="B60" s="16" t="s">
        <v>2</v>
      </c>
      <c r="C60" s="11">
        <f>VLOOKUP(B60,Overview!$A$2:$B$9,2,FALSE)</f>
        <v>1</v>
      </c>
      <c r="D60" s="16" t="s">
        <v>292</v>
      </c>
      <c r="E60" s="17">
        <f>VLOOKUP(D60,Overview!$D$2:$E$21,2,FALSE)</f>
        <v>14</v>
      </c>
      <c r="F60" s="16" t="s">
        <v>328</v>
      </c>
    </row>
    <row r="61" spans="1:6" x14ac:dyDescent="0.3">
      <c r="A61" s="16" t="s">
        <v>179</v>
      </c>
      <c r="B61" s="16" t="s">
        <v>2</v>
      </c>
      <c r="C61" s="11">
        <f>VLOOKUP(B61,Overview!$A$2:$B$9,2,FALSE)</f>
        <v>1</v>
      </c>
      <c r="D61" s="16" t="s">
        <v>292</v>
      </c>
      <c r="E61" s="17">
        <f>VLOOKUP(D61,Overview!$D$2:$E$21,2,FALSE)</f>
        <v>14</v>
      </c>
      <c r="F61" s="16" t="s">
        <v>329</v>
      </c>
    </row>
    <row r="62" spans="1:6" x14ac:dyDescent="0.3">
      <c r="A62" s="16" t="s">
        <v>180</v>
      </c>
      <c r="B62" s="16" t="s">
        <v>2</v>
      </c>
      <c r="C62" s="11">
        <f>VLOOKUP(B62,Overview!$A$2:$B$9,2,FALSE)</f>
        <v>1</v>
      </c>
      <c r="D62" s="16" t="s">
        <v>293</v>
      </c>
      <c r="E62" s="17">
        <f>VLOOKUP(D62,Overview!$D$2:$E$21,2,FALSE)</f>
        <v>15</v>
      </c>
      <c r="F62" s="16" t="s">
        <v>330</v>
      </c>
    </row>
    <row r="63" spans="1:6" x14ac:dyDescent="0.3">
      <c r="A63" s="16" t="s">
        <v>181</v>
      </c>
      <c r="B63" s="16" t="s">
        <v>2</v>
      </c>
      <c r="C63" s="11">
        <f>VLOOKUP(B63,Overview!$A$2:$B$9,2,FALSE)</f>
        <v>1</v>
      </c>
      <c r="D63" s="16" t="s">
        <v>293</v>
      </c>
      <c r="E63" s="17">
        <f>VLOOKUP(D63,Overview!$D$2:$E$21,2,FALSE)</f>
        <v>15</v>
      </c>
      <c r="F63" s="16" t="s">
        <v>331</v>
      </c>
    </row>
    <row r="64" spans="1:6" x14ac:dyDescent="0.3">
      <c r="A64" s="16" t="s">
        <v>182</v>
      </c>
      <c r="B64" s="16" t="s">
        <v>2</v>
      </c>
      <c r="C64" s="11">
        <f>VLOOKUP(B64,Overview!$A$2:$B$9,2,FALSE)</f>
        <v>1</v>
      </c>
      <c r="D64" s="16" t="s">
        <v>293</v>
      </c>
      <c r="E64" s="17">
        <f>VLOOKUP(D64,Overview!$D$2:$E$21,2,FALSE)</f>
        <v>15</v>
      </c>
      <c r="F64" s="16" t="s">
        <v>332</v>
      </c>
    </row>
    <row r="65" spans="1:6" x14ac:dyDescent="0.3">
      <c r="A65" s="16" t="s">
        <v>183</v>
      </c>
      <c r="B65" s="16" t="s">
        <v>2</v>
      </c>
      <c r="C65" s="11">
        <f>VLOOKUP(B65,Overview!$A$2:$B$9,2,FALSE)</f>
        <v>1</v>
      </c>
      <c r="D65" s="16" t="s">
        <v>293</v>
      </c>
      <c r="E65" s="17">
        <f>VLOOKUP(D65,Overview!$D$2:$E$21,2,FALSE)</f>
        <v>15</v>
      </c>
      <c r="F65" s="16" t="s">
        <v>333</v>
      </c>
    </row>
    <row r="66" spans="1:6" x14ac:dyDescent="0.3">
      <c r="A66" s="16" t="s">
        <v>184</v>
      </c>
      <c r="B66" s="16" t="s">
        <v>2</v>
      </c>
      <c r="C66" s="11">
        <f>VLOOKUP(B66,Overview!$A$2:$B$9,2,FALSE)</f>
        <v>1</v>
      </c>
      <c r="D66" s="16" t="s">
        <v>293</v>
      </c>
      <c r="E66" s="17">
        <f>VLOOKUP(D66,Overview!$D$2:$E$21,2,FALSE)</f>
        <v>15</v>
      </c>
      <c r="F66" s="16" t="s">
        <v>334</v>
      </c>
    </row>
    <row r="67" spans="1:6" x14ac:dyDescent="0.3">
      <c r="A67" s="16" t="s">
        <v>185</v>
      </c>
      <c r="B67" s="16" t="s">
        <v>2</v>
      </c>
      <c r="C67" s="11">
        <f>VLOOKUP(B67,Overview!$A$2:$B$9,2,FALSE)</f>
        <v>1</v>
      </c>
      <c r="D67" s="16" t="s">
        <v>293</v>
      </c>
      <c r="E67" s="17">
        <f>VLOOKUP(D67,Overview!$D$2:$E$21,2,FALSE)</f>
        <v>15</v>
      </c>
      <c r="F67" s="16" t="s">
        <v>335</v>
      </c>
    </row>
    <row r="68" spans="1:6" x14ac:dyDescent="0.3">
      <c r="A68" s="16" t="s">
        <v>186</v>
      </c>
      <c r="B68" s="16" t="s">
        <v>1</v>
      </c>
      <c r="C68" s="11">
        <f>VLOOKUP(B68,Overview!$A$2:$B$9,2,FALSE)</f>
        <v>0</v>
      </c>
      <c r="D68" s="16" t="s">
        <v>186</v>
      </c>
      <c r="E68" s="17">
        <f>VLOOKUP(D68,Overview!$D$2:$E$21,2,FALSE)</f>
        <v>16</v>
      </c>
      <c r="F68" s="18"/>
    </row>
    <row r="69" spans="1:6" x14ac:dyDescent="0.3">
      <c r="A69" s="16" t="s">
        <v>187</v>
      </c>
      <c r="B69" s="16" t="s">
        <v>188</v>
      </c>
      <c r="C69" s="11">
        <f>VLOOKUP(B69,Overview!$A$2:$B$9,2,FALSE)</f>
        <v>4</v>
      </c>
      <c r="D69" s="16" t="s">
        <v>188</v>
      </c>
      <c r="E69" s="17">
        <f>VLOOKUP(D69,Overview!$D$2:$E$21,2,FALSE)</f>
        <v>17</v>
      </c>
      <c r="F69" s="16" t="s">
        <v>12</v>
      </c>
    </row>
    <row r="70" spans="1:6" x14ac:dyDescent="0.3">
      <c r="A70" s="16" t="s">
        <v>189</v>
      </c>
      <c r="B70" s="16" t="s">
        <v>188</v>
      </c>
      <c r="C70" s="11">
        <f>VLOOKUP(B70,Overview!$A$2:$B$9,2,FALSE)</f>
        <v>4</v>
      </c>
      <c r="D70" s="16" t="s">
        <v>188</v>
      </c>
      <c r="E70" s="17">
        <f>VLOOKUP(D70,Overview!$D$2:$E$21,2,FALSE)</f>
        <v>17</v>
      </c>
      <c r="F70" s="16" t="s">
        <v>13</v>
      </c>
    </row>
    <row r="71" spans="1:6" x14ac:dyDescent="0.3">
      <c r="A71" s="16" t="s">
        <v>190</v>
      </c>
      <c r="B71" s="16" t="s">
        <v>188</v>
      </c>
      <c r="C71" s="11">
        <f>VLOOKUP(B71,Overview!$A$2:$B$9,2,FALSE)</f>
        <v>4</v>
      </c>
      <c r="D71" s="16" t="s">
        <v>188</v>
      </c>
      <c r="E71" s="17">
        <f>VLOOKUP(D71,Overview!$D$2:$E$21,2,FALSE)</f>
        <v>17</v>
      </c>
      <c r="F71" s="16" t="s">
        <v>14</v>
      </c>
    </row>
    <row r="72" spans="1:6" x14ac:dyDescent="0.3">
      <c r="A72" s="16" t="s">
        <v>191</v>
      </c>
      <c r="B72" s="16" t="s">
        <v>188</v>
      </c>
      <c r="C72" s="11">
        <f>VLOOKUP(B72,Overview!$A$2:$B$9,2,FALSE)</f>
        <v>4</v>
      </c>
      <c r="D72" s="16" t="s">
        <v>188</v>
      </c>
      <c r="E72" s="17">
        <f>VLOOKUP(D72,Overview!$D$2:$E$21,2,FALSE)</f>
        <v>17</v>
      </c>
      <c r="F72" s="16" t="s">
        <v>15</v>
      </c>
    </row>
    <row r="73" spans="1:6" x14ac:dyDescent="0.3">
      <c r="A73" s="16" t="s">
        <v>192</v>
      </c>
      <c r="B73" s="16" t="s">
        <v>188</v>
      </c>
      <c r="C73" s="11">
        <f>VLOOKUP(B73,Overview!$A$2:$B$9,2,FALSE)</f>
        <v>4</v>
      </c>
      <c r="D73" s="16" t="s">
        <v>188</v>
      </c>
      <c r="E73" s="17">
        <f>VLOOKUP(D73,Overview!$D$2:$E$21,2,FALSE)</f>
        <v>17</v>
      </c>
      <c r="F73" s="16" t="s">
        <v>16</v>
      </c>
    </row>
    <row r="74" spans="1:6" x14ac:dyDescent="0.3">
      <c r="A74" s="16" t="s">
        <v>193</v>
      </c>
      <c r="B74" s="16" t="s">
        <v>188</v>
      </c>
      <c r="C74" s="11">
        <f>VLOOKUP(B74,Overview!$A$2:$B$9,2,FALSE)</f>
        <v>4</v>
      </c>
      <c r="D74" s="16" t="s">
        <v>188</v>
      </c>
      <c r="E74" s="17">
        <f>VLOOKUP(D74,Overview!$D$2:$E$21,2,FALSE)</f>
        <v>17</v>
      </c>
      <c r="F74" s="16" t="s">
        <v>17</v>
      </c>
    </row>
    <row r="75" spans="1:6" x14ac:dyDescent="0.3">
      <c r="A75" s="16" t="s">
        <v>194</v>
      </c>
      <c r="B75" s="16" t="s">
        <v>188</v>
      </c>
      <c r="C75" s="11">
        <f>VLOOKUP(B75,Overview!$A$2:$B$9,2,FALSE)</f>
        <v>4</v>
      </c>
      <c r="D75" s="16" t="s">
        <v>188</v>
      </c>
      <c r="E75" s="17">
        <f>VLOOKUP(D75,Overview!$D$2:$E$21,2,FALSE)</f>
        <v>17</v>
      </c>
      <c r="F75" s="16" t="s">
        <v>18</v>
      </c>
    </row>
    <row r="76" spans="1:6" x14ac:dyDescent="0.3">
      <c r="A76" s="16" t="s">
        <v>195</v>
      </c>
      <c r="B76" s="16" t="s">
        <v>188</v>
      </c>
      <c r="C76" s="11">
        <f>VLOOKUP(B76,Overview!$A$2:$B$9,2,FALSE)</f>
        <v>4</v>
      </c>
      <c r="D76" s="16" t="s">
        <v>188</v>
      </c>
      <c r="E76" s="17">
        <f>VLOOKUP(D76,Overview!$D$2:$E$21,2,FALSE)</f>
        <v>17</v>
      </c>
      <c r="F76" s="16" t="s">
        <v>19</v>
      </c>
    </row>
    <row r="77" spans="1:6" x14ac:dyDescent="0.3">
      <c r="A77" s="16" t="s">
        <v>196</v>
      </c>
      <c r="B77" s="16" t="s">
        <v>188</v>
      </c>
      <c r="C77" s="11">
        <f>VLOOKUP(B77,Overview!$A$2:$B$9,2,FALSE)</f>
        <v>4</v>
      </c>
      <c r="D77" s="16" t="s">
        <v>188</v>
      </c>
      <c r="E77" s="17">
        <f>VLOOKUP(D77,Overview!$D$2:$E$21,2,FALSE)</f>
        <v>17</v>
      </c>
      <c r="F77" s="16" t="s">
        <v>20</v>
      </c>
    </row>
    <row r="78" spans="1:6" x14ac:dyDescent="0.3">
      <c r="A78" s="16" t="s">
        <v>197</v>
      </c>
      <c r="B78" s="16" t="s">
        <v>188</v>
      </c>
      <c r="C78" s="11">
        <f>VLOOKUP(B78,Overview!$A$2:$B$9,2,FALSE)</f>
        <v>4</v>
      </c>
      <c r="D78" s="16" t="s">
        <v>188</v>
      </c>
      <c r="E78" s="17">
        <f>VLOOKUP(D78,Overview!$D$2:$E$21,2,FALSE)</f>
        <v>17</v>
      </c>
      <c r="F78" s="16" t="s">
        <v>21</v>
      </c>
    </row>
    <row r="79" spans="1:6" x14ac:dyDescent="0.3">
      <c r="A79" s="16" t="s">
        <v>198</v>
      </c>
      <c r="B79" s="16" t="s">
        <v>188</v>
      </c>
      <c r="C79" s="11">
        <f>VLOOKUP(B79,Overview!$A$2:$B$9,2,FALSE)</f>
        <v>4</v>
      </c>
      <c r="D79" s="16" t="s">
        <v>188</v>
      </c>
      <c r="E79" s="17">
        <f>VLOOKUP(D79,Overview!$D$2:$E$21,2,FALSE)</f>
        <v>17</v>
      </c>
      <c r="F79" s="16" t="s">
        <v>22</v>
      </c>
    </row>
    <row r="80" spans="1:6" x14ac:dyDescent="0.3">
      <c r="A80" s="16" t="s">
        <v>199</v>
      </c>
      <c r="B80" s="16" t="s">
        <v>188</v>
      </c>
      <c r="C80" s="11">
        <f>VLOOKUP(B80,Overview!$A$2:$B$9,2,FALSE)</f>
        <v>4</v>
      </c>
      <c r="D80" s="16" t="s">
        <v>188</v>
      </c>
      <c r="E80" s="17">
        <f>VLOOKUP(D80,Overview!$D$2:$E$21,2,FALSE)</f>
        <v>17</v>
      </c>
      <c r="F80" s="16" t="s">
        <v>23</v>
      </c>
    </row>
    <row r="81" spans="1:6" x14ac:dyDescent="0.3">
      <c r="A81" s="16" t="s">
        <v>200</v>
      </c>
      <c r="B81" s="16" t="s">
        <v>188</v>
      </c>
      <c r="C81" s="11">
        <f>VLOOKUP(B81,Overview!$A$2:$B$9,2,FALSE)</f>
        <v>4</v>
      </c>
      <c r="D81" s="16" t="s">
        <v>188</v>
      </c>
      <c r="E81" s="17">
        <f>VLOOKUP(D81,Overview!$D$2:$E$21,2,FALSE)</f>
        <v>17</v>
      </c>
      <c r="F81" s="16" t="s">
        <v>24</v>
      </c>
    </row>
    <row r="82" spans="1:6" x14ac:dyDescent="0.3">
      <c r="A82" s="16" t="s">
        <v>201</v>
      </c>
      <c r="B82" s="16" t="s">
        <v>188</v>
      </c>
      <c r="C82" s="11">
        <f>VLOOKUP(B82,Overview!$A$2:$B$9,2,FALSE)</f>
        <v>4</v>
      </c>
      <c r="D82" s="16" t="s">
        <v>188</v>
      </c>
      <c r="E82" s="17">
        <f>VLOOKUP(D82,Overview!$D$2:$E$21,2,FALSE)</f>
        <v>17</v>
      </c>
      <c r="F82" s="16" t="s">
        <v>25</v>
      </c>
    </row>
    <row r="83" spans="1:6" x14ac:dyDescent="0.3">
      <c r="A83" s="16" t="s">
        <v>202</v>
      </c>
      <c r="B83" s="16" t="s">
        <v>188</v>
      </c>
      <c r="C83" s="11">
        <f>VLOOKUP(B83,Overview!$A$2:$B$9,2,FALSE)</f>
        <v>4</v>
      </c>
      <c r="D83" s="16" t="s">
        <v>188</v>
      </c>
      <c r="E83" s="17">
        <f>VLOOKUP(D83,Overview!$D$2:$E$21,2,FALSE)</f>
        <v>17</v>
      </c>
      <c r="F83" s="16" t="s">
        <v>26</v>
      </c>
    </row>
    <row r="84" spans="1:6" x14ac:dyDescent="0.3">
      <c r="A84" s="16" t="s">
        <v>203</v>
      </c>
      <c r="B84" s="16" t="s">
        <v>188</v>
      </c>
      <c r="C84" s="11">
        <f>VLOOKUP(B84,Overview!$A$2:$B$9,2,FALSE)</f>
        <v>4</v>
      </c>
      <c r="D84" s="16" t="s">
        <v>188</v>
      </c>
      <c r="E84" s="17">
        <f>VLOOKUP(D84,Overview!$D$2:$E$21,2,FALSE)</f>
        <v>17</v>
      </c>
      <c r="F84" s="16" t="s">
        <v>27</v>
      </c>
    </row>
    <row r="85" spans="1:6" x14ac:dyDescent="0.3">
      <c r="A85" s="16" t="s">
        <v>204</v>
      </c>
      <c r="B85" s="16" t="s">
        <v>188</v>
      </c>
      <c r="C85" s="11">
        <f>VLOOKUP(B85,Overview!$A$2:$B$9,2,FALSE)</f>
        <v>4</v>
      </c>
      <c r="D85" s="16" t="s">
        <v>188</v>
      </c>
      <c r="E85" s="17">
        <f>VLOOKUP(D85,Overview!$D$2:$E$21,2,FALSE)</f>
        <v>17</v>
      </c>
      <c r="F85" s="16" t="s">
        <v>28</v>
      </c>
    </row>
    <row r="86" spans="1:6" x14ac:dyDescent="0.3">
      <c r="A86" s="16" t="s">
        <v>205</v>
      </c>
      <c r="B86" s="16" t="s">
        <v>188</v>
      </c>
      <c r="C86" s="11">
        <f>VLOOKUP(B86,Overview!$A$2:$B$9,2,FALSE)</f>
        <v>4</v>
      </c>
      <c r="D86" s="16" t="s">
        <v>188</v>
      </c>
      <c r="E86" s="17">
        <f>VLOOKUP(D86,Overview!$D$2:$E$21,2,FALSE)</f>
        <v>17</v>
      </c>
      <c r="F86" s="16" t="s">
        <v>29</v>
      </c>
    </row>
    <row r="87" spans="1:6" x14ac:dyDescent="0.3">
      <c r="A87" s="16" t="s">
        <v>206</v>
      </c>
      <c r="B87" s="16" t="s">
        <v>188</v>
      </c>
      <c r="C87" s="11">
        <f>VLOOKUP(B87,Overview!$A$2:$B$9,2,FALSE)</f>
        <v>4</v>
      </c>
      <c r="D87" s="16" t="s">
        <v>188</v>
      </c>
      <c r="E87" s="17">
        <f>VLOOKUP(D87,Overview!$D$2:$E$21,2,FALSE)</f>
        <v>17</v>
      </c>
      <c r="F87" s="16" t="s">
        <v>30</v>
      </c>
    </row>
    <row r="88" spans="1:6" x14ac:dyDescent="0.3">
      <c r="A88" s="16" t="s">
        <v>207</v>
      </c>
      <c r="B88" s="16" t="s">
        <v>188</v>
      </c>
      <c r="C88" s="11">
        <f>VLOOKUP(B88,Overview!$A$2:$B$9,2,FALSE)</f>
        <v>4</v>
      </c>
      <c r="D88" s="16" t="s">
        <v>188</v>
      </c>
      <c r="E88" s="17">
        <f>VLOOKUP(D88,Overview!$D$2:$E$21,2,FALSE)</f>
        <v>17</v>
      </c>
      <c r="F88" s="16" t="s">
        <v>31</v>
      </c>
    </row>
    <row r="89" spans="1:6" x14ac:dyDescent="0.3">
      <c r="A89" s="16" t="s">
        <v>208</v>
      </c>
      <c r="B89" s="16" t="s">
        <v>188</v>
      </c>
      <c r="C89" s="11">
        <f>VLOOKUP(B89,Overview!$A$2:$B$9,2,FALSE)</f>
        <v>4</v>
      </c>
      <c r="D89" s="16" t="s">
        <v>188</v>
      </c>
      <c r="E89" s="17">
        <f>VLOOKUP(D89,Overview!$D$2:$E$21,2,FALSE)</f>
        <v>17</v>
      </c>
      <c r="F89" s="16" t="s">
        <v>32</v>
      </c>
    </row>
    <row r="90" spans="1:6" x14ac:dyDescent="0.3">
      <c r="A90" s="16" t="s">
        <v>209</v>
      </c>
      <c r="B90" s="16" t="s">
        <v>188</v>
      </c>
      <c r="C90" s="11">
        <f>VLOOKUP(B90,Overview!$A$2:$B$9,2,FALSE)</f>
        <v>4</v>
      </c>
      <c r="D90" s="16" t="s">
        <v>188</v>
      </c>
      <c r="E90" s="17">
        <f>VLOOKUP(D90,Overview!$D$2:$E$21,2,FALSE)</f>
        <v>17</v>
      </c>
      <c r="F90" s="16" t="s">
        <v>33</v>
      </c>
    </row>
    <row r="91" spans="1:6" x14ac:dyDescent="0.3">
      <c r="A91" s="16" t="s">
        <v>210</v>
      </c>
      <c r="B91" s="16" t="s">
        <v>188</v>
      </c>
      <c r="C91" s="11">
        <f>VLOOKUP(B91,Overview!$A$2:$B$9,2,FALSE)</f>
        <v>4</v>
      </c>
      <c r="D91" s="16" t="s">
        <v>188</v>
      </c>
      <c r="E91" s="17">
        <f>VLOOKUP(D91,Overview!$D$2:$E$21,2,FALSE)</f>
        <v>17</v>
      </c>
      <c r="F91" s="16" t="s">
        <v>34</v>
      </c>
    </row>
    <row r="92" spans="1:6" x14ac:dyDescent="0.3">
      <c r="A92" s="16" t="s">
        <v>211</v>
      </c>
      <c r="B92" s="16" t="s">
        <v>188</v>
      </c>
      <c r="C92" s="11">
        <f>VLOOKUP(B92,Overview!$A$2:$B$9,2,FALSE)</f>
        <v>4</v>
      </c>
      <c r="D92" s="16" t="s">
        <v>188</v>
      </c>
      <c r="E92" s="17">
        <f>VLOOKUP(D92,Overview!$D$2:$E$21,2,FALSE)</f>
        <v>17</v>
      </c>
      <c r="F92" s="16" t="s">
        <v>35</v>
      </c>
    </row>
    <row r="93" spans="1:6" x14ac:dyDescent="0.3">
      <c r="A93" s="16" t="s">
        <v>212</v>
      </c>
      <c r="B93" s="16" t="s">
        <v>188</v>
      </c>
      <c r="C93" s="11">
        <f>VLOOKUP(B93,Overview!$A$2:$B$9,2,FALSE)</f>
        <v>4</v>
      </c>
      <c r="D93" s="16" t="s">
        <v>188</v>
      </c>
      <c r="E93" s="17">
        <f>VLOOKUP(D93,Overview!$D$2:$E$21,2,FALSE)</f>
        <v>17</v>
      </c>
      <c r="F93" s="16" t="s">
        <v>36</v>
      </c>
    </row>
    <row r="94" spans="1:6" x14ac:dyDescent="0.3">
      <c r="A94" s="16" t="s">
        <v>213</v>
      </c>
      <c r="B94" s="16" t="s">
        <v>188</v>
      </c>
      <c r="C94" s="11">
        <f>VLOOKUP(B94,Overview!$A$2:$B$9,2,FALSE)</f>
        <v>4</v>
      </c>
      <c r="D94" s="16" t="s">
        <v>188</v>
      </c>
      <c r="E94" s="17">
        <f>VLOOKUP(D94,Overview!$D$2:$E$21,2,FALSE)</f>
        <v>17</v>
      </c>
      <c r="F94" s="16" t="s">
        <v>37</v>
      </c>
    </row>
    <row r="95" spans="1:6" x14ac:dyDescent="0.3">
      <c r="A95" s="16" t="s">
        <v>214</v>
      </c>
      <c r="B95" s="16" t="s">
        <v>188</v>
      </c>
      <c r="C95" s="11">
        <f>VLOOKUP(B95,Overview!$A$2:$B$9,2,FALSE)</f>
        <v>4</v>
      </c>
      <c r="D95" s="16" t="s">
        <v>188</v>
      </c>
      <c r="E95" s="17">
        <f>VLOOKUP(D95,Overview!$D$2:$E$21,2,FALSE)</f>
        <v>17</v>
      </c>
      <c r="F95" s="16" t="s">
        <v>38</v>
      </c>
    </row>
    <row r="96" spans="1:6" x14ac:dyDescent="0.3">
      <c r="A96" s="16" t="s">
        <v>215</v>
      </c>
      <c r="B96" s="16" t="s">
        <v>188</v>
      </c>
      <c r="C96" s="11">
        <f>VLOOKUP(B96,Overview!$A$2:$B$9,2,FALSE)</f>
        <v>4</v>
      </c>
      <c r="D96" s="16" t="s">
        <v>188</v>
      </c>
      <c r="E96" s="17">
        <f>VLOOKUP(D96,Overview!$D$2:$E$21,2,FALSE)</f>
        <v>17</v>
      </c>
      <c r="F96" s="16" t="s">
        <v>39</v>
      </c>
    </row>
    <row r="97" spans="1:6" x14ac:dyDescent="0.3">
      <c r="A97" s="16" t="s">
        <v>216</v>
      </c>
      <c r="B97" s="16" t="s">
        <v>188</v>
      </c>
      <c r="C97" s="11">
        <f>VLOOKUP(B97,Overview!$A$2:$B$9,2,FALSE)</f>
        <v>4</v>
      </c>
      <c r="D97" s="16" t="s">
        <v>188</v>
      </c>
      <c r="E97" s="17">
        <f>VLOOKUP(D97,Overview!$D$2:$E$21,2,FALSE)</f>
        <v>17</v>
      </c>
      <c r="F97" s="16" t="s">
        <v>40</v>
      </c>
    </row>
    <row r="98" spans="1:6" x14ac:dyDescent="0.3">
      <c r="A98" s="16" t="s">
        <v>217</v>
      </c>
      <c r="B98" s="16" t="s">
        <v>188</v>
      </c>
      <c r="C98" s="11">
        <f>VLOOKUP(B98,Overview!$A$2:$B$9,2,FALSE)</f>
        <v>4</v>
      </c>
      <c r="D98" s="16" t="s">
        <v>188</v>
      </c>
      <c r="E98" s="17">
        <f>VLOOKUP(D98,Overview!$D$2:$E$21,2,FALSE)</f>
        <v>17</v>
      </c>
      <c r="F98" s="16" t="s">
        <v>41</v>
      </c>
    </row>
    <row r="99" spans="1:6" x14ac:dyDescent="0.3">
      <c r="A99" s="16" t="s">
        <v>218</v>
      </c>
      <c r="B99" s="16" t="s">
        <v>188</v>
      </c>
      <c r="C99" s="11">
        <f>VLOOKUP(B99,Overview!$A$2:$B$9,2,FALSE)</f>
        <v>4</v>
      </c>
      <c r="D99" s="16" t="s">
        <v>188</v>
      </c>
      <c r="E99" s="17">
        <f>VLOOKUP(D99,Overview!$D$2:$E$21,2,FALSE)</f>
        <v>17</v>
      </c>
      <c r="F99" s="16" t="s">
        <v>42</v>
      </c>
    </row>
    <row r="100" spans="1:6" x14ac:dyDescent="0.3">
      <c r="A100" s="16" t="s">
        <v>219</v>
      </c>
      <c r="B100" s="16" t="s">
        <v>188</v>
      </c>
      <c r="C100" s="11">
        <f>VLOOKUP(B100,Overview!$A$2:$B$9,2,FALSE)</f>
        <v>4</v>
      </c>
      <c r="D100" s="16" t="s">
        <v>188</v>
      </c>
      <c r="E100" s="17">
        <f>VLOOKUP(D100,Overview!$D$2:$E$21,2,FALSE)</f>
        <v>17</v>
      </c>
      <c r="F100" s="16" t="s">
        <v>43</v>
      </c>
    </row>
    <row r="101" spans="1:6" x14ac:dyDescent="0.3">
      <c r="A101" s="16" t="s">
        <v>220</v>
      </c>
      <c r="B101" s="16" t="s">
        <v>188</v>
      </c>
      <c r="C101" s="11">
        <f>VLOOKUP(B101,Overview!$A$2:$B$9,2,FALSE)</f>
        <v>4</v>
      </c>
      <c r="D101" s="16" t="s">
        <v>188</v>
      </c>
      <c r="E101" s="17">
        <f>VLOOKUP(D101,Overview!$D$2:$E$21,2,FALSE)</f>
        <v>17</v>
      </c>
      <c r="F101" s="16" t="s">
        <v>44</v>
      </c>
    </row>
    <row r="102" spans="1:6" x14ac:dyDescent="0.3">
      <c r="A102" s="16" t="s">
        <v>221</v>
      </c>
      <c r="B102" s="16" t="s">
        <v>188</v>
      </c>
      <c r="C102" s="11">
        <f>VLOOKUP(B102,Overview!$A$2:$B$9,2,FALSE)</f>
        <v>4</v>
      </c>
      <c r="D102" s="16" t="s">
        <v>188</v>
      </c>
      <c r="E102" s="17">
        <f>VLOOKUP(D102,Overview!$D$2:$E$21,2,FALSE)</f>
        <v>17</v>
      </c>
      <c r="F102" s="16" t="s">
        <v>45</v>
      </c>
    </row>
    <row r="103" spans="1:6" x14ac:dyDescent="0.3">
      <c r="A103" s="16" t="s">
        <v>222</v>
      </c>
      <c r="B103" s="16" t="s">
        <v>188</v>
      </c>
      <c r="C103" s="11">
        <f>VLOOKUP(B103,Overview!$A$2:$B$9,2,FALSE)</f>
        <v>4</v>
      </c>
      <c r="D103" s="16" t="s">
        <v>188</v>
      </c>
      <c r="E103" s="17">
        <f>VLOOKUP(D103,Overview!$D$2:$E$21,2,FALSE)</f>
        <v>17</v>
      </c>
      <c r="F103" s="16" t="s">
        <v>46</v>
      </c>
    </row>
    <row r="104" spans="1:6" x14ac:dyDescent="0.3">
      <c r="A104" s="16" t="s">
        <v>223</v>
      </c>
      <c r="B104" s="16" t="s">
        <v>188</v>
      </c>
      <c r="C104" s="11">
        <f>VLOOKUP(B104,Overview!$A$2:$B$9,2,FALSE)</f>
        <v>4</v>
      </c>
      <c r="D104" s="16" t="s">
        <v>188</v>
      </c>
      <c r="E104" s="17">
        <f>VLOOKUP(D104,Overview!$D$2:$E$21,2,FALSE)</f>
        <v>17</v>
      </c>
      <c r="F104" s="16" t="s">
        <v>47</v>
      </c>
    </row>
    <row r="105" spans="1:6" x14ac:dyDescent="0.3">
      <c r="A105" s="16" t="s">
        <v>224</v>
      </c>
      <c r="B105" s="16" t="s">
        <v>188</v>
      </c>
      <c r="C105" s="11">
        <f>VLOOKUP(B105,Overview!$A$2:$B$9,2,FALSE)</f>
        <v>4</v>
      </c>
      <c r="D105" s="16" t="s">
        <v>188</v>
      </c>
      <c r="E105" s="17">
        <f>VLOOKUP(D105,Overview!$D$2:$E$21,2,FALSE)</f>
        <v>17</v>
      </c>
      <c r="F105" s="16" t="s">
        <v>48</v>
      </c>
    </row>
    <row r="106" spans="1:6" x14ac:dyDescent="0.3">
      <c r="A106" s="16" t="s">
        <v>225</v>
      </c>
      <c r="B106" s="16" t="s">
        <v>188</v>
      </c>
      <c r="C106" s="11">
        <f>VLOOKUP(B106,Overview!$A$2:$B$9,2,FALSE)</f>
        <v>4</v>
      </c>
      <c r="D106" s="16" t="s">
        <v>188</v>
      </c>
      <c r="E106" s="17">
        <f>VLOOKUP(D106,Overview!$D$2:$E$21,2,FALSE)</f>
        <v>17</v>
      </c>
      <c r="F106" s="16" t="s">
        <v>49</v>
      </c>
    </row>
    <row r="107" spans="1:6" x14ac:dyDescent="0.3">
      <c r="A107" s="16" t="s">
        <v>226</v>
      </c>
      <c r="B107" s="16" t="s">
        <v>188</v>
      </c>
      <c r="C107" s="11">
        <f>VLOOKUP(B107,Overview!$A$2:$B$9,2,FALSE)</f>
        <v>4</v>
      </c>
      <c r="D107" s="16" t="s">
        <v>188</v>
      </c>
      <c r="E107" s="17">
        <f>VLOOKUP(D107,Overview!$D$2:$E$21,2,FALSE)</f>
        <v>17</v>
      </c>
      <c r="F107" s="16" t="s">
        <v>50</v>
      </c>
    </row>
    <row r="108" spans="1:6" x14ac:dyDescent="0.3">
      <c r="A108" s="16" t="s">
        <v>227</v>
      </c>
      <c r="B108" s="16" t="s">
        <v>188</v>
      </c>
      <c r="C108" s="11">
        <f>VLOOKUP(B108,Overview!$A$2:$B$9,2,FALSE)</f>
        <v>4</v>
      </c>
      <c r="D108" s="16" t="s">
        <v>188</v>
      </c>
      <c r="E108" s="17">
        <f>VLOOKUP(D108,Overview!$D$2:$E$21,2,FALSE)</f>
        <v>17</v>
      </c>
      <c r="F108" s="16" t="s">
        <v>51</v>
      </c>
    </row>
    <row r="109" spans="1:6" x14ac:dyDescent="0.3">
      <c r="A109" s="16" t="s">
        <v>228</v>
      </c>
      <c r="B109" s="16" t="s">
        <v>188</v>
      </c>
      <c r="C109" s="11">
        <f>VLOOKUP(B109,Overview!$A$2:$B$9,2,FALSE)</f>
        <v>4</v>
      </c>
      <c r="D109" s="16" t="s">
        <v>188</v>
      </c>
      <c r="E109" s="17">
        <f>VLOOKUP(D109,Overview!$D$2:$E$21,2,FALSE)</f>
        <v>17</v>
      </c>
      <c r="F109" s="16" t="s">
        <v>52</v>
      </c>
    </row>
    <row r="110" spans="1:6" x14ac:dyDescent="0.3">
      <c r="A110" s="16" t="s">
        <v>229</v>
      </c>
      <c r="B110" s="16" t="s">
        <v>188</v>
      </c>
      <c r="C110" s="11">
        <f>VLOOKUP(B110,Overview!$A$2:$B$9,2,FALSE)</f>
        <v>4</v>
      </c>
      <c r="D110" s="16" t="s">
        <v>188</v>
      </c>
      <c r="E110" s="17">
        <f>VLOOKUP(D110,Overview!$D$2:$E$21,2,FALSE)</f>
        <v>17</v>
      </c>
      <c r="F110" s="16" t="s">
        <v>53</v>
      </c>
    </row>
    <row r="111" spans="1:6" x14ac:dyDescent="0.3">
      <c r="A111" s="16" t="s">
        <v>230</v>
      </c>
      <c r="B111" s="16" t="s">
        <v>188</v>
      </c>
      <c r="C111" s="11">
        <f>VLOOKUP(B111,Overview!$A$2:$B$9,2,FALSE)</f>
        <v>4</v>
      </c>
      <c r="D111" s="16" t="s">
        <v>188</v>
      </c>
      <c r="E111" s="17">
        <f>VLOOKUP(D111,Overview!$D$2:$E$21,2,FALSE)</f>
        <v>17</v>
      </c>
      <c r="F111" s="16" t="s">
        <v>54</v>
      </c>
    </row>
    <row r="112" spans="1:6" x14ac:dyDescent="0.3">
      <c r="A112" s="16" t="s">
        <v>231</v>
      </c>
      <c r="B112" s="16" t="s">
        <v>188</v>
      </c>
      <c r="C112" s="11">
        <f>VLOOKUP(B112,Overview!$A$2:$B$9,2,FALSE)</f>
        <v>4</v>
      </c>
      <c r="D112" s="16" t="s">
        <v>188</v>
      </c>
      <c r="E112" s="17">
        <f>VLOOKUP(D112,Overview!$D$2:$E$21,2,FALSE)</f>
        <v>17</v>
      </c>
      <c r="F112" s="16" t="s">
        <v>55</v>
      </c>
    </row>
    <row r="113" spans="1:6" x14ac:dyDescent="0.3">
      <c r="A113" s="16" t="s">
        <v>232</v>
      </c>
      <c r="B113" s="16" t="s">
        <v>188</v>
      </c>
      <c r="C113" s="11">
        <f>VLOOKUP(B113,Overview!$A$2:$B$9,2,FALSE)</f>
        <v>4</v>
      </c>
      <c r="D113" s="16" t="s">
        <v>188</v>
      </c>
      <c r="E113" s="17">
        <f>VLOOKUP(D113,Overview!$D$2:$E$21,2,FALSE)</f>
        <v>17</v>
      </c>
      <c r="F113" s="16" t="s">
        <v>56</v>
      </c>
    </row>
    <row r="114" spans="1:6" x14ac:dyDescent="0.3">
      <c r="A114" s="16" t="s">
        <v>233</v>
      </c>
      <c r="B114" s="16" t="s">
        <v>234</v>
      </c>
      <c r="C114" s="11">
        <f>VLOOKUP(B114,Overview!$A$2:$B$9,2,FALSE)</f>
        <v>6</v>
      </c>
      <c r="D114" s="16" t="s">
        <v>234</v>
      </c>
      <c r="E114" s="17">
        <f>VLOOKUP(D114,Overview!$D$2:$E$21,2,FALSE)</f>
        <v>18</v>
      </c>
      <c r="F114" s="16" t="s">
        <v>12</v>
      </c>
    </row>
    <row r="115" spans="1:6" x14ac:dyDescent="0.3">
      <c r="A115" s="16" t="s">
        <v>235</v>
      </c>
      <c r="B115" s="16" t="s">
        <v>234</v>
      </c>
      <c r="C115" s="11">
        <f>VLOOKUP(B115,Overview!$A$2:$B$9,2,FALSE)</f>
        <v>6</v>
      </c>
      <c r="D115" s="16" t="s">
        <v>234</v>
      </c>
      <c r="E115" s="17">
        <f>VLOOKUP(D115,Overview!$D$2:$E$21,2,FALSE)</f>
        <v>18</v>
      </c>
      <c r="F115" s="16" t="s">
        <v>13</v>
      </c>
    </row>
    <row r="116" spans="1:6" x14ac:dyDescent="0.3">
      <c r="A116" s="16" t="s">
        <v>236</v>
      </c>
      <c r="B116" s="16" t="s">
        <v>234</v>
      </c>
      <c r="C116" s="11">
        <f>VLOOKUP(B116,Overview!$A$2:$B$9,2,FALSE)</f>
        <v>6</v>
      </c>
      <c r="D116" s="16" t="s">
        <v>234</v>
      </c>
      <c r="E116" s="17">
        <f>VLOOKUP(D116,Overview!$D$2:$E$21,2,FALSE)</f>
        <v>18</v>
      </c>
      <c r="F116" s="16" t="s">
        <v>14</v>
      </c>
    </row>
    <row r="117" spans="1:6" x14ac:dyDescent="0.3">
      <c r="A117" s="16" t="s">
        <v>237</v>
      </c>
      <c r="B117" s="16" t="s">
        <v>234</v>
      </c>
      <c r="C117" s="11">
        <f>VLOOKUP(B117,Overview!$A$2:$B$9,2,FALSE)</f>
        <v>6</v>
      </c>
      <c r="D117" s="16" t="s">
        <v>234</v>
      </c>
      <c r="E117" s="17">
        <f>VLOOKUP(D117,Overview!$D$2:$E$21,2,FALSE)</f>
        <v>18</v>
      </c>
      <c r="F117" s="16" t="s">
        <v>15</v>
      </c>
    </row>
    <row r="118" spans="1:6" x14ac:dyDescent="0.3">
      <c r="A118" s="16" t="s">
        <v>238</v>
      </c>
      <c r="B118" s="16" t="s">
        <v>234</v>
      </c>
      <c r="C118" s="11">
        <f>VLOOKUP(B118,Overview!$A$2:$B$9,2,FALSE)</f>
        <v>6</v>
      </c>
      <c r="D118" s="16" t="s">
        <v>234</v>
      </c>
      <c r="E118" s="17">
        <f>VLOOKUP(D118,Overview!$D$2:$E$21,2,FALSE)</f>
        <v>18</v>
      </c>
      <c r="F118" s="16" t="s">
        <v>16</v>
      </c>
    </row>
    <row r="119" spans="1:6" x14ac:dyDescent="0.3">
      <c r="A119" s="16" t="s">
        <v>239</v>
      </c>
      <c r="B119" s="16" t="s">
        <v>234</v>
      </c>
      <c r="C119" s="11">
        <f>VLOOKUP(B119,Overview!$A$2:$B$9,2,FALSE)</f>
        <v>6</v>
      </c>
      <c r="D119" s="16" t="s">
        <v>234</v>
      </c>
      <c r="E119" s="17">
        <f>VLOOKUP(D119,Overview!$D$2:$E$21,2,FALSE)</f>
        <v>18</v>
      </c>
      <c r="F119" s="16" t="s">
        <v>17</v>
      </c>
    </row>
    <row r="120" spans="1:6" x14ac:dyDescent="0.3">
      <c r="A120" s="16" t="s">
        <v>240</v>
      </c>
      <c r="B120" s="16" t="s">
        <v>234</v>
      </c>
      <c r="C120" s="11">
        <f>VLOOKUP(B120,Overview!$A$2:$B$9,2,FALSE)</f>
        <v>6</v>
      </c>
      <c r="D120" s="16" t="s">
        <v>234</v>
      </c>
      <c r="E120" s="17">
        <f>VLOOKUP(D120,Overview!$D$2:$E$21,2,FALSE)</f>
        <v>18</v>
      </c>
      <c r="F120" s="16" t="s">
        <v>18</v>
      </c>
    </row>
    <row r="121" spans="1:6" x14ac:dyDescent="0.3">
      <c r="A121" s="16" t="s">
        <v>241</v>
      </c>
      <c r="B121" s="16" t="s">
        <v>234</v>
      </c>
      <c r="C121" s="11">
        <f>VLOOKUP(B121,Overview!$A$2:$B$9,2,FALSE)</f>
        <v>6</v>
      </c>
      <c r="D121" s="16" t="s">
        <v>234</v>
      </c>
      <c r="E121" s="17">
        <f>VLOOKUP(D121,Overview!$D$2:$E$21,2,FALSE)</f>
        <v>18</v>
      </c>
      <c r="F121" s="16" t="s">
        <v>19</v>
      </c>
    </row>
    <row r="122" spans="1:6" x14ac:dyDescent="0.3">
      <c r="A122" s="16" t="s">
        <v>242</v>
      </c>
      <c r="B122" s="16" t="s">
        <v>234</v>
      </c>
      <c r="C122" s="11">
        <f>VLOOKUP(B122,Overview!$A$2:$B$9,2,FALSE)</f>
        <v>6</v>
      </c>
      <c r="D122" s="16" t="s">
        <v>234</v>
      </c>
      <c r="E122" s="17">
        <f>VLOOKUP(D122,Overview!$D$2:$E$21,2,FALSE)</f>
        <v>18</v>
      </c>
      <c r="F122" s="16" t="s">
        <v>20</v>
      </c>
    </row>
    <row r="123" spans="1:6" x14ac:dyDescent="0.3">
      <c r="A123" s="16" t="s">
        <v>243</v>
      </c>
      <c r="B123" s="16" t="s">
        <v>234</v>
      </c>
      <c r="C123" s="11">
        <f>VLOOKUP(B123,Overview!$A$2:$B$9,2,FALSE)</f>
        <v>6</v>
      </c>
      <c r="D123" s="16" t="s">
        <v>234</v>
      </c>
      <c r="E123" s="17">
        <f>VLOOKUP(D123,Overview!$D$2:$E$21,2,FALSE)</f>
        <v>18</v>
      </c>
      <c r="F123" s="16" t="s">
        <v>21</v>
      </c>
    </row>
    <row r="124" spans="1:6" x14ac:dyDescent="0.3">
      <c r="A124" s="16" t="s">
        <v>244</v>
      </c>
      <c r="B124" s="16" t="s">
        <v>234</v>
      </c>
      <c r="C124" s="11">
        <f>VLOOKUP(B124,Overview!$A$2:$B$9,2,FALSE)</f>
        <v>6</v>
      </c>
      <c r="D124" s="16" t="s">
        <v>234</v>
      </c>
      <c r="E124" s="17">
        <f>VLOOKUP(D124,Overview!$D$2:$E$21,2,FALSE)</f>
        <v>18</v>
      </c>
      <c r="F124" s="16" t="s">
        <v>22</v>
      </c>
    </row>
    <row r="125" spans="1:6" x14ac:dyDescent="0.3">
      <c r="A125" s="16" t="s">
        <v>245</v>
      </c>
      <c r="B125" s="16" t="s">
        <v>234</v>
      </c>
      <c r="C125" s="11">
        <f>VLOOKUP(B125,Overview!$A$2:$B$9,2,FALSE)</f>
        <v>6</v>
      </c>
      <c r="D125" s="16" t="s">
        <v>234</v>
      </c>
      <c r="E125" s="17">
        <f>VLOOKUP(D125,Overview!$D$2:$E$21,2,FALSE)</f>
        <v>18</v>
      </c>
      <c r="F125" s="16" t="s">
        <v>23</v>
      </c>
    </row>
    <row r="126" spans="1:6" x14ac:dyDescent="0.3">
      <c r="A126" s="16" t="s">
        <v>246</v>
      </c>
      <c r="B126" s="16" t="s">
        <v>234</v>
      </c>
      <c r="C126" s="11">
        <f>VLOOKUP(B126,Overview!$A$2:$B$9,2,FALSE)</f>
        <v>6</v>
      </c>
      <c r="D126" s="16" t="s">
        <v>234</v>
      </c>
      <c r="E126" s="17">
        <f>VLOOKUP(D126,Overview!$D$2:$E$21,2,FALSE)</f>
        <v>18</v>
      </c>
      <c r="F126" s="16" t="s">
        <v>24</v>
      </c>
    </row>
    <row r="127" spans="1:6" x14ac:dyDescent="0.3">
      <c r="A127" s="16" t="s">
        <v>247</v>
      </c>
      <c r="B127" s="16" t="s">
        <v>234</v>
      </c>
      <c r="C127" s="11">
        <f>VLOOKUP(B127,Overview!$A$2:$B$9,2,FALSE)</f>
        <v>6</v>
      </c>
      <c r="D127" s="16" t="s">
        <v>234</v>
      </c>
      <c r="E127" s="17">
        <f>VLOOKUP(D127,Overview!$D$2:$E$21,2,FALSE)</f>
        <v>18</v>
      </c>
      <c r="F127" s="16" t="s">
        <v>25</v>
      </c>
    </row>
    <row r="128" spans="1:6" x14ac:dyDescent="0.3">
      <c r="A128" s="16" t="s">
        <v>248</v>
      </c>
      <c r="B128" s="16" t="s">
        <v>234</v>
      </c>
      <c r="C128" s="11">
        <f>VLOOKUP(B128,Overview!$A$2:$B$9,2,FALSE)</f>
        <v>6</v>
      </c>
      <c r="D128" s="16" t="s">
        <v>234</v>
      </c>
      <c r="E128" s="17">
        <f>VLOOKUP(D128,Overview!$D$2:$E$21,2,FALSE)</f>
        <v>18</v>
      </c>
      <c r="F128" s="16" t="s">
        <v>26</v>
      </c>
    </row>
    <row r="129" spans="1:6" x14ac:dyDescent="0.3">
      <c r="A129" s="16" t="s">
        <v>249</v>
      </c>
      <c r="B129" s="16" t="s">
        <v>234</v>
      </c>
      <c r="C129" s="11">
        <f>VLOOKUP(B129,Overview!$A$2:$B$9,2,FALSE)</f>
        <v>6</v>
      </c>
      <c r="D129" s="16" t="s">
        <v>234</v>
      </c>
      <c r="E129" s="17">
        <f>VLOOKUP(D129,Overview!$D$2:$E$21,2,FALSE)</f>
        <v>18</v>
      </c>
      <c r="F129" s="16" t="s">
        <v>27</v>
      </c>
    </row>
    <row r="130" spans="1:6" x14ac:dyDescent="0.3">
      <c r="A130" s="16" t="s">
        <v>250</v>
      </c>
      <c r="B130" s="16" t="s">
        <v>234</v>
      </c>
      <c r="C130" s="11">
        <f>VLOOKUP(B130,Overview!$A$2:$B$9,2,FALSE)</f>
        <v>6</v>
      </c>
      <c r="D130" s="16" t="s">
        <v>234</v>
      </c>
      <c r="E130" s="17">
        <f>VLOOKUP(D130,Overview!$D$2:$E$21,2,FALSE)</f>
        <v>18</v>
      </c>
      <c r="F130" s="16" t="s">
        <v>28</v>
      </c>
    </row>
    <row r="131" spans="1:6" x14ac:dyDescent="0.3">
      <c r="A131" s="16" t="s">
        <v>251</v>
      </c>
      <c r="B131" s="16" t="s">
        <v>234</v>
      </c>
      <c r="C131" s="11">
        <f>VLOOKUP(B131,Overview!$A$2:$B$9,2,FALSE)</f>
        <v>6</v>
      </c>
      <c r="D131" s="16" t="s">
        <v>234</v>
      </c>
      <c r="E131" s="17">
        <f>VLOOKUP(D131,Overview!$D$2:$E$21,2,FALSE)</f>
        <v>18</v>
      </c>
      <c r="F131" s="16" t="s">
        <v>29</v>
      </c>
    </row>
    <row r="132" spans="1:6" x14ac:dyDescent="0.3">
      <c r="A132" s="16" t="s">
        <v>252</v>
      </c>
      <c r="B132" s="16" t="s">
        <v>234</v>
      </c>
      <c r="C132" s="11">
        <f>VLOOKUP(B132,Overview!$A$2:$B$9,2,FALSE)</f>
        <v>6</v>
      </c>
      <c r="D132" s="16" t="s">
        <v>234</v>
      </c>
      <c r="E132" s="17">
        <f>VLOOKUP(D132,Overview!$D$2:$E$21,2,FALSE)</f>
        <v>18</v>
      </c>
      <c r="F132" s="16" t="s">
        <v>30</v>
      </c>
    </row>
    <row r="133" spans="1:6" x14ac:dyDescent="0.3">
      <c r="A133" s="16" t="s">
        <v>253</v>
      </c>
      <c r="B133" s="16" t="s">
        <v>234</v>
      </c>
      <c r="C133" s="11">
        <f>VLOOKUP(B133,Overview!$A$2:$B$9,2,FALSE)</f>
        <v>6</v>
      </c>
      <c r="D133" s="16" t="s">
        <v>234</v>
      </c>
      <c r="E133" s="17">
        <f>VLOOKUP(D133,Overview!$D$2:$E$21,2,FALSE)</f>
        <v>18</v>
      </c>
      <c r="F133" s="16" t="s">
        <v>31</v>
      </c>
    </row>
    <row r="134" spans="1:6" x14ac:dyDescent="0.3">
      <c r="A134" s="16" t="s">
        <v>254</v>
      </c>
      <c r="B134" s="16" t="s">
        <v>234</v>
      </c>
      <c r="C134" s="11">
        <f>VLOOKUP(B134,Overview!$A$2:$B$9,2,FALSE)</f>
        <v>6</v>
      </c>
      <c r="D134" s="16" t="s">
        <v>234</v>
      </c>
      <c r="E134" s="17">
        <f>VLOOKUP(D134,Overview!$D$2:$E$21,2,FALSE)</f>
        <v>18</v>
      </c>
      <c r="F134" s="16" t="s">
        <v>32</v>
      </c>
    </row>
    <row r="135" spans="1:6" x14ac:dyDescent="0.3">
      <c r="A135" s="16" t="s">
        <v>255</v>
      </c>
      <c r="B135" s="16" t="s">
        <v>234</v>
      </c>
      <c r="C135" s="11">
        <f>VLOOKUP(B135,Overview!$A$2:$B$9,2,FALSE)</f>
        <v>6</v>
      </c>
      <c r="D135" s="16" t="s">
        <v>234</v>
      </c>
      <c r="E135" s="17">
        <f>VLOOKUP(D135,Overview!$D$2:$E$21,2,FALSE)</f>
        <v>18</v>
      </c>
      <c r="F135" s="16" t="s">
        <v>33</v>
      </c>
    </row>
    <row r="136" spans="1:6" x14ac:dyDescent="0.3">
      <c r="A136" s="16" t="s">
        <v>256</v>
      </c>
      <c r="B136" s="16" t="s">
        <v>234</v>
      </c>
      <c r="C136" s="11">
        <f>VLOOKUP(B136,Overview!$A$2:$B$9,2,FALSE)</f>
        <v>6</v>
      </c>
      <c r="D136" s="16" t="s">
        <v>234</v>
      </c>
      <c r="E136" s="17">
        <f>VLOOKUP(D136,Overview!$D$2:$E$21,2,FALSE)</f>
        <v>18</v>
      </c>
      <c r="F136" s="16" t="s">
        <v>34</v>
      </c>
    </row>
    <row r="137" spans="1:6" x14ac:dyDescent="0.3">
      <c r="A137" s="16" t="s">
        <v>257</v>
      </c>
      <c r="B137" s="16" t="s">
        <v>234</v>
      </c>
      <c r="C137" s="11">
        <f>VLOOKUP(B137,Overview!$A$2:$B$9,2,FALSE)</f>
        <v>6</v>
      </c>
      <c r="D137" s="16" t="s">
        <v>234</v>
      </c>
      <c r="E137" s="17">
        <f>VLOOKUP(D137,Overview!$D$2:$E$21,2,FALSE)</f>
        <v>18</v>
      </c>
      <c r="F137" s="16" t="s">
        <v>35</v>
      </c>
    </row>
    <row r="138" spans="1:6" x14ac:dyDescent="0.3">
      <c r="A138" s="16" t="s">
        <v>258</v>
      </c>
      <c r="B138" s="16" t="s">
        <v>234</v>
      </c>
      <c r="C138" s="11">
        <f>VLOOKUP(B138,Overview!$A$2:$B$9,2,FALSE)</f>
        <v>6</v>
      </c>
      <c r="D138" s="16" t="s">
        <v>234</v>
      </c>
      <c r="E138" s="17">
        <f>VLOOKUP(D138,Overview!$D$2:$E$21,2,FALSE)</f>
        <v>18</v>
      </c>
      <c r="F138" s="16" t="s">
        <v>36</v>
      </c>
    </row>
    <row r="139" spans="1:6" x14ac:dyDescent="0.3">
      <c r="A139" s="16" t="s">
        <v>259</v>
      </c>
      <c r="B139" s="16" t="s">
        <v>234</v>
      </c>
      <c r="C139" s="11">
        <f>VLOOKUP(B139,Overview!$A$2:$B$9,2,FALSE)</f>
        <v>6</v>
      </c>
      <c r="D139" s="16" t="s">
        <v>234</v>
      </c>
      <c r="E139" s="17">
        <f>VLOOKUP(D139,Overview!$D$2:$E$21,2,FALSE)</f>
        <v>18</v>
      </c>
      <c r="F139" s="16" t="s">
        <v>37</v>
      </c>
    </row>
    <row r="140" spans="1:6" x14ac:dyDescent="0.3">
      <c r="A140" s="16" t="s">
        <v>260</v>
      </c>
      <c r="B140" s="16" t="s">
        <v>234</v>
      </c>
      <c r="C140" s="11">
        <f>VLOOKUP(B140,Overview!$A$2:$B$9,2,FALSE)</f>
        <v>6</v>
      </c>
      <c r="D140" s="16" t="s">
        <v>234</v>
      </c>
      <c r="E140" s="17">
        <f>VLOOKUP(D140,Overview!$D$2:$E$21,2,FALSE)</f>
        <v>18</v>
      </c>
      <c r="F140" s="16" t="s">
        <v>38</v>
      </c>
    </row>
    <row r="141" spans="1:6" x14ac:dyDescent="0.3">
      <c r="A141" s="16" t="s">
        <v>261</v>
      </c>
      <c r="B141" s="16" t="s">
        <v>234</v>
      </c>
      <c r="C141" s="11">
        <f>VLOOKUP(B141,Overview!$A$2:$B$9,2,FALSE)</f>
        <v>6</v>
      </c>
      <c r="D141" s="16" t="s">
        <v>234</v>
      </c>
      <c r="E141" s="17">
        <f>VLOOKUP(D141,Overview!$D$2:$E$21,2,FALSE)</f>
        <v>18</v>
      </c>
      <c r="F141" s="16" t="s">
        <v>39</v>
      </c>
    </row>
    <row r="142" spans="1:6" x14ac:dyDescent="0.3">
      <c r="A142" s="16" t="s">
        <v>262</v>
      </c>
      <c r="B142" s="16" t="s">
        <v>234</v>
      </c>
      <c r="C142" s="11">
        <f>VLOOKUP(B142,Overview!$A$2:$B$9,2,FALSE)</f>
        <v>6</v>
      </c>
      <c r="D142" s="16" t="s">
        <v>234</v>
      </c>
      <c r="E142" s="17">
        <f>VLOOKUP(D142,Overview!$D$2:$E$21,2,FALSE)</f>
        <v>18</v>
      </c>
      <c r="F142" s="16" t="s">
        <v>40</v>
      </c>
    </row>
    <row r="143" spans="1:6" x14ac:dyDescent="0.3">
      <c r="A143" s="16" t="s">
        <v>263</v>
      </c>
      <c r="B143" s="16" t="s">
        <v>234</v>
      </c>
      <c r="C143" s="11">
        <f>VLOOKUP(B143,Overview!$A$2:$B$9,2,FALSE)</f>
        <v>6</v>
      </c>
      <c r="D143" s="16" t="s">
        <v>234</v>
      </c>
      <c r="E143" s="17">
        <f>VLOOKUP(D143,Overview!$D$2:$E$21,2,FALSE)</f>
        <v>18</v>
      </c>
      <c r="F143" s="16" t="s">
        <v>41</v>
      </c>
    </row>
    <row r="144" spans="1:6" x14ac:dyDescent="0.3">
      <c r="A144" s="16" t="s">
        <v>264</v>
      </c>
      <c r="B144" s="16" t="s">
        <v>234</v>
      </c>
      <c r="C144" s="11">
        <f>VLOOKUP(B144,Overview!$A$2:$B$9,2,FALSE)</f>
        <v>6</v>
      </c>
      <c r="D144" s="16" t="s">
        <v>234</v>
      </c>
      <c r="E144" s="17">
        <f>VLOOKUP(D144,Overview!$D$2:$E$21,2,FALSE)</f>
        <v>18</v>
      </c>
      <c r="F144" s="16" t="s">
        <v>42</v>
      </c>
    </row>
    <row r="145" spans="1:6" x14ac:dyDescent="0.3">
      <c r="A145" s="16" t="s">
        <v>265</v>
      </c>
      <c r="B145" s="16" t="s">
        <v>234</v>
      </c>
      <c r="C145" s="11">
        <f>VLOOKUP(B145,Overview!$A$2:$B$9,2,FALSE)</f>
        <v>6</v>
      </c>
      <c r="D145" s="16" t="s">
        <v>234</v>
      </c>
      <c r="E145" s="17">
        <f>VLOOKUP(D145,Overview!$D$2:$E$21,2,FALSE)</f>
        <v>18</v>
      </c>
      <c r="F145" s="16" t="s">
        <v>43</v>
      </c>
    </row>
    <row r="146" spans="1:6" x14ac:dyDescent="0.3">
      <c r="A146" s="16" t="s">
        <v>266</v>
      </c>
      <c r="B146" s="16" t="s">
        <v>234</v>
      </c>
      <c r="C146" s="11">
        <f>VLOOKUP(B146,Overview!$A$2:$B$9,2,FALSE)</f>
        <v>6</v>
      </c>
      <c r="D146" s="16" t="s">
        <v>234</v>
      </c>
      <c r="E146" s="17">
        <f>VLOOKUP(D146,Overview!$D$2:$E$21,2,FALSE)</f>
        <v>18</v>
      </c>
      <c r="F146" s="16" t="s">
        <v>44</v>
      </c>
    </row>
    <row r="147" spans="1:6" x14ac:dyDescent="0.3">
      <c r="A147" s="16" t="s">
        <v>267</v>
      </c>
      <c r="B147" s="16" t="s">
        <v>234</v>
      </c>
      <c r="C147" s="11">
        <f>VLOOKUP(B147,Overview!$A$2:$B$9,2,FALSE)</f>
        <v>6</v>
      </c>
      <c r="D147" s="16" t="s">
        <v>234</v>
      </c>
      <c r="E147" s="17">
        <f>VLOOKUP(D147,Overview!$D$2:$E$21,2,FALSE)</f>
        <v>18</v>
      </c>
      <c r="F147" s="16" t="s">
        <v>45</v>
      </c>
    </row>
    <row r="148" spans="1:6" x14ac:dyDescent="0.3">
      <c r="A148" s="16" t="s">
        <v>268</v>
      </c>
      <c r="B148" s="16" t="s">
        <v>234</v>
      </c>
      <c r="C148" s="11">
        <f>VLOOKUP(B148,Overview!$A$2:$B$9,2,FALSE)</f>
        <v>6</v>
      </c>
      <c r="D148" s="16" t="s">
        <v>234</v>
      </c>
      <c r="E148" s="17">
        <f>VLOOKUP(D148,Overview!$D$2:$E$21,2,FALSE)</f>
        <v>18</v>
      </c>
      <c r="F148" s="16" t="s">
        <v>46</v>
      </c>
    </row>
    <row r="149" spans="1:6" x14ac:dyDescent="0.3">
      <c r="A149" s="16" t="s">
        <v>269</v>
      </c>
      <c r="B149" s="16" t="s">
        <v>234</v>
      </c>
      <c r="C149" s="11">
        <f>VLOOKUP(B149,Overview!$A$2:$B$9,2,FALSE)</f>
        <v>6</v>
      </c>
      <c r="D149" s="16" t="s">
        <v>234</v>
      </c>
      <c r="E149" s="17">
        <f>VLOOKUP(D149,Overview!$D$2:$E$21,2,FALSE)</f>
        <v>18</v>
      </c>
      <c r="F149" s="16" t="s">
        <v>47</v>
      </c>
    </row>
    <row r="150" spans="1:6" x14ac:dyDescent="0.3">
      <c r="A150" s="16" t="s">
        <v>270</v>
      </c>
      <c r="B150" s="16" t="s">
        <v>234</v>
      </c>
      <c r="C150" s="11">
        <f>VLOOKUP(B150,Overview!$A$2:$B$9,2,FALSE)</f>
        <v>6</v>
      </c>
      <c r="D150" s="16" t="s">
        <v>234</v>
      </c>
      <c r="E150" s="17">
        <f>VLOOKUP(D150,Overview!$D$2:$E$21,2,FALSE)</f>
        <v>18</v>
      </c>
      <c r="F150" s="16" t="s">
        <v>48</v>
      </c>
    </row>
    <row r="151" spans="1:6" x14ac:dyDescent="0.3">
      <c r="A151" s="16" t="s">
        <v>271</v>
      </c>
      <c r="B151" s="16" t="s">
        <v>234</v>
      </c>
      <c r="C151" s="11">
        <f>VLOOKUP(B151,Overview!$A$2:$B$9,2,FALSE)</f>
        <v>6</v>
      </c>
      <c r="D151" s="16" t="s">
        <v>234</v>
      </c>
      <c r="E151" s="17">
        <f>VLOOKUP(D151,Overview!$D$2:$E$21,2,FALSE)</f>
        <v>18</v>
      </c>
      <c r="F151" s="16" t="s">
        <v>49</v>
      </c>
    </row>
    <row r="152" spans="1:6" x14ac:dyDescent="0.3">
      <c r="A152" s="16" t="s">
        <v>272</v>
      </c>
      <c r="B152" s="16" t="s">
        <v>234</v>
      </c>
      <c r="C152" s="11">
        <f>VLOOKUP(B152,Overview!$A$2:$B$9,2,FALSE)</f>
        <v>6</v>
      </c>
      <c r="D152" s="16" t="s">
        <v>234</v>
      </c>
      <c r="E152" s="17">
        <f>VLOOKUP(D152,Overview!$D$2:$E$21,2,FALSE)</f>
        <v>18</v>
      </c>
      <c r="F152" s="16" t="s">
        <v>50</v>
      </c>
    </row>
    <row r="153" spans="1:6" x14ac:dyDescent="0.3">
      <c r="A153" s="16" t="s">
        <v>273</v>
      </c>
      <c r="B153" s="16" t="s">
        <v>234</v>
      </c>
      <c r="C153" s="11">
        <f>VLOOKUP(B153,Overview!$A$2:$B$9,2,FALSE)</f>
        <v>6</v>
      </c>
      <c r="D153" s="16" t="s">
        <v>234</v>
      </c>
      <c r="E153" s="17">
        <f>VLOOKUP(D153,Overview!$D$2:$E$21,2,FALSE)</f>
        <v>18</v>
      </c>
      <c r="F153" s="16" t="s">
        <v>51</v>
      </c>
    </row>
    <row r="154" spans="1:6" x14ac:dyDescent="0.3">
      <c r="A154" s="16" t="s">
        <v>274</v>
      </c>
      <c r="B154" s="16" t="s">
        <v>234</v>
      </c>
      <c r="C154" s="11">
        <f>VLOOKUP(B154,Overview!$A$2:$B$9,2,FALSE)</f>
        <v>6</v>
      </c>
      <c r="D154" s="16" t="s">
        <v>234</v>
      </c>
      <c r="E154" s="17">
        <f>VLOOKUP(D154,Overview!$D$2:$E$21,2,FALSE)</f>
        <v>18</v>
      </c>
      <c r="F154" s="16" t="s">
        <v>52</v>
      </c>
    </row>
    <row r="155" spans="1:6" x14ac:dyDescent="0.3">
      <c r="A155" s="16" t="s">
        <v>275</v>
      </c>
      <c r="B155" s="16" t="s">
        <v>234</v>
      </c>
      <c r="C155" s="11">
        <f>VLOOKUP(B155,Overview!$A$2:$B$9,2,FALSE)</f>
        <v>6</v>
      </c>
      <c r="D155" s="16" t="s">
        <v>234</v>
      </c>
      <c r="E155" s="17">
        <f>VLOOKUP(D155,Overview!$D$2:$E$21,2,FALSE)</f>
        <v>18</v>
      </c>
      <c r="F155" s="16" t="s">
        <v>53</v>
      </c>
    </row>
    <row r="156" spans="1:6" x14ac:dyDescent="0.3">
      <c r="A156" s="16" t="s">
        <v>276</v>
      </c>
      <c r="B156" s="16" t="s">
        <v>234</v>
      </c>
      <c r="C156" s="11">
        <f>VLOOKUP(B156,Overview!$A$2:$B$9,2,FALSE)</f>
        <v>6</v>
      </c>
      <c r="D156" s="16" t="s">
        <v>234</v>
      </c>
      <c r="E156" s="17">
        <f>VLOOKUP(D156,Overview!$D$2:$E$21,2,FALSE)</f>
        <v>18</v>
      </c>
      <c r="F156" s="16" t="s">
        <v>54</v>
      </c>
    </row>
    <row r="157" spans="1:6" x14ac:dyDescent="0.3">
      <c r="A157" s="16" t="s">
        <v>277</v>
      </c>
      <c r="B157" s="16" t="s">
        <v>234</v>
      </c>
      <c r="C157" s="11">
        <f>VLOOKUP(B157,Overview!$A$2:$B$9,2,FALSE)</f>
        <v>6</v>
      </c>
      <c r="D157" s="16" t="s">
        <v>234</v>
      </c>
      <c r="E157" s="17">
        <f>VLOOKUP(D157,Overview!$D$2:$E$21,2,FALSE)</f>
        <v>18</v>
      </c>
      <c r="F157" s="16" t="s">
        <v>55</v>
      </c>
    </row>
    <row r="158" spans="1:6" x14ac:dyDescent="0.3">
      <c r="A158" s="16" t="s">
        <v>278</v>
      </c>
      <c r="B158" s="16" t="s">
        <v>234</v>
      </c>
      <c r="C158" s="11">
        <f>VLOOKUP(B158,Overview!$A$2:$B$9,2,FALSE)</f>
        <v>6</v>
      </c>
      <c r="D158" s="16" t="s">
        <v>234</v>
      </c>
      <c r="E158" s="17">
        <f>VLOOKUP(D158,Overview!$D$2:$E$21,2,FALSE)</f>
        <v>18</v>
      </c>
      <c r="F158" s="16" t="s">
        <v>56</v>
      </c>
    </row>
    <row r="159" spans="1:6" x14ac:dyDescent="0.3">
      <c r="A159" s="16" t="s">
        <v>121</v>
      </c>
      <c r="B159" s="16" t="s">
        <v>279</v>
      </c>
      <c r="C159" s="11">
        <f>VLOOKUP(B159,Overview!$A$2:$B$9,2,FALSE)</f>
        <v>7</v>
      </c>
      <c r="D159" s="16" t="s">
        <v>294</v>
      </c>
      <c r="E159" s="17">
        <f>VLOOKUP(D159,Overview!$D$2:$E$21,2,FALSE)</f>
        <v>19</v>
      </c>
      <c r="F159" s="1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990B-E7A0-4426-92BC-394FC3934644}">
  <dimension ref="A1:F47"/>
  <sheetViews>
    <sheetView workbookViewId="0">
      <selection activeCell="E3" sqref="E3"/>
    </sheetView>
  </sheetViews>
  <sheetFormatPr defaultRowHeight="16.5" x14ac:dyDescent="0.3"/>
  <cols>
    <col min="1" max="1" width="29.25" bestFit="1" customWidth="1"/>
    <col min="2" max="2" width="11.875" bestFit="1" customWidth="1"/>
    <col min="3" max="3" width="20" bestFit="1" customWidth="1"/>
    <col min="4" max="4" width="4.25" bestFit="1" customWidth="1"/>
    <col min="5" max="5" width="44.25" bestFit="1" customWidth="1"/>
    <col min="6" max="6" width="14.75" bestFit="1" customWidth="1"/>
  </cols>
  <sheetData>
    <row r="1" spans="1:6" ht="17.25" thickBot="1" x14ac:dyDescent="0.35">
      <c r="A1" s="1" t="s">
        <v>6</v>
      </c>
      <c r="B1" s="7" t="s">
        <v>57</v>
      </c>
      <c r="C1" s="2" t="s">
        <v>113</v>
      </c>
      <c r="D1" s="2" t="s">
        <v>7</v>
      </c>
      <c r="E1" s="2" t="s">
        <v>8</v>
      </c>
      <c r="F1" s="2" t="s">
        <v>9</v>
      </c>
    </row>
    <row r="2" spans="1:6" ht="17.25" thickBot="1" x14ac:dyDescent="0.35">
      <c r="A2" s="3" t="s">
        <v>0</v>
      </c>
      <c r="B2" s="8" t="s">
        <v>0</v>
      </c>
      <c r="C2" s="4" t="s">
        <v>10</v>
      </c>
      <c r="D2" s="4" t="s">
        <v>114</v>
      </c>
      <c r="E2" s="4" t="s">
        <v>0</v>
      </c>
      <c r="F2" s="4" t="s">
        <v>11</v>
      </c>
    </row>
    <row r="3" spans="1:6" ht="17.25" thickBot="1" x14ac:dyDescent="0.35">
      <c r="A3" s="5" t="s">
        <v>12</v>
      </c>
      <c r="B3" s="5" t="s">
        <v>58</v>
      </c>
      <c r="C3" s="5" t="s">
        <v>103</v>
      </c>
      <c r="D3" s="5">
        <f>VLOOKUP(C3,Overview!$G$2:$H$6,2,)</f>
        <v>0</v>
      </c>
      <c r="E3" s="9"/>
      <c r="F3" s="5">
        <v>20</v>
      </c>
    </row>
    <row r="4" spans="1:6" ht="17.25" thickBot="1" x14ac:dyDescent="0.35">
      <c r="A4" s="6" t="s">
        <v>13</v>
      </c>
      <c r="B4" s="6" t="s">
        <v>59</v>
      </c>
      <c r="C4" s="6" t="s">
        <v>103</v>
      </c>
      <c r="D4" s="5">
        <f>VLOOKUP(C4,Overview!$G$2:$H$6,2,)</f>
        <v>0</v>
      </c>
      <c r="E4" s="10"/>
      <c r="F4" s="6">
        <v>20</v>
      </c>
    </row>
    <row r="5" spans="1:6" ht="17.25" thickBot="1" x14ac:dyDescent="0.35">
      <c r="A5" s="6" t="s">
        <v>14</v>
      </c>
      <c r="B5" s="6" t="s">
        <v>60</v>
      </c>
      <c r="C5" s="6" t="s">
        <v>103</v>
      </c>
      <c r="D5" s="5">
        <f>VLOOKUP(C5,Overview!$G$2:$H$6,2,)</f>
        <v>0</v>
      </c>
      <c r="E5" s="10"/>
      <c r="F5" s="6">
        <v>20</v>
      </c>
    </row>
    <row r="6" spans="1:6" ht="17.25" thickBot="1" x14ac:dyDescent="0.35">
      <c r="A6" s="6" t="s">
        <v>15</v>
      </c>
      <c r="B6" s="6" t="s">
        <v>61</v>
      </c>
      <c r="C6" s="6" t="s">
        <v>103</v>
      </c>
      <c r="D6" s="5">
        <f>VLOOKUP(C6,Overview!$G$2:$H$6,2,)</f>
        <v>0</v>
      </c>
      <c r="E6" s="10"/>
      <c r="F6" s="6">
        <v>20</v>
      </c>
    </row>
    <row r="7" spans="1:6" ht="17.25" thickBot="1" x14ac:dyDescent="0.35">
      <c r="A7" s="6" t="s">
        <v>16</v>
      </c>
      <c r="B7" s="6" t="s">
        <v>62</v>
      </c>
      <c r="C7" s="6" t="s">
        <v>103</v>
      </c>
      <c r="D7" s="5">
        <f>VLOOKUP(C7,Overview!$G$2:$H$6,2,)</f>
        <v>0</v>
      </c>
      <c r="E7" s="10"/>
      <c r="F7" s="6">
        <v>20</v>
      </c>
    </row>
    <row r="8" spans="1:6" ht="17.25" thickBot="1" x14ac:dyDescent="0.35">
      <c r="A8" s="6" t="s">
        <v>17</v>
      </c>
      <c r="B8" s="6" t="s">
        <v>63</v>
      </c>
      <c r="C8" s="6" t="s">
        <v>103</v>
      </c>
      <c r="D8" s="5">
        <f>VLOOKUP(C8,Overview!$G$2:$H$6,2,)</f>
        <v>0</v>
      </c>
      <c r="E8" s="10"/>
      <c r="F8" s="6">
        <v>20</v>
      </c>
    </row>
    <row r="9" spans="1:6" ht="17.25" thickBot="1" x14ac:dyDescent="0.35">
      <c r="A9" s="6" t="s">
        <v>18</v>
      </c>
      <c r="B9" s="6" t="s">
        <v>64</v>
      </c>
      <c r="C9" s="6" t="s">
        <v>103</v>
      </c>
      <c r="D9" s="5">
        <f>VLOOKUP(C9,Overview!$G$2:$H$6,2,)</f>
        <v>0</v>
      </c>
      <c r="E9" s="10"/>
      <c r="F9" s="6">
        <v>20</v>
      </c>
    </row>
    <row r="10" spans="1:6" ht="17.25" thickBot="1" x14ac:dyDescent="0.35">
      <c r="A10" s="6" t="s">
        <v>19</v>
      </c>
      <c r="B10" s="6" t="s">
        <v>65</v>
      </c>
      <c r="C10" s="6" t="s">
        <v>103</v>
      </c>
      <c r="D10" s="5">
        <f>VLOOKUP(C10,Overview!$G$2:$H$6,2,)</f>
        <v>0</v>
      </c>
      <c r="E10" s="10"/>
      <c r="F10" s="6">
        <v>20</v>
      </c>
    </row>
    <row r="11" spans="1:6" ht="17.25" thickBot="1" x14ac:dyDescent="0.35">
      <c r="A11" s="6" t="s">
        <v>20</v>
      </c>
      <c r="B11" s="6" t="s">
        <v>66</v>
      </c>
      <c r="C11" s="6" t="s">
        <v>105</v>
      </c>
      <c r="D11" s="5">
        <f>VLOOKUP(C11,Overview!$G$2:$H$6,2,)</f>
        <v>1</v>
      </c>
      <c r="E11" s="6" t="s">
        <v>115</v>
      </c>
      <c r="F11" s="6">
        <v>20</v>
      </c>
    </row>
    <row r="12" spans="1:6" ht="17.25" thickBot="1" x14ac:dyDescent="0.35">
      <c r="A12" s="6" t="s">
        <v>21</v>
      </c>
      <c r="B12" s="6" t="s">
        <v>67</v>
      </c>
      <c r="C12" s="6" t="s">
        <v>105</v>
      </c>
      <c r="D12" s="5">
        <f>VLOOKUP(C12,Overview!$G$2:$H$6,2,)</f>
        <v>1</v>
      </c>
      <c r="E12" s="6" t="s">
        <v>116</v>
      </c>
      <c r="F12" s="6">
        <v>20</v>
      </c>
    </row>
    <row r="13" spans="1:6" ht="17.25" thickBot="1" x14ac:dyDescent="0.35">
      <c r="A13" s="6" t="s">
        <v>22</v>
      </c>
      <c r="B13" s="6" t="s">
        <v>68</v>
      </c>
      <c r="C13" s="6" t="s">
        <v>105</v>
      </c>
      <c r="D13" s="5">
        <f>VLOOKUP(C13,Overview!$G$2:$H$6,2,)</f>
        <v>1</v>
      </c>
      <c r="E13" s="10"/>
      <c r="F13" s="6">
        <v>20</v>
      </c>
    </row>
    <row r="14" spans="1:6" ht="17.25" thickBot="1" x14ac:dyDescent="0.35">
      <c r="A14" s="6" t="s">
        <v>23</v>
      </c>
      <c r="B14" s="6" t="s">
        <v>69</v>
      </c>
      <c r="C14" s="6" t="s">
        <v>105</v>
      </c>
      <c r="D14" s="5">
        <f>VLOOKUP(C14,Overview!$G$2:$H$6,2,)</f>
        <v>1</v>
      </c>
      <c r="E14" s="10"/>
      <c r="F14" s="6">
        <v>20</v>
      </c>
    </row>
    <row r="15" spans="1:6" ht="17.25" thickBot="1" x14ac:dyDescent="0.35">
      <c r="A15" s="6" t="s">
        <v>24</v>
      </c>
      <c r="B15" s="6" t="s">
        <v>70</v>
      </c>
      <c r="C15" s="6" t="s">
        <v>105</v>
      </c>
      <c r="D15" s="5">
        <f>VLOOKUP(C15,Overview!$G$2:$H$6,2,)</f>
        <v>1</v>
      </c>
      <c r="E15" s="10"/>
      <c r="F15" s="6">
        <v>20</v>
      </c>
    </row>
    <row r="16" spans="1:6" ht="17.25" thickBot="1" x14ac:dyDescent="0.35">
      <c r="A16" s="6" t="s">
        <v>25</v>
      </c>
      <c r="B16" s="6" t="s">
        <v>71</v>
      </c>
      <c r="C16" s="6" t="s">
        <v>105</v>
      </c>
      <c r="D16" s="5">
        <f>VLOOKUP(C16,Overview!$G$2:$H$6,2,)</f>
        <v>1</v>
      </c>
      <c r="E16" s="10"/>
      <c r="F16" s="6">
        <v>20</v>
      </c>
    </row>
    <row r="17" spans="1:6" ht="17.25" thickBot="1" x14ac:dyDescent="0.35">
      <c r="A17" s="6" t="s">
        <v>26</v>
      </c>
      <c r="B17" s="6" t="s">
        <v>72</v>
      </c>
      <c r="C17" s="6" t="s">
        <v>105</v>
      </c>
      <c r="D17" s="5">
        <f>VLOOKUP(C17,Overview!$G$2:$H$6,2,)</f>
        <v>1</v>
      </c>
      <c r="E17" s="10"/>
      <c r="F17" s="6">
        <v>20</v>
      </c>
    </row>
    <row r="18" spans="1:6" ht="17.25" thickBot="1" x14ac:dyDescent="0.35">
      <c r="A18" s="6" t="s">
        <v>27</v>
      </c>
      <c r="B18" s="6" t="s">
        <v>73</v>
      </c>
      <c r="C18" s="6" t="s">
        <v>105</v>
      </c>
      <c r="D18" s="5">
        <f>VLOOKUP(C18,Overview!$G$2:$H$6,2,)</f>
        <v>1</v>
      </c>
      <c r="E18" s="10"/>
      <c r="F18" s="6">
        <v>20</v>
      </c>
    </row>
    <row r="19" spans="1:6" ht="17.25" thickBot="1" x14ac:dyDescent="0.35">
      <c r="A19" s="6" t="s">
        <v>28</v>
      </c>
      <c r="B19" s="6" t="s">
        <v>74</v>
      </c>
      <c r="C19" s="6" t="s">
        <v>105</v>
      </c>
      <c r="D19" s="5">
        <f>VLOOKUP(C19,Overview!$G$2:$H$6,2,)</f>
        <v>1</v>
      </c>
      <c r="E19" s="10"/>
      <c r="F19" s="6">
        <v>20</v>
      </c>
    </row>
    <row r="20" spans="1:6" ht="17.25" thickBot="1" x14ac:dyDescent="0.35">
      <c r="A20" s="6" t="s">
        <v>29</v>
      </c>
      <c r="B20" s="6" t="s">
        <v>75</v>
      </c>
      <c r="C20" s="6" t="s">
        <v>105</v>
      </c>
      <c r="D20" s="5">
        <f>VLOOKUP(C20,Overview!$G$2:$H$6,2,)</f>
        <v>1</v>
      </c>
      <c r="E20" s="10"/>
      <c r="F20" s="6">
        <v>20</v>
      </c>
    </row>
    <row r="21" spans="1:6" ht="17.25" thickBot="1" x14ac:dyDescent="0.35">
      <c r="A21" s="6" t="s">
        <v>30</v>
      </c>
      <c r="B21" s="6" t="s">
        <v>76</v>
      </c>
      <c r="C21" s="6" t="s">
        <v>107</v>
      </c>
      <c r="D21" s="5">
        <f>VLOOKUP(C21,Overview!$G$2:$H$6,2,)</f>
        <v>2</v>
      </c>
      <c r="E21" s="6" t="s">
        <v>117</v>
      </c>
      <c r="F21" s="6">
        <v>20</v>
      </c>
    </row>
    <row r="22" spans="1:6" ht="17.25" thickBot="1" x14ac:dyDescent="0.35">
      <c r="A22" s="6" t="s">
        <v>31</v>
      </c>
      <c r="B22" s="6" t="s">
        <v>77</v>
      </c>
      <c r="C22" s="6" t="s">
        <v>107</v>
      </c>
      <c r="D22" s="5">
        <f>VLOOKUP(C22,Overview!$G$2:$H$6,2,)</f>
        <v>2</v>
      </c>
      <c r="E22" s="10"/>
      <c r="F22" s="6">
        <v>20</v>
      </c>
    </row>
    <row r="23" spans="1:6" ht="17.25" thickBot="1" x14ac:dyDescent="0.35">
      <c r="A23" s="6" t="s">
        <v>32</v>
      </c>
      <c r="B23" s="6" t="s">
        <v>78</v>
      </c>
      <c r="C23" s="6" t="s">
        <v>107</v>
      </c>
      <c r="D23" s="5">
        <f>VLOOKUP(C23,Overview!$G$2:$H$6,2,)</f>
        <v>2</v>
      </c>
      <c r="E23" s="10"/>
      <c r="F23" s="6">
        <v>20</v>
      </c>
    </row>
    <row r="24" spans="1:6" ht="17.25" thickBot="1" x14ac:dyDescent="0.35">
      <c r="A24" s="6" t="s">
        <v>33</v>
      </c>
      <c r="B24" s="6" t="s">
        <v>79</v>
      </c>
      <c r="C24" s="6" t="s">
        <v>107</v>
      </c>
      <c r="D24" s="5">
        <f>VLOOKUP(C24,Overview!$G$2:$H$6,2,)</f>
        <v>2</v>
      </c>
      <c r="E24" s="10"/>
      <c r="F24" s="6">
        <v>20</v>
      </c>
    </row>
    <row r="25" spans="1:6" ht="17.25" thickBot="1" x14ac:dyDescent="0.35">
      <c r="A25" s="6" t="s">
        <v>34</v>
      </c>
      <c r="B25" s="6" t="s">
        <v>80</v>
      </c>
      <c r="C25" s="6" t="s">
        <v>107</v>
      </c>
      <c r="D25" s="5">
        <f>VLOOKUP(C25,Overview!$G$2:$H$6,2,)</f>
        <v>2</v>
      </c>
      <c r="E25" s="10"/>
      <c r="F25" s="6">
        <v>20</v>
      </c>
    </row>
    <row r="26" spans="1:6" ht="17.25" thickBot="1" x14ac:dyDescent="0.35">
      <c r="A26" s="6" t="s">
        <v>35</v>
      </c>
      <c r="B26" s="6" t="s">
        <v>81</v>
      </c>
      <c r="C26" s="6" t="s">
        <v>107</v>
      </c>
      <c r="D26" s="5">
        <f>VLOOKUP(C26,Overview!$G$2:$H$6,2,)</f>
        <v>2</v>
      </c>
      <c r="E26" s="10"/>
      <c r="F26" s="6">
        <v>20</v>
      </c>
    </row>
    <row r="27" spans="1:6" ht="17.25" thickBot="1" x14ac:dyDescent="0.35">
      <c r="A27" s="6" t="s">
        <v>36</v>
      </c>
      <c r="B27" s="6" t="s">
        <v>82</v>
      </c>
      <c r="C27" s="6" t="s">
        <v>107</v>
      </c>
      <c r="D27" s="5">
        <f>VLOOKUP(C27,Overview!$G$2:$H$6,2,)</f>
        <v>2</v>
      </c>
      <c r="E27" s="10"/>
      <c r="F27" s="6">
        <v>20</v>
      </c>
    </row>
    <row r="28" spans="1:6" ht="17.25" thickBot="1" x14ac:dyDescent="0.35">
      <c r="A28" s="6" t="s">
        <v>37</v>
      </c>
      <c r="B28" s="6" t="s">
        <v>83</v>
      </c>
      <c r="C28" s="6" t="s">
        <v>107</v>
      </c>
      <c r="D28" s="5">
        <f>VLOOKUP(C28,Overview!$G$2:$H$6,2,)</f>
        <v>2</v>
      </c>
      <c r="E28" s="10"/>
      <c r="F28" s="6">
        <v>20</v>
      </c>
    </row>
    <row r="29" spans="1:6" ht="17.25" thickBot="1" x14ac:dyDescent="0.35">
      <c r="A29" s="6" t="s">
        <v>38</v>
      </c>
      <c r="B29" s="6" t="s">
        <v>84</v>
      </c>
      <c r="C29" s="6" t="s">
        <v>107</v>
      </c>
      <c r="D29" s="5">
        <f>VLOOKUP(C29,Overview!$G$2:$H$6,2,)</f>
        <v>2</v>
      </c>
      <c r="E29" s="10"/>
      <c r="F29" s="6">
        <v>20</v>
      </c>
    </row>
    <row r="30" spans="1:6" ht="17.25" thickBot="1" x14ac:dyDescent="0.35">
      <c r="A30" s="6" t="s">
        <v>39</v>
      </c>
      <c r="B30" s="6" t="s">
        <v>85</v>
      </c>
      <c r="C30" s="6" t="s">
        <v>109</v>
      </c>
      <c r="D30" s="5">
        <f>VLOOKUP(C30,Overview!$G$2:$H$6,2,)</f>
        <v>3</v>
      </c>
      <c r="E30" s="6" t="s">
        <v>118</v>
      </c>
      <c r="F30" s="6">
        <v>20</v>
      </c>
    </row>
    <row r="31" spans="1:6" ht="17.25" thickBot="1" x14ac:dyDescent="0.35">
      <c r="A31" s="6" t="s">
        <v>40</v>
      </c>
      <c r="B31" s="6" t="s">
        <v>86</v>
      </c>
      <c r="C31" s="6" t="s">
        <v>109</v>
      </c>
      <c r="D31" s="5">
        <f>VLOOKUP(C31,Overview!$G$2:$H$6,2,)</f>
        <v>3</v>
      </c>
      <c r="E31" s="10"/>
      <c r="F31" s="6">
        <v>20</v>
      </c>
    </row>
    <row r="32" spans="1:6" ht="17.25" thickBot="1" x14ac:dyDescent="0.35">
      <c r="A32" s="6" t="s">
        <v>41</v>
      </c>
      <c r="B32" s="6" t="s">
        <v>87</v>
      </c>
      <c r="C32" s="6" t="s">
        <v>109</v>
      </c>
      <c r="D32" s="5">
        <f>VLOOKUP(C32,Overview!$G$2:$H$6,2,)</f>
        <v>3</v>
      </c>
      <c r="E32" s="10"/>
      <c r="F32" s="6">
        <v>20</v>
      </c>
    </row>
    <row r="33" spans="1:6" ht="17.25" thickBot="1" x14ac:dyDescent="0.35">
      <c r="A33" s="6" t="s">
        <v>42</v>
      </c>
      <c r="B33" s="6" t="s">
        <v>88</v>
      </c>
      <c r="C33" s="6" t="s">
        <v>109</v>
      </c>
      <c r="D33" s="5">
        <f>VLOOKUP(C33,Overview!$G$2:$H$6,2,)</f>
        <v>3</v>
      </c>
      <c r="E33" s="10"/>
      <c r="F33" s="6">
        <v>20</v>
      </c>
    </row>
    <row r="34" spans="1:6" ht="17.25" thickBot="1" x14ac:dyDescent="0.35">
      <c r="A34" s="6" t="s">
        <v>43</v>
      </c>
      <c r="B34" s="6" t="s">
        <v>89</v>
      </c>
      <c r="C34" s="6" t="s">
        <v>109</v>
      </c>
      <c r="D34" s="5">
        <f>VLOOKUP(C34,Overview!$G$2:$H$6,2,)</f>
        <v>3</v>
      </c>
      <c r="E34" s="10"/>
      <c r="F34" s="6">
        <v>20</v>
      </c>
    </row>
    <row r="35" spans="1:6" ht="17.25" thickBot="1" x14ac:dyDescent="0.35">
      <c r="A35" s="6" t="s">
        <v>44</v>
      </c>
      <c r="B35" s="6" t="s">
        <v>90</v>
      </c>
      <c r="C35" s="6" t="s">
        <v>109</v>
      </c>
      <c r="D35" s="5">
        <f>VLOOKUP(C35,Overview!$G$2:$H$6,2,)</f>
        <v>3</v>
      </c>
      <c r="E35" s="10"/>
      <c r="F35" s="6">
        <v>20</v>
      </c>
    </row>
    <row r="36" spans="1:6" ht="17.25" thickBot="1" x14ac:dyDescent="0.35">
      <c r="A36" s="6" t="s">
        <v>45</v>
      </c>
      <c r="B36" s="6" t="s">
        <v>91</v>
      </c>
      <c r="C36" s="6" t="s">
        <v>109</v>
      </c>
      <c r="D36" s="5">
        <f>VLOOKUP(C36,Overview!$G$2:$H$6,2,)</f>
        <v>3</v>
      </c>
      <c r="E36" s="10"/>
      <c r="F36" s="6">
        <v>20</v>
      </c>
    </row>
    <row r="37" spans="1:6" ht="17.25" thickBot="1" x14ac:dyDescent="0.35">
      <c r="A37" s="6" t="s">
        <v>46</v>
      </c>
      <c r="B37" s="6" t="s">
        <v>92</v>
      </c>
      <c r="C37" s="6" t="s">
        <v>109</v>
      </c>
      <c r="D37" s="5">
        <f>VLOOKUP(C37,Overview!$G$2:$H$6,2,)</f>
        <v>3</v>
      </c>
      <c r="E37" s="10"/>
      <c r="F37" s="6">
        <v>20</v>
      </c>
    </row>
    <row r="38" spans="1:6" ht="17.25" thickBot="1" x14ac:dyDescent="0.35">
      <c r="A38" s="6" t="s">
        <v>47</v>
      </c>
      <c r="B38" s="6" t="s">
        <v>93</v>
      </c>
      <c r="C38" s="6" t="s">
        <v>109</v>
      </c>
      <c r="D38" s="5">
        <f>VLOOKUP(C38,Overview!$G$2:$H$6,2,)</f>
        <v>3</v>
      </c>
      <c r="E38" s="10"/>
      <c r="F38" s="6">
        <v>20</v>
      </c>
    </row>
    <row r="39" spans="1:6" ht="17.25" thickBot="1" x14ac:dyDescent="0.35">
      <c r="A39" s="6" t="s">
        <v>48</v>
      </c>
      <c r="B39" s="6" t="s">
        <v>94</v>
      </c>
      <c r="C39" s="6" t="s">
        <v>111</v>
      </c>
      <c r="D39" s="5">
        <f>VLOOKUP(C39,Overview!$G$2:$H$6,2,)</f>
        <v>4</v>
      </c>
      <c r="E39" s="6" t="s">
        <v>119</v>
      </c>
      <c r="F39" s="6">
        <v>20</v>
      </c>
    </row>
    <row r="40" spans="1:6" ht="17.25" thickBot="1" x14ac:dyDescent="0.35">
      <c r="A40" s="6" t="s">
        <v>49</v>
      </c>
      <c r="B40" s="6" t="s">
        <v>95</v>
      </c>
      <c r="C40" s="6" t="s">
        <v>111</v>
      </c>
      <c r="D40" s="5">
        <f>VLOOKUP(C40,Overview!$G$2:$H$6,2,)</f>
        <v>4</v>
      </c>
      <c r="E40" s="10"/>
      <c r="F40" s="6">
        <v>20</v>
      </c>
    </row>
    <row r="41" spans="1:6" ht="17.25" thickBot="1" x14ac:dyDescent="0.35">
      <c r="A41" s="6" t="s">
        <v>50</v>
      </c>
      <c r="B41" s="6" t="s">
        <v>96</v>
      </c>
      <c r="C41" s="6" t="s">
        <v>111</v>
      </c>
      <c r="D41" s="5">
        <f>VLOOKUP(C41,Overview!$G$2:$H$6,2,)</f>
        <v>4</v>
      </c>
      <c r="E41" s="10"/>
      <c r="F41" s="6">
        <v>20</v>
      </c>
    </row>
    <row r="42" spans="1:6" ht="17.25" thickBot="1" x14ac:dyDescent="0.35">
      <c r="A42" s="6" t="s">
        <v>51</v>
      </c>
      <c r="B42" s="6" t="s">
        <v>97</v>
      </c>
      <c r="C42" s="6" t="s">
        <v>111</v>
      </c>
      <c r="D42" s="5">
        <f>VLOOKUP(C42,Overview!$G$2:$H$6,2,)</f>
        <v>4</v>
      </c>
      <c r="E42" s="10"/>
      <c r="F42" s="6">
        <v>20</v>
      </c>
    </row>
    <row r="43" spans="1:6" ht="17.25" thickBot="1" x14ac:dyDescent="0.35">
      <c r="A43" s="6" t="s">
        <v>52</v>
      </c>
      <c r="B43" s="6" t="s">
        <v>98</v>
      </c>
      <c r="C43" s="6" t="s">
        <v>111</v>
      </c>
      <c r="D43" s="5">
        <f>VLOOKUP(C43,Overview!$G$2:$H$6,2,)</f>
        <v>4</v>
      </c>
      <c r="E43" s="10"/>
      <c r="F43" s="6">
        <v>20</v>
      </c>
    </row>
    <row r="44" spans="1:6" ht="17.25" thickBot="1" x14ac:dyDescent="0.35">
      <c r="A44" s="6" t="s">
        <v>53</v>
      </c>
      <c r="B44" s="6" t="s">
        <v>99</v>
      </c>
      <c r="C44" s="6" t="s">
        <v>111</v>
      </c>
      <c r="D44" s="5">
        <f>VLOOKUP(C44,Overview!$G$2:$H$6,2,)</f>
        <v>4</v>
      </c>
      <c r="E44" s="10"/>
      <c r="F44" s="6">
        <v>20</v>
      </c>
    </row>
    <row r="45" spans="1:6" ht="17.25" thickBot="1" x14ac:dyDescent="0.35">
      <c r="A45" s="6" t="s">
        <v>54</v>
      </c>
      <c r="B45" s="6" t="s">
        <v>100</v>
      </c>
      <c r="C45" s="6" t="s">
        <v>111</v>
      </c>
      <c r="D45" s="5">
        <f>VLOOKUP(C45,Overview!$G$2:$H$6,2,)</f>
        <v>4</v>
      </c>
      <c r="E45" s="10"/>
      <c r="F45" s="6">
        <v>20</v>
      </c>
    </row>
    <row r="46" spans="1:6" ht="17.25" thickBot="1" x14ac:dyDescent="0.35">
      <c r="A46" s="6" t="s">
        <v>55</v>
      </c>
      <c r="B46" s="6" t="s">
        <v>101</v>
      </c>
      <c r="C46" s="6" t="s">
        <v>111</v>
      </c>
      <c r="D46" s="5">
        <f>VLOOKUP(C46,Overview!$G$2:$H$6,2,)</f>
        <v>4</v>
      </c>
      <c r="E46" s="10"/>
      <c r="F46" s="6">
        <v>20</v>
      </c>
    </row>
    <row r="47" spans="1:6" ht="17.25" thickBot="1" x14ac:dyDescent="0.35">
      <c r="A47" s="6" t="s">
        <v>56</v>
      </c>
      <c r="B47" s="6" t="s">
        <v>102</v>
      </c>
      <c r="C47" s="6" t="s">
        <v>111</v>
      </c>
      <c r="D47" s="5">
        <f>VLOOKUP(C47,Overview!$G$2:$H$6,2,)</f>
        <v>4</v>
      </c>
      <c r="E47" s="10"/>
      <c r="F47" s="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Overview</vt:lpstr>
      <vt:lpstr>s_item</vt:lpstr>
      <vt:lpstr>s_treasure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2026-09-16T10:05:34Z</dcterms:modified>
</cp:coreProperties>
</file>