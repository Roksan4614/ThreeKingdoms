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4971F4E1-006C-4B8B-A926-B0354DA9B9EE}" xr6:coauthVersionLast="47" xr6:coauthVersionMax="47" xr10:uidLastSave="{00000000-0000-0000-0000-000000000000}"/>
  <bookViews>
    <workbookView xWindow="-28920" yWindow="1395" windowWidth="29040" windowHeight="16440" activeTab="2" xr2:uid="{00000000-000D-0000-FFFF-FFFF00000000}"/>
  </bookViews>
  <sheets>
    <sheet name="Overview" sheetId="1" r:id="rId1"/>
    <sheet name="ItemData" sheetId="3" r:id="rId2"/>
    <sheet name="Treasur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7" i="4" l="1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B3" i="3"/>
  <c r="A4" i="3"/>
  <c r="B4" i="3" s="1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A5" i="3" l="1"/>
  <c r="A6" i="3" l="1"/>
  <c r="B5" i="3"/>
  <c r="A7" i="3" l="1"/>
  <c r="B6" i="3"/>
  <c r="A8" i="3" l="1"/>
  <c r="B7" i="3"/>
  <c r="A9" i="3" l="1"/>
  <c r="B8" i="3"/>
  <c r="A10" i="3" l="1"/>
  <c r="B9" i="3"/>
  <c r="A11" i="3" l="1"/>
  <c r="B10" i="3"/>
  <c r="A12" i="3" l="1"/>
  <c r="B11" i="3"/>
  <c r="A13" i="3" l="1"/>
  <c r="B12" i="3"/>
  <c r="A14" i="3" l="1"/>
  <c r="B13" i="3"/>
  <c r="A15" i="3" l="1"/>
  <c r="B14" i="3"/>
  <c r="A16" i="3" l="1"/>
  <c r="B15" i="3"/>
  <c r="A17" i="3" l="1"/>
  <c r="B16" i="3"/>
  <c r="A18" i="3" l="1"/>
  <c r="B18" i="3" s="1"/>
  <c r="B17" i="3"/>
</calcChain>
</file>

<file path=xl/sharedStrings.xml><?xml version="1.0" encoding="utf-8"?>
<sst xmlns="http://schemas.openxmlformats.org/spreadsheetml/2006/main" count="203" uniqueCount="148">
  <si>
    <t>string</t>
    <phoneticPr fontId="1" type="noConversion"/>
  </si>
  <si>
    <t>key</t>
    <phoneticPr fontId="1" type="noConversion"/>
  </si>
  <si>
    <t>ItemType</t>
    <phoneticPr fontId="1" type="noConversion"/>
  </si>
  <si>
    <t>gold</t>
  </si>
  <si>
    <t>rice</t>
  </si>
  <si>
    <t>category</t>
    <phoneticPr fontId="1" type="noConversion"/>
  </si>
  <si>
    <t>currency</t>
  </si>
  <si>
    <t>currency</t>
    <phoneticPr fontId="1" type="noConversion"/>
  </si>
  <si>
    <t>soul_stone</t>
  </si>
  <si>
    <t>soul_stone</t>
    <phoneticPr fontId="1" type="noConversion"/>
  </si>
  <si>
    <t>bundle</t>
  </si>
  <si>
    <t>bundle</t>
    <phoneticPr fontId="1" type="noConversion"/>
  </si>
  <si>
    <t>random_box</t>
  </si>
  <si>
    <t>random_box</t>
    <phoneticPr fontId="1" type="noConversion"/>
  </si>
  <si>
    <t>item</t>
  </si>
  <si>
    <t>item</t>
    <phoneticPr fontId="1" type="noConversion"/>
  </si>
  <si>
    <t>piece</t>
  </si>
  <si>
    <t>piece</t>
    <phoneticPr fontId="1" type="noConversion"/>
  </si>
  <si>
    <t>#category</t>
    <phoneticPr fontId="1" type="noConversion"/>
  </si>
  <si>
    <t>time_stone</t>
  </si>
  <si>
    <t>bundle_normal</t>
  </si>
  <si>
    <t>bundle_elite</t>
  </si>
  <si>
    <t>bundle_general</t>
  </si>
  <si>
    <t>bundle_hero</t>
  </si>
  <si>
    <t>bundle_legend</t>
  </si>
  <si>
    <t>public_soul_stone</t>
  </si>
  <si>
    <t>class_soul_stone</t>
  </si>
  <si>
    <t>dedicated_soul_stone</t>
  </si>
  <si>
    <t>class_soul_stone_random_box</t>
  </si>
  <si>
    <t>dedicated_soul_stone_random_box</t>
  </si>
  <si>
    <t>treasure</t>
  </si>
  <si>
    <t>treasure_piece</t>
  </si>
  <si>
    <t>treasure_piece_random_box</t>
  </si>
  <si>
    <t>#key</t>
    <phoneticPr fontId="1" type="noConversion"/>
  </si>
  <si>
    <t>key</t>
  </si>
  <si>
    <t>stat</t>
  </si>
  <si>
    <t>effect</t>
  </si>
  <si>
    <t>pieces_required</t>
  </si>
  <si>
    <t>enum castle_stat_type</t>
  </si>
  <si>
    <t>int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</si>
  <si>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</si>
  <si>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</si>
  <si>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</si>
  <si>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</si>
  <si>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</si>
  <si>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</si>
  <si>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</si>
  <si>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</si>
  <si>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</si>
  <si>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</si>
  <si>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ganjiang_moye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</si>
  <si>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</si>
  <si>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</si>
  <si>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</si>
  <si>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</si>
  <si>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</si>
  <si>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</si>
  <si>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</si>
  <si>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</si>
  <si>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</si>
  <si>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</si>
  <si>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</si>
  <si>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</si>
  <si>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</si>
  <si>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</si>
  <si>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</si>
  <si>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</si>
  <si>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</si>
  <si>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</si>
  <si>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</si>
  <si>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</si>
  <si>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</si>
  <si>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</si>
  <si>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</si>
  <si>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</si>
  <si>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</si>
  <si>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</si>
  <si>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</si>
  <si>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</si>
  <si>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</si>
  <si>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</si>
  <si>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</si>
  <si>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</si>
  <si>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</si>
  <si>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</si>
  <si>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#name</t>
    <phoneticPr fontId="1" type="noConversion"/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</si>
  <si>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</si>
  <si>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</si>
  <si>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</si>
  <si>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</si>
  <si>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</si>
  <si>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</si>
  <si>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</si>
  <si>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</si>
  <si>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</si>
  <si>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</si>
  <si>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</si>
  <si>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</si>
  <si>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</si>
  <si>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</si>
  <si>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</si>
  <si>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</si>
  <si>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</si>
  <si>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</si>
  <si>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</si>
  <si>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</si>
  <si>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</si>
  <si>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</si>
  <si>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</si>
  <si>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</si>
  <si>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</si>
  <si>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</si>
  <si>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</si>
  <si>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</si>
  <si>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</si>
  <si>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</si>
  <si>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</si>
  <si>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</si>
  <si>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</si>
  <si>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</si>
  <si>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</si>
  <si>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</si>
  <si>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</si>
  <si>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</si>
  <si>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</si>
  <si>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</si>
  <si>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</si>
  <si>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</si>
  <si>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</si>
  <si>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</si>
  <si>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</si>
  <si>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leadership</t>
  </si>
  <si>
    <t>leadership</t>
    <phoneticPr fontId="1" type="noConversion"/>
  </si>
  <si>
    <t>strength</t>
  </si>
  <si>
    <t>strength</t>
    <phoneticPr fontId="1" type="noConversion"/>
  </si>
  <si>
    <t>intellect</t>
  </si>
  <si>
    <t>intellect</t>
    <phoneticPr fontId="1" type="noConversion"/>
  </si>
  <si>
    <t>politics</t>
  </si>
  <si>
    <t>politics</t>
    <phoneticPr fontId="1" type="noConversion"/>
  </si>
  <si>
    <t>charisma</t>
  </si>
  <si>
    <t>charisma</t>
    <phoneticPr fontId="1" type="noConversion"/>
  </si>
  <si>
    <t>#stat</t>
    <phoneticPr fontId="1" type="noConversion"/>
  </si>
  <si>
    <t>int</t>
    <phoneticPr fontId="1" type="noConversion"/>
  </si>
  <si>
    <t>{"boss_damage":1,"attack_speed":1}</t>
  </si>
  <si>
    <t>{"attack_speed":1,"boss_damage":1}</t>
  </si>
  <si>
    <t>{"cooldown_rate":1,"move_speed":1,"life_steal":1}</t>
  </si>
  <si>
    <t>{"attack_speed":1,"critical_rate":1,"critical_damage":1}</t>
  </si>
  <si>
    <t>{"life_steal":1,"move_speed":1}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</si>
</sst>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rgb="FFCFE2F3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1" xfId="0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4" fillId="3" borderId="6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7"/>
  <sheetViews>
    <sheetView workbookViewId="0">
      <selection activeCell="G7" sqref="G7"/>
    </sheetView>
  </sheetViews>
  <sheetFormatPr defaultRowHeight="16.5" x14ac:dyDescent="0.3"/>
  <cols>
    <col min="1" max="1" width="12.25" bestFit="1" customWidth="1"/>
    <col min="5" max="5" width="26.875" bestFit="1" customWidth="1"/>
  </cols>
  <sheetData>
    <row r="1" spans="1:8" x14ac:dyDescent="0.3">
      <c r="A1" t="s">
        <v>2</v>
      </c>
    </row>
    <row r="2" spans="1:8" x14ac:dyDescent="0.3">
      <c r="A2" t="s">
        <v>7</v>
      </c>
      <c r="B2">
        <v>1</v>
      </c>
      <c r="D2">
        <v>1</v>
      </c>
      <c r="E2" s="4" t="s">
        <v>4</v>
      </c>
      <c r="G2" t="s">
        <v>132</v>
      </c>
      <c r="H2">
        <v>0</v>
      </c>
    </row>
    <row r="3" spans="1:8" x14ac:dyDescent="0.3">
      <c r="A3" t="s">
        <v>9</v>
      </c>
      <c r="B3">
        <v>2</v>
      </c>
      <c r="D3">
        <v>2</v>
      </c>
      <c r="E3" s="4" t="s">
        <v>3</v>
      </c>
      <c r="G3" t="s">
        <v>134</v>
      </c>
      <c r="H3">
        <v>1</v>
      </c>
    </row>
    <row r="4" spans="1:8" x14ac:dyDescent="0.3">
      <c r="A4" t="s">
        <v>11</v>
      </c>
      <c r="B4">
        <v>3</v>
      </c>
      <c r="D4">
        <v>3</v>
      </c>
      <c r="E4" s="4" t="s">
        <v>19</v>
      </c>
      <c r="G4" t="s">
        <v>136</v>
      </c>
      <c r="H4">
        <v>2</v>
      </c>
    </row>
    <row r="5" spans="1:8" x14ac:dyDescent="0.3">
      <c r="A5" t="s">
        <v>13</v>
      </c>
      <c r="B5">
        <v>4</v>
      </c>
      <c r="D5">
        <v>4</v>
      </c>
      <c r="E5" s="4" t="s">
        <v>20</v>
      </c>
      <c r="G5" t="s">
        <v>138</v>
      </c>
      <c r="H5">
        <v>3</v>
      </c>
    </row>
    <row r="6" spans="1:8" x14ac:dyDescent="0.3">
      <c r="A6" t="s">
        <v>15</v>
      </c>
      <c r="B6">
        <v>5</v>
      </c>
      <c r="D6">
        <v>5</v>
      </c>
      <c r="E6" s="4" t="s">
        <v>21</v>
      </c>
      <c r="G6" t="s">
        <v>140</v>
      </c>
      <c r="H6">
        <v>4</v>
      </c>
    </row>
    <row r="7" spans="1:8" x14ac:dyDescent="0.3">
      <c r="A7" t="s">
        <v>17</v>
      </c>
      <c r="B7">
        <v>6</v>
      </c>
      <c r="D7">
        <v>6</v>
      </c>
      <c r="E7" s="4" t="s">
        <v>22</v>
      </c>
    </row>
    <row r="8" spans="1:8" x14ac:dyDescent="0.3">
      <c r="D8">
        <v>7</v>
      </c>
      <c r="E8" s="4" t="s">
        <v>23</v>
      </c>
    </row>
    <row r="9" spans="1:8" x14ac:dyDescent="0.3">
      <c r="D9">
        <v>8</v>
      </c>
      <c r="E9" s="4" t="s">
        <v>24</v>
      </c>
    </row>
    <row r="10" spans="1:8" x14ac:dyDescent="0.3">
      <c r="D10">
        <v>9</v>
      </c>
      <c r="E10" s="4" t="s">
        <v>25</v>
      </c>
    </row>
    <row r="11" spans="1:8" x14ac:dyDescent="0.2">
      <c r="D11">
        <v>10</v>
      </c>
      <c r="E11" s="5" t="s">
        <v>26</v>
      </c>
    </row>
    <row r="12" spans="1:8" x14ac:dyDescent="0.2">
      <c r="D12">
        <v>11</v>
      </c>
      <c r="E12" s="5" t="s">
        <v>27</v>
      </c>
    </row>
    <row r="13" spans="1:8" x14ac:dyDescent="0.3">
      <c r="D13">
        <v>12</v>
      </c>
      <c r="E13" s="4" t="s">
        <v>28</v>
      </c>
    </row>
    <row r="14" spans="1:8" x14ac:dyDescent="0.3">
      <c r="D14">
        <v>13</v>
      </c>
      <c r="E14" s="4" t="s">
        <v>29</v>
      </c>
    </row>
    <row r="15" spans="1:8" x14ac:dyDescent="0.3">
      <c r="D15">
        <v>14</v>
      </c>
      <c r="E15" s="4" t="s">
        <v>30</v>
      </c>
    </row>
    <row r="16" spans="1:8" x14ac:dyDescent="0.3">
      <c r="D16">
        <v>15</v>
      </c>
      <c r="E16" s="4" t="s">
        <v>31</v>
      </c>
    </row>
    <row r="17" spans="4:5" x14ac:dyDescent="0.3">
      <c r="D17">
        <v>16</v>
      </c>
      <c r="E17" s="4" t="s">
        <v>32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8"/>
  <sheetViews>
    <sheetView workbookViewId="0">
      <pane xSplit="1" ySplit="2" topLeftCell="B3" activePane="bottomRight" state="frozen"/>
      <selection pane="topRight" activeCell="C1" sqref="C1"/>
      <selection pane="bottomLeft" activeCell="A3" sqref="A3"/>
      <selection pane="bottomRight" activeCell="B1" sqref="B1:D2"/>
    </sheetView>
  </sheetViews>
  <sheetFormatPr defaultRowHeight="16.5" x14ac:dyDescent="0.3"/>
  <cols>
    <col min="1" max="1" width="6.875" bestFit="1" customWidth="1"/>
    <col min="2" max="2" width="28.875" bestFit="1" customWidth="1"/>
    <col min="3" max="3" width="10.5" bestFit="1" customWidth="1"/>
    <col min="4" max="4" width="9.375" bestFit="1" customWidth="1"/>
  </cols>
  <sheetData>
    <row r="1" spans="1:4" x14ac:dyDescent="0.3">
      <c r="A1" s="1" t="s">
        <v>1</v>
      </c>
      <c r="B1" s="1" t="s">
        <v>33</v>
      </c>
      <c r="C1" s="1" t="s">
        <v>18</v>
      </c>
      <c r="D1" s="1" t="s">
        <v>5</v>
      </c>
    </row>
    <row r="2" spans="1:4" x14ac:dyDescent="0.3">
      <c r="A2" s="2" t="s">
        <v>0</v>
      </c>
      <c r="B2" s="2" t="s">
        <v>0</v>
      </c>
      <c r="C2" s="1"/>
      <c r="D2" s="1" t="s">
        <v>0</v>
      </c>
    </row>
    <row r="3" spans="1:4" x14ac:dyDescent="0.3">
      <c r="A3" s="3">
        <v>1</v>
      </c>
      <c r="B3" s="4" t="str">
        <f>VLOOKUP(A3,Overview!D2:E34,2,FALSE)</f>
        <v>rice</v>
      </c>
      <c r="C3" s="4" t="s">
        <v>6</v>
      </c>
      <c r="D3" s="3">
        <f>VLOOKUP(C3,Overview!$A$2:$B$7,2,FALSE)</f>
        <v>1</v>
      </c>
    </row>
    <row r="4" spans="1:4" x14ac:dyDescent="0.3">
      <c r="A4" s="3">
        <f>A3+1</f>
        <v>2</v>
      </c>
      <c r="B4" s="4" t="str">
        <f>VLOOKUP(A4,Overview!D3:E35,2,FALSE)</f>
        <v>gold</v>
      </c>
      <c r="C4" s="4" t="s">
        <v>6</v>
      </c>
      <c r="D4" s="3">
        <f>VLOOKUP(C4,Overview!$A$2:$B$7,2,FALSE)</f>
        <v>1</v>
      </c>
    </row>
    <row r="5" spans="1:4" x14ac:dyDescent="0.3">
      <c r="A5" s="3">
        <f t="shared" ref="A5:A18" si="0">A4+1</f>
        <v>3</v>
      </c>
      <c r="B5" s="4" t="str">
        <f>VLOOKUP(A5,Overview!D4:E36,2,FALSE)</f>
        <v>time_stone</v>
      </c>
      <c r="C5" s="4" t="s">
        <v>6</v>
      </c>
      <c r="D5" s="3">
        <f>VLOOKUP(C5,Overview!$A$2:$B$7,2,FALSE)</f>
        <v>1</v>
      </c>
    </row>
    <row r="6" spans="1:4" x14ac:dyDescent="0.3">
      <c r="A6" s="3">
        <f t="shared" si="0"/>
        <v>4</v>
      </c>
      <c r="B6" s="4" t="str">
        <f>VLOOKUP(A6,Overview!D5:E37,2,FALSE)</f>
        <v>bundle_normal</v>
      </c>
      <c r="C6" s="4" t="s">
        <v>10</v>
      </c>
      <c r="D6" s="3">
        <f>VLOOKUP(C6,Overview!$A$2:$B$7,2,FALSE)</f>
        <v>3</v>
      </c>
    </row>
    <row r="7" spans="1:4" x14ac:dyDescent="0.3">
      <c r="A7" s="3">
        <f t="shared" si="0"/>
        <v>5</v>
      </c>
      <c r="B7" s="4" t="str">
        <f>VLOOKUP(A7,Overview!D6:E38,2,FALSE)</f>
        <v>bundle_elite</v>
      </c>
      <c r="C7" s="4" t="s">
        <v>10</v>
      </c>
      <c r="D7" s="3">
        <f>VLOOKUP(C7,Overview!$A$2:$B$7,2,FALSE)</f>
        <v>3</v>
      </c>
    </row>
    <row r="8" spans="1:4" x14ac:dyDescent="0.3">
      <c r="A8" s="3">
        <f t="shared" si="0"/>
        <v>6</v>
      </c>
      <c r="B8" s="4" t="str">
        <f>VLOOKUP(A8,Overview!D7:E39,2,FALSE)</f>
        <v>bundle_general</v>
      </c>
      <c r="C8" s="4" t="s">
        <v>10</v>
      </c>
      <c r="D8" s="3">
        <f>VLOOKUP(C8,Overview!$A$2:$B$7,2,FALSE)</f>
        <v>3</v>
      </c>
    </row>
    <row r="9" spans="1:4" x14ac:dyDescent="0.3">
      <c r="A9" s="3">
        <f t="shared" si="0"/>
        <v>7</v>
      </c>
      <c r="B9" s="4" t="str">
        <f>VLOOKUP(A9,Overview!D8:E40,2,FALSE)</f>
        <v>bundle_hero</v>
      </c>
      <c r="C9" s="4" t="s">
        <v>10</v>
      </c>
      <c r="D9" s="3">
        <f>VLOOKUP(C9,Overview!$A$2:$B$7,2,FALSE)</f>
        <v>3</v>
      </c>
    </row>
    <row r="10" spans="1:4" x14ac:dyDescent="0.3">
      <c r="A10" s="3">
        <f t="shared" si="0"/>
        <v>8</v>
      </c>
      <c r="B10" s="4" t="str">
        <f>VLOOKUP(A10,Overview!D9:E41,2,FALSE)</f>
        <v>bundle_legend</v>
      </c>
      <c r="C10" s="4" t="s">
        <v>10</v>
      </c>
      <c r="D10" s="3">
        <f>VLOOKUP(C10,Overview!$A$2:$B$7,2,FALSE)</f>
        <v>3</v>
      </c>
    </row>
    <row r="11" spans="1:4" x14ac:dyDescent="0.3">
      <c r="A11" s="3">
        <f t="shared" si="0"/>
        <v>9</v>
      </c>
      <c r="B11" s="4" t="str">
        <f>VLOOKUP(A11,Overview!D10:E42,2,FALSE)</f>
        <v>public_soul_stone</v>
      </c>
      <c r="C11" s="4" t="s">
        <v>8</v>
      </c>
      <c r="D11" s="3">
        <f>VLOOKUP(C11,Overview!$A$2:$B$7,2,FALSE)</f>
        <v>2</v>
      </c>
    </row>
    <row r="12" spans="1:4" x14ac:dyDescent="0.3">
      <c r="A12" s="3">
        <f t="shared" si="0"/>
        <v>10</v>
      </c>
      <c r="B12" s="4" t="str">
        <f>VLOOKUP(A12,Overview!D11:E43,2,FALSE)</f>
        <v>class_soul_stone</v>
      </c>
      <c r="C12" s="4" t="s">
        <v>8</v>
      </c>
      <c r="D12" s="3">
        <f>VLOOKUP(C12,Overview!$A$2:$B$7,2,FALSE)</f>
        <v>2</v>
      </c>
    </row>
    <row r="13" spans="1:4" x14ac:dyDescent="0.3">
      <c r="A13" s="3">
        <f t="shared" si="0"/>
        <v>11</v>
      </c>
      <c r="B13" s="4" t="str">
        <f>VLOOKUP(A13,Overview!D12:E44,2,FALSE)</f>
        <v>dedicated_soul_stone</v>
      </c>
      <c r="C13" s="4" t="s">
        <v>8</v>
      </c>
      <c r="D13" s="3">
        <f>VLOOKUP(C13,Overview!$A$2:$B$7,2,FALSE)</f>
        <v>2</v>
      </c>
    </row>
    <row r="14" spans="1:4" x14ac:dyDescent="0.3">
      <c r="A14" s="3">
        <f t="shared" si="0"/>
        <v>12</v>
      </c>
      <c r="B14" s="4" t="str">
        <f>VLOOKUP(A14,Overview!D13:E45,2,FALSE)</f>
        <v>class_soul_stone_random_box</v>
      </c>
      <c r="C14" s="4" t="s">
        <v>12</v>
      </c>
      <c r="D14" s="3">
        <f>VLOOKUP(C14,Overview!$A$2:$B$7,2,FALSE)</f>
        <v>4</v>
      </c>
    </row>
    <row r="15" spans="1:4" x14ac:dyDescent="0.3">
      <c r="A15" s="3">
        <f t="shared" si="0"/>
        <v>13</v>
      </c>
      <c r="B15" s="4" t="str">
        <f>VLOOKUP(A15,Overview!D14:E46,2,FALSE)</f>
        <v>dedicated_soul_stone_random_box</v>
      </c>
      <c r="C15" s="4" t="s">
        <v>12</v>
      </c>
      <c r="D15" s="3">
        <f>VLOOKUP(C15,Overview!$A$2:$B$7,2,FALSE)</f>
        <v>4</v>
      </c>
    </row>
    <row r="16" spans="1:4" x14ac:dyDescent="0.3">
      <c r="A16" s="3">
        <f t="shared" si="0"/>
        <v>14</v>
      </c>
      <c r="B16" s="4" t="str">
        <f>VLOOKUP(A16,Overview!D15:E47,2,FALSE)</f>
        <v>treasure</v>
      </c>
      <c r="C16" s="4" t="s">
        <v>14</v>
      </c>
      <c r="D16" s="3">
        <f>VLOOKUP(C16,Overview!$A$2:$B$7,2,FALSE)</f>
        <v>5</v>
      </c>
    </row>
    <row r="17" spans="1:4" x14ac:dyDescent="0.3">
      <c r="A17" s="3">
        <f t="shared" si="0"/>
        <v>15</v>
      </c>
      <c r="B17" s="4" t="str">
        <f>VLOOKUP(A17,Overview!D16:E48,2,FALSE)</f>
        <v>treasure_piece</v>
      </c>
      <c r="C17" s="4" t="s">
        <v>16</v>
      </c>
      <c r="D17" s="3">
        <f>VLOOKUP(C17,Overview!$A$2:$B$7,2,FALSE)</f>
        <v>6</v>
      </c>
    </row>
    <row r="18" spans="1:4" x14ac:dyDescent="0.3">
      <c r="A18" s="3">
        <f t="shared" si="0"/>
        <v>16</v>
      </c>
      <c r="B18" s="4" t="str">
        <f>VLOOKUP(A18,Overview!D17:E49,2,FALSE)</f>
        <v>treasure_piece_random_box</v>
      </c>
      <c r="C18" s="4" t="s">
        <v>12</v>
      </c>
      <c r="D18" s="3">
        <f>VLOOKUP(C18,Overview!$A$2:$B$7,2,FALSE)</f>
        <v>4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3990B-E7A0-4426-92BC-394FC3934644}">
  <dimension ref="A1:F47"/>
  <sheetViews>
    <sheetView tabSelected="1" workbookViewId="0">
      <selection activeCell="E3" sqref="E3"/>
    </sheetView>
  </sheetViews>
  <sheetFormatPr defaultRowHeight="16.5" x14ac:dyDescent="0.3"/>
  <cols>
    <col min="1" max="1" width="29.25" bestFit="1" customWidth="1"/>
    <col min="2" max="2" width="11.875" bestFit="1" customWidth="1"/>
    <col min="3" max="3" width="20" bestFit="1" customWidth="1"/>
    <col min="4" max="4" width="4.25" bestFit="1" customWidth="1"/>
    <col min="5" max="5" width="44.25" bestFit="1" customWidth="1"/>
    <col min="6" max="6" width="14.75" bestFit="1" customWidth="1"/>
  </cols>
  <sheetData>
    <row r="1" spans="1:6" ht="17.25" thickBot="1" x14ac:dyDescent="0.35">
      <c r="A1" s="6" t="s">
        <v>34</v>
      </c>
      <c r="B1" s="12" t="s">
        <v>85</v>
      </c>
      <c r="C1" s="7" t="s">
        <v>141</v>
      </c>
      <c r="D1" s="7" t="s">
        <v>35</v>
      </c>
      <c r="E1" s="7" t="s">
        <v>36</v>
      </c>
      <c r="F1" s="7" t="s">
        <v>37</v>
      </c>
    </row>
    <row r="2" spans="1:6" ht="17.25" thickBot="1" x14ac:dyDescent="0.35">
      <c r="A2" s="8" t="s">
        <v>0</v>
      </c>
      <c r="B2" s="13" t="s">
        <v>0</v>
      </c>
      <c r="C2" s="9" t="s">
        <v>38</v>
      </c>
      <c r="D2" s="9" t="s">
        <v>142</v>
      </c>
      <c r="E2" s="9" t="s">
        <v>0</v>
      </c>
      <c r="F2" s="9" t="s">
        <v>39</v>
      </c>
    </row>
    <row r="3" spans="1:6" ht="17.25" thickBot="1" x14ac:dyDescent="0.35">
      <c r="A3" s="10" t="s">
        <v>40</v>
      </c>
      <c r="B3" s="10" t="s">
        <v>86</v>
      </c>
      <c r="C3" s="10" t="s">
        <v>131</v>
      </c>
      <c r="D3" s="10">
        <f>VLOOKUP(C3,Overview!$G$2:$H$6,2,)</f>
        <v>0</v>
      </c>
      <c r="E3" s="14"/>
      <c r="F3" s="10">
        <v>20</v>
      </c>
    </row>
    <row r="4" spans="1:6" ht="17.25" thickBot="1" x14ac:dyDescent="0.35">
      <c r="A4" s="11" t="s">
        <v>41</v>
      </c>
      <c r="B4" s="11" t="s">
        <v>87</v>
      </c>
      <c r="C4" s="11" t="s">
        <v>131</v>
      </c>
      <c r="D4" s="10">
        <f>VLOOKUP(C4,Overview!$G$2:$H$6,2,)</f>
        <v>0</v>
      </c>
      <c r="E4" s="15"/>
      <c r="F4" s="11">
        <v>20</v>
      </c>
    </row>
    <row r="5" spans="1:6" ht="17.25" thickBot="1" x14ac:dyDescent="0.35">
      <c r="A5" s="11" t="s">
        <v>42</v>
      </c>
      <c r="B5" s="11" t="s">
        <v>88</v>
      </c>
      <c r="C5" s="11" t="s">
        <v>131</v>
      </c>
      <c r="D5" s="10">
        <f>VLOOKUP(C5,Overview!$G$2:$H$6,2,)</f>
        <v>0</v>
      </c>
      <c r="E5" s="15"/>
      <c r="F5" s="11">
        <v>20</v>
      </c>
    </row>
    <row r="6" spans="1:6" ht="17.25" thickBot="1" x14ac:dyDescent="0.35">
      <c r="A6" s="11" t="s">
        <v>43</v>
      </c>
      <c r="B6" s="11" t="s">
        <v>89</v>
      </c>
      <c r="C6" s="11" t="s">
        <v>131</v>
      </c>
      <c r="D6" s="10">
        <f>VLOOKUP(C6,Overview!$G$2:$H$6,2,)</f>
        <v>0</v>
      </c>
      <c r="E6" s="15"/>
      <c r="F6" s="11">
        <v>20</v>
      </c>
    </row>
    <row r="7" spans="1:6" ht="17.25" thickBot="1" x14ac:dyDescent="0.35">
      <c r="A7" s="11" t="s">
        <v>44</v>
      </c>
      <c r="B7" s="11" t="s">
        <v>90</v>
      </c>
      <c r="C7" s="11" t="s">
        <v>131</v>
      </c>
      <c r="D7" s="10">
        <f>VLOOKUP(C7,Overview!$G$2:$H$6,2,)</f>
        <v>0</v>
      </c>
      <c r="E7" s="15"/>
      <c r="F7" s="11">
        <v>20</v>
      </c>
    </row>
    <row r="8" spans="1:6" ht="17.25" thickBot="1" x14ac:dyDescent="0.35">
      <c r="A8" s="11" t="s">
        <v>45</v>
      </c>
      <c r="B8" s="11" t="s">
        <v>91</v>
      </c>
      <c r="C8" s="11" t="s">
        <v>131</v>
      </c>
      <c r="D8" s="10">
        <f>VLOOKUP(C8,Overview!$G$2:$H$6,2,)</f>
        <v>0</v>
      </c>
      <c r="E8" s="15"/>
      <c r="F8" s="11">
        <v>20</v>
      </c>
    </row>
    <row r="9" spans="1:6" ht="17.25" thickBot="1" x14ac:dyDescent="0.35">
      <c r="A9" s="11" t="s">
        <v>46</v>
      </c>
      <c r="B9" s="11" t="s">
        <v>92</v>
      </c>
      <c r="C9" s="11" t="s">
        <v>131</v>
      </c>
      <c r="D9" s="10">
        <f>VLOOKUP(C9,Overview!$G$2:$H$6,2,)</f>
        <v>0</v>
      </c>
      <c r="E9" s="15"/>
      <c r="F9" s="11">
        <v>20</v>
      </c>
    </row>
    <row r="10" spans="1:6" ht="17.25" thickBot="1" x14ac:dyDescent="0.35">
      <c r="A10" s="11" t="s">
        <v>47</v>
      </c>
      <c r="B10" s="11" t="s">
        <v>93</v>
      </c>
      <c r="C10" s="11" t="s">
        <v>131</v>
      </c>
      <c r="D10" s="10">
        <f>VLOOKUP(C10,Overview!$G$2:$H$6,2,)</f>
        <v>0</v>
      </c>
      <c r="E10" s="15"/>
      <c r="F10" s="11">
        <v>20</v>
      </c>
    </row>
    <row r="11" spans="1:6" ht="17.25" thickBot="1" x14ac:dyDescent="0.35">
      <c r="A11" s="11" t="s">
        <v>48</v>
      </c>
      <c r="B11" s="11" t="s">
        <v>94</v>
      </c>
      <c r="C11" s="11" t="s">
        <v>133</v>
      </c>
      <c r="D11" s="10">
        <f>VLOOKUP(C11,Overview!$G$2:$H$6,2,)</f>
        <v>1</v>
      </c>
      <c r="E11" s="11" t="s">
        <v>143</v>
      </c>
      <c r="F11" s="11">
        <v>20</v>
      </c>
    </row>
    <row r="12" spans="1:6" ht="17.25" thickBot="1" x14ac:dyDescent="0.35">
      <c r="A12" s="11" t="s">
        <v>49</v>
      </c>
      <c r="B12" s="11" t="s">
        <v>95</v>
      </c>
      <c r="C12" s="11" t="s">
        <v>133</v>
      </c>
      <c r="D12" s="10">
        <f>VLOOKUP(C12,Overview!$G$2:$H$6,2,)</f>
        <v>1</v>
      </c>
      <c r="E12" s="11" t="s">
        <v>144</v>
      </c>
      <c r="F12" s="11">
        <v>20</v>
      </c>
    </row>
    <row r="13" spans="1:6" ht="17.25" thickBot="1" x14ac:dyDescent="0.35">
      <c r="A13" s="11" t="s">
        <v>50</v>
      </c>
      <c r="B13" s="11" t="s">
        <v>96</v>
      </c>
      <c r="C13" s="11" t="s">
        <v>133</v>
      </c>
      <c r="D13" s="10">
        <f>VLOOKUP(C13,Overview!$G$2:$H$6,2,)</f>
        <v>1</v>
      </c>
      <c r="E13" s="15"/>
      <c r="F13" s="11">
        <v>20</v>
      </c>
    </row>
    <row r="14" spans="1:6" ht="17.25" thickBot="1" x14ac:dyDescent="0.35">
      <c r="A14" s="11" t="s">
        <v>51</v>
      </c>
      <c r="B14" s="11" t="s">
        <v>97</v>
      </c>
      <c r="C14" s="11" t="s">
        <v>133</v>
      </c>
      <c r="D14" s="10">
        <f>VLOOKUP(C14,Overview!$G$2:$H$6,2,)</f>
        <v>1</v>
      </c>
      <c r="E14" s="15"/>
      <c r="F14" s="11">
        <v>20</v>
      </c>
    </row>
    <row r="15" spans="1:6" ht="17.25" thickBot="1" x14ac:dyDescent="0.35">
      <c r="A15" s="11" t="s">
        <v>52</v>
      </c>
      <c r="B15" s="11" t="s">
        <v>98</v>
      </c>
      <c r="C15" s="11" t="s">
        <v>133</v>
      </c>
      <c r="D15" s="10">
        <f>VLOOKUP(C15,Overview!$G$2:$H$6,2,)</f>
        <v>1</v>
      </c>
      <c r="E15" s="15"/>
      <c r="F15" s="11">
        <v>20</v>
      </c>
    </row>
    <row r="16" spans="1:6" ht="17.25" thickBot="1" x14ac:dyDescent="0.35">
      <c r="A16" s="11" t="s">
        <v>53</v>
      </c>
      <c r="B16" s="11" t="s">
        <v>99</v>
      </c>
      <c r="C16" s="11" t="s">
        <v>133</v>
      </c>
      <c r="D16" s="10">
        <f>VLOOKUP(C16,Overview!$G$2:$H$6,2,)</f>
        <v>1</v>
      </c>
      <c r="E16" s="15"/>
      <c r="F16" s="11">
        <v>20</v>
      </c>
    </row>
    <row r="17" spans="1:6" ht="17.25" thickBot="1" x14ac:dyDescent="0.35">
      <c r="A17" s="11" t="s">
        <v>54</v>
      </c>
      <c r="B17" s="11" t="s">
        <v>100</v>
      </c>
      <c r="C17" s="11" t="s">
        <v>133</v>
      </c>
      <c r="D17" s="10">
        <f>VLOOKUP(C17,Overview!$G$2:$H$6,2,)</f>
        <v>1</v>
      </c>
      <c r="E17" s="15"/>
      <c r="F17" s="11">
        <v>20</v>
      </c>
    </row>
    <row r="18" spans="1:6" ht="17.25" thickBot="1" x14ac:dyDescent="0.35">
      <c r="A18" s="11" t="s">
        <v>55</v>
      </c>
      <c r="B18" s="11" t="s">
        <v>101</v>
      </c>
      <c r="C18" s="11" t="s">
        <v>133</v>
      </c>
      <c r="D18" s="10">
        <f>VLOOKUP(C18,Overview!$G$2:$H$6,2,)</f>
        <v>1</v>
      </c>
      <c r="E18" s="15"/>
      <c r="F18" s="11">
        <v>20</v>
      </c>
    </row>
    <row r="19" spans="1:6" ht="17.25" thickBot="1" x14ac:dyDescent="0.35">
      <c r="A19" s="11" t="s">
        <v>56</v>
      </c>
      <c r="B19" s="11" t="s">
        <v>102</v>
      </c>
      <c r="C19" s="11" t="s">
        <v>133</v>
      </c>
      <c r="D19" s="10">
        <f>VLOOKUP(C19,Overview!$G$2:$H$6,2,)</f>
        <v>1</v>
      </c>
      <c r="E19" s="15"/>
      <c r="F19" s="11">
        <v>20</v>
      </c>
    </row>
    <row r="20" spans="1:6" ht="17.25" thickBot="1" x14ac:dyDescent="0.35">
      <c r="A20" s="11" t="s">
        <v>57</v>
      </c>
      <c r="B20" s="11" t="s">
        <v>103</v>
      </c>
      <c r="C20" s="11" t="s">
        <v>133</v>
      </c>
      <c r="D20" s="10">
        <f>VLOOKUP(C20,Overview!$G$2:$H$6,2,)</f>
        <v>1</v>
      </c>
      <c r="E20" s="15"/>
      <c r="F20" s="11">
        <v>20</v>
      </c>
    </row>
    <row r="21" spans="1:6" ht="17.25" thickBot="1" x14ac:dyDescent="0.35">
      <c r="A21" s="11" t="s">
        <v>58</v>
      </c>
      <c r="B21" s="11" t="s">
        <v>104</v>
      </c>
      <c r="C21" s="11" t="s">
        <v>135</v>
      </c>
      <c r="D21" s="10">
        <f>VLOOKUP(C21,Overview!$G$2:$H$6,2,)</f>
        <v>2</v>
      </c>
      <c r="E21" s="11" t="s">
        <v>145</v>
      </c>
      <c r="F21" s="11">
        <v>20</v>
      </c>
    </row>
    <row r="22" spans="1:6" ht="17.25" thickBot="1" x14ac:dyDescent="0.35">
      <c r="A22" s="11" t="s">
        <v>59</v>
      </c>
      <c r="B22" s="11" t="s">
        <v>105</v>
      </c>
      <c r="C22" s="11" t="s">
        <v>135</v>
      </c>
      <c r="D22" s="10">
        <f>VLOOKUP(C22,Overview!$G$2:$H$6,2,)</f>
        <v>2</v>
      </c>
      <c r="E22" s="15"/>
      <c r="F22" s="11">
        <v>20</v>
      </c>
    </row>
    <row r="23" spans="1:6" ht="17.25" thickBot="1" x14ac:dyDescent="0.35">
      <c r="A23" s="11" t="s">
        <v>60</v>
      </c>
      <c r="B23" s="11" t="s">
        <v>106</v>
      </c>
      <c r="C23" s="11" t="s">
        <v>135</v>
      </c>
      <c r="D23" s="10">
        <f>VLOOKUP(C23,Overview!$G$2:$H$6,2,)</f>
        <v>2</v>
      </c>
      <c r="E23" s="15"/>
      <c r="F23" s="11">
        <v>20</v>
      </c>
    </row>
    <row r="24" spans="1:6" ht="17.25" thickBot="1" x14ac:dyDescent="0.35">
      <c r="A24" s="11" t="s">
        <v>61</v>
      </c>
      <c r="B24" s="11" t="s">
        <v>107</v>
      </c>
      <c r="C24" s="11" t="s">
        <v>135</v>
      </c>
      <c r="D24" s="10">
        <f>VLOOKUP(C24,Overview!$G$2:$H$6,2,)</f>
        <v>2</v>
      </c>
      <c r="E24" s="15"/>
      <c r="F24" s="11">
        <v>20</v>
      </c>
    </row>
    <row r="25" spans="1:6" ht="17.25" thickBot="1" x14ac:dyDescent="0.35">
      <c r="A25" s="11" t="s">
        <v>62</v>
      </c>
      <c r="B25" s="11" t="s">
        <v>108</v>
      </c>
      <c r="C25" s="11" t="s">
        <v>135</v>
      </c>
      <c r="D25" s="10">
        <f>VLOOKUP(C25,Overview!$G$2:$H$6,2,)</f>
        <v>2</v>
      </c>
      <c r="E25" s="15"/>
      <c r="F25" s="11">
        <v>20</v>
      </c>
    </row>
    <row r="26" spans="1:6" ht="17.25" thickBot="1" x14ac:dyDescent="0.35">
      <c r="A26" s="11" t="s">
        <v>63</v>
      </c>
      <c r="B26" s="11" t="s">
        <v>109</v>
      </c>
      <c r="C26" s="11" t="s">
        <v>135</v>
      </c>
      <c r="D26" s="10">
        <f>VLOOKUP(C26,Overview!$G$2:$H$6,2,)</f>
        <v>2</v>
      </c>
      <c r="E26" s="15"/>
      <c r="F26" s="11">
        <v>20</v>
      </c>
    </row>
    <row r="27" spans="1:6" ht="17.25" thickBot="1" x14ac:dyDescent="0.35">
      <c r="A27" s="11" t="s">
        <v>64</v>
      </c>
      <c r="B27" s="11" t="s">
        <v>110</v>
      </c>
      <c r="C27" s="11" t="s">
        <v>135</v>
      </c>
      <c r="D27" s="10">
        <f>VLOOKUP(C27,Overview!$G$2:$H$6,2,)</f>
        <v>2</v>
      </c>
      <c r="E27" s="15"/>
      <c r="F27" s="11">
        <v>20</v>
      </c>
    </row>
    <row r="28" spans="1:6" ht="17.25" thickBot="1" x14ac:dyDescent="0.35">
      <c r="A28" s="11" t="s">
        <v>65</v>
      </c>
      <c r="B28" s="11" t="s">
        <v>111</v>
      </c>
      <c r="C28" s="11" t="s">
        <v>135</v>
      </c>
      <c r="D28" s="10">
        <f>VLOOKUP(C28,Overview!$G$2:$H$6,2,)</f>
        <v>2</v>
      </c>
      <c r="E28" s="15"/>
      <c r="F28" s="11">
        <v>20</v>
      </c>
    </row>
    <row r="29" spans="1:6" ht="17.25" thickBot="1" x14ac:dyDescent="0.35">
      <c r="A29" s="11" t="s">
        <v>66</v>
      </c>
      <c r="B29" s="11" t="s">
        <v>112</v>
      </c>
      <c r="C29" s="11" t="s">
        <v>135</v>
      </c>
      <c r="D29" s="10">
        <f>VLOOKUP(C29,Overview!$G$2:$H$6,2,)</f>
        <v>2</v>
      </c>
      <c r="E29" s="15"/>
      <c r="F29" s="11">
        <v>20</v>
      </c>
    </row>
    <row r="30" spans="1:6" ht="17.25" thickBot="1" x14ac:dyDescent="0.35">
      <c r="A30" s="11" t="s">
        <v>67</v>
      </c>
      <c r="B30" s="11" t="s">
        <v>113</v>
      </c>
      <c r="C30" s="11" t="s">
        <v>137</v>
      </c>
      <c r="D30" s="10">
        <f>VLOOKUP(C30,Overview!$G$2:$H$6,2,)</f>
        <v>3</v>
      </c>
      <c r="E30" s="11" t="s">
        <v>146</v>
      </c>
      <c r="F30" s="11">
        <v>20</v>
      </c>
    </row>
    <row r="31" spans="1:6" ht="17.25" thickBot="1" x14ac:dyDescent="0.35">
      <c r="A31" s="11" t="s">
        <v>68</v>
      </c>
      <c r="B31" s="11" t="s">
        <v>114</v>
      </c>
      <c r="C31" s="11" t="s">
        <v>137</v>
      </c>
      <c r="D31" s="10">
        <f>VLOOKUP(C31,Overview!$G$2:$H$6,2,)</f>
        <v>3</v>
      </c>
      <c r="E31" s="15"/>
      <c r="F31" s="11">
        <v>20</v>
      </c>
    </row>
    <row r="32" spans="1:6" ht="17.25" thickBot="1" x14ac:dyDescent="0.35">
      <c r="A32" s="11" t="s">
        <v>69</v>
      </c>
      <c r="B32" s="11" t="s">
        <v>115</v>
      </c>
      <c r="C32" s="11" t="s">
        <v>137</v>
      </c>
      <c r="D32" s="10">
        <f>VLOOKUP(C32,Overview!$G$2:$H$6,2,)</f>
        <v>3</v>
      </c>
      <c r="E32" s="15"/>
      <c r="F32" s="11">
        <v>20</v>
      </c>
    </row>
    <row r="33" spans="1:6" ht="17.25" thickBot="1" x14ac:dyDescent="0.35">
      <c r="A33" s="11" t="s">
        <v>70</v>
      </c>
      <c r="B33" s="11" t="s">
        <v>116</v>
      </c>
      <c r="C33" s="11" t="s">
        <v>137</v>
      </c>
      <c r="D33" s="10">
        <f>VLOOKUP(C33,Overview!$G$2:$H$6,2,)</f>
        <v>3</v>
      </c>
      <c r="E33" s="15"/>
      <c r="F33" s="11">
        <v>20</v>
      </c>
    </row>
    <row r="34" spans="1:6" ht="17.25" thickBot="1" x14ac:dyDescent="0.35">
      <c r="A34" s="11" t="s">
        <v>71</v>
      </c>
      <c r="B34" s="11" t="s">
        <v>117</v>
      </c>
      <c r="C34" s="11" t="s">
        <v>137</v>
      </c>
      <c r="D34" s="10">
        <f>VLOOKUP(C34,Overview!$G$2:$H$6,2,)</f>
        <v>3</v>
      </c>
      <c r="E34" s="15"/>
      <c r="F34" s="11">
        <v>20</v>
      </c>
    </row>
    <row r="35" spans="1:6" ht="17.25" thickBot="1" x14ac:dyDescent="0.35">
      <c r="A35" s="11" t="s">
        <v>72</v>
      </c>
      <c r="B35" s="11" t="s">
        <v>118</v>
      </c>
      <c r="C35" s="11" t="s">
        <v>137</v>
      </c>
      <c r="D35" s="10">
        <f>VLOOKUP(C35,Overview!$G$2:$H$6,2,)</f>
        <v>3</v>
      </c>
      <c r="E35" s="15"/>
      <c r="F35" s="11">
        <v>20</v>
      </c>
    </row>
    <row r="36" spans="1:6" ht="17.25" thickBot="1" x14ac:dyDescent="0.35">
      <c r="A36" s="11" t="s">
        <v>73</v>
      </c>
      <c r="B36" s="11" t="s">
        <v>119</v>
      </c>
      <c r="C36" s="11" t="s">
        <v>137</v>
      </c>
      <c r="D36" s="10">
        <f>VLOOKUP(C36,Overview!$G$2:$H$6,2,)</f>
        <v>3</v>
      </c>
      <c r="E36" s="15"/>
      <c r="F36" s="11">
        <v>20</v>
      </c>
    </row>
    <row r="37" spans="1:6" ht="17.25" thickBot="1" x14ac:dyDescent="0.35">
      <c r="A37" s="11" t="s">
        <v>74</v>
      </c>
      <c r="B37" s="11" t="s">
        <v>120</v>
      </c>
      <c r="C37" s="11" t="s">
        <v>137</v>
      </c>
      <c r="D37" s="10">
        <f>VLOOKUP(C37,Overview!$G$2:$H$6,2,)</f>
        <v>3</v>
      </c>
      <c r="E37" s="15"/>
      <c r="F37" s="11">
        <v>20</v>
      </c>
    </row>
    <row r="38" spans="1:6" ht="17.25" thickBot="1" x14ac:dyDescent="0.35">
      <c r="A38" s="11" t="s">
        <v>75</v>
      </c>
      <c r="B38" s="11" t="s">
        <v>121</v>
      </c>
      <c r="C38" s="11" t="s">
        <v>137</v>
      </c>
      <c r="D38" s="10">
        <f>VLOOKUP(C38,Overview!$G$2:$H$6,2,)</f>
        <v>3</v>
      </c>
      <c r="E38" s="15"/>
      <c r="F38" s="11">
        <v>20</v>
      </c>
    </row>
    <row r="39" spans="1:6" ht="17.25" thickBot="1" x14ac:dyDescent="0.35">
      <c r="A39" s="11" t="s">
        <v>76</v>
      </c>
      <c r="B39" s="11" t="s">
        <v>122</v>
      </c>
      <c r="C39" s="11" t="s">
        <v>139</v>
      </c>
      <c r="D39" s="10">
        <f>VLOOKUP(C39,Overview!$G$2:$H$6,2,)</f>
        <v>4</v>
      </c>
      <c r="E39" s="11" t="s">
        <v>147</v>
      </c>
      <c r="F39" s="11">
        <v>20</v>
      </c>
    </row>
    <row r="40" spans="1:6" ht="17.25" thickBot="1" x14ac:dyDescent="0.35">
      <c r="A40" s="11" t="s">
        <v>77</v>
      </c>
      <c r="B40" s="11" t="s">
        <v>123</v>
      </c>
      <c r="C40" s="11" t="s">
        <v>139</v>
      </c>
      <c r="D40" s="10">
        <f>VLOOKUP(C40,Overview!$G$2:$H$6,2,)</f>
        <v>4</v>
      </c>
      <c r="E40" s="15"/>
      <c r="F40" s="11">
        <v>20</v>
      </c>
    </row>
    <row r="41" spans="1:6" ht="17.25" thickBot="1" x14ac:dyDescent="0.35">
      <c r="A41" s="11" t="s">
        <v>78</v>
      </c>
      <c r="B41" s="11" t="s">
        <v>124</v>
      </c>
      <c r="C41" s="11" t="s">
        <v>139</v>
      </c>
      <c r="D41" s="10">
        <f>VLOOKUP(C41,Overview!$G$2:$H$6,2,)</f>
        <v>4</v>
      </c>
      <c r="E41" s="15"/>
      <c r="F41" s="11">
        <v>20</v>
      </c>
    </row>
    <row r="42" spans="1:6" ht="17.25" thickBot="1" x14ac:dyDescent="0.35">
      <c r="A42" s="11" t="s">
        <v>79</v>
      </c>
      <c r="B42" s="11" t="s">
        <v>125</v>
      </c>
      <c r="C42" s="11" t="s">
        <v>139</v>
      </c>
      <c r="D42" s="10">
        <f>VLOOKUP(C42,Overview!$G$2:$H$6,2,)</f>
        <v>4</v>
      </c>
      <c r="E42" s="15"/>
      <c r="F42" s="11">
        <v>20</v>
      </c>
    </row>
    <row r="43" spans="1:6" ht="17.25" thickBot="1" x14ac:dyDescent="0.35">
      <c r="A43" s="11" t="s">
        <v>80</v>
      </c>
      <c r="B43" s="11" t="s">
        <v>126</v>
      </c>
      <c r="C43" s="11" t="s">
        <v>139</v>
      </c>
      <c r="D43" s="10">
        <f>VLOOKUP(C43,Overview!$G$2:$H$6,2,)</f>
        <v>4</v>
      </c>
      <c r="E43" s="15"/>
      <c r="F43" s="11">
        <v>20</v>
      </c>
    </row>
    <row r="44" spans="1:6" ht="17.25" thickBot="1" x14ac:dyDescent="0.35">
      <c r="A44" s="11" t="s">
        <v>81</v>
      </c>
      <c r="B44" s="11" t="s">
        <v>127</v>
      </c>
      <c r="C44" s="11" t="s">
        <v>139</v>
      </c>
      <c r="D44" s="10">
        <f>VLOOKUP(C44,Overview!$G$2:$H$6,2,)</f>
        <v>4</v>
      </c>
      <c r="E44" s="15"/>
      <c r="F44" s="11">
        <v>20</v>
      </c>
    </row>
    <row r="45" spans="1:6" ht="17.25" thickBot="1" x14ac:dyDescent="0.35">
      <c r="A45" s="11" t="s">
        <v>82</v>
      </c>
      <c r="B45" s="11" t="s">
        <v>128</v>
      </c>
      <c r="C45" s="11" t="s">
        <v>139</v>
      </c>
      <c r="D45" s="10">
        <f>VLOOKUP(C45,Overview!$G$2:$H$6,2,)</f>
        <v>4</v>
      </c>
      <c r="E45" s="15"/>
      <c r="F45" s="11">
        <v>20</v>
      </c>
    </row>
    <row r="46" spans="1:6" ht="17.25" thickBot="1" x14ac:dyDescent="0.35">
      <c r="A46" s="11" t="s">
        <v>83</v>
      </c>
      <c r="B46" s="11" t="s">
        <v>129</v>
      </c>
      <c r="C46" s="11" t="s">
        <v>139</v>
      </c>
      <c r="D46" s="10">
        <f>VLOOKUP(C46,Overview!$G$2:$H$6,2,)</f>
        <v>4</v>
      </c>
      <c r="E46" s="15"/>
      <c r="F46" s="11">
        <v>20</v>
      </c>
    </row>
    <row r="47" spans="1:6" ht="17.25" thickBot="1" x14ac:dyDescent="0.35">
      <c r="A47" s="11" t="s">
        <v>84</v>
      </c>
      <c r="B47" s="11" t="s">
        <v>130</v>
      </c>
      <c r="C47" s="11" t="s">
        <v>139</v>
      </c>
      <c r="D47" s="10">
        <f>VLOOKUP(C47,Overview!$G$2:$H$6,2,)</f>
        <v>4</v>
      </c>
      <c r="E47" s="15"/>
      <c r="F47" s="11">
        <v>20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Overview</vt:lpstr>
      <vt:lpstr>ItemData</vt:lpstr>
      <vt:lpstr>Treasure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2026-06-11T06:32:09Z</dcterms:modified>
</cp:coreProperties>
</file>