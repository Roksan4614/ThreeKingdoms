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7442EFD4-BF02-48AB-829B-C1E64E76F66B}" xr6:coauthVersionLast="47" xr6:coauthVersionMax="47" xr10:uidLastSave="{00000000-0000-0000-0000-000000000000}"/>
  <bookViews>
    <workbookView xWindow="-28920" yWindow="1395" windowWidth="29040" windowHeight="16440" xr2:uid="{00000000-000D-0000-FFFF-FFFF00000000}"/>
  </bookViews>
  <sheets>
    <sheet name="Overview" sheetId="1" r:id="rId1"/>
    <sheet name="ItemData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3" l="1"/>
  <c r="A4" i="3"/>
  <c r="B4" i="3" s="1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A5" i="3" l="1"/>
  <c r="A6" i="3" l="1"/>
  <c r="B5" i="3"/>
  <c r="A7" i="3" l="1"/>
  <c r="B6" i="3"/>
  <c r="A8" i="3" l="1"/>
  <c r="B7" i="3"/>
  <c r="A9" i="3" l="1"/>
  <c r="B8" i="3"/>
  <c r="A10" i="3" l="1"/>
  <c r="B9" i="3"/>
  <c r="A11" i="3" l="1"/>
  <c r="B10" i="3"/>
  <c r="A12" i="3" l="1"/>
  <c r="B11" i="3"/>
  <c r="A13" i="3" l="1"/>
  <c r="B12" i="3"/>
  <c r="A14" i="3" l="1"/>
  <c r="B13" i="3"/>
  <c r="A15" i="3" l="1"/>
  <c r="B14" i="3"/>
  <c r="A16" i="3" l="1"/>
  <c r="B15" i="3"/>
  <c r="A17" i="3" l="1"/>
  <c r="B16" i="3"/>
  <c r="A18" i="3" l="1"/>
  <c r="B18" i="3" s="1"/>
  <c r="B17" i="3"/>
</calcChain>
</file>

<file path=xl/sharedStrings.xml><?xml version="1.0" encoding="utf-8"?>
<sst xmlns="http://schemas.openxmlformats.org/spreadsheetml/2006/main" count="46" uniqueCount="34">
  <si>
    <t>string</t>
    <phoneticPr fontId="1" type="noConversion"/>
  </si>
  <si>
    <t>key</t>
    <phoneticPr fontId="1" type="noConversion"/>
  </si>
  <si>
    <t>ItemType</t>
    <phoneticPr fontId="1" type="noConversion"/>
  </si>
  <si>
    <t>gold</t>
  </si>
  <si>
    <t>rice</t>
  </si>
  <si>
    <t>category</t>
    <phoneticPr fontId="1" type="noConversion"/>
  </si>
  <si>
    <t>currency</t>
  </si>
  <si>
    <t>currency</t>
    <phoneticPr fontId="1" type="noConversion"/>
  </si>
  <si>
    <t>soul_stone</t>
  </si>
  <si>
    <t>soul_stone</t>
    <phoneticPr fontId="1" type="noConversion"/>
  </si>
  <si>
    <t>bundle</t>
  </si>
  <si>
    <t>bundle</t>
    <phoneticPr fontId="1" type="noConversion"/>
  </si>
  <si>
    <t>random_box</t>
  </si>
  <si>
    <t>random_box</t>
    <phoneticPr fontId="1" type="noConversion"/>
  </si>
  <si>
    <t>item</t>
  </si>
  <si>
    <t>item</t>
    <phoneticPr fontId="1" type="noConversion"/>
  </si>
  <si>
    <t>piece</t>
  </si>
  <si>
    <t>piece</t>
    <phoneticPr fontId="1" type="noConversion"/>
  </si>
  <si>
    <t>#category</t>
    <phoneticPr fontId="1" type="noConversion"/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</si>
  <si>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</si>
  <si>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</si>
  <si>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</si>
  <si>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</si>
  <si>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</si>
  <si>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</si>
  <si>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</si>
  <si>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</si>
  <si>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</si>
  <si>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</si>
  <si>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</si>
  <si>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</si>
  <si>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</si>
  <si>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</si>
  <si>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#key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</si>
</sst>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1" xfId="0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tabSelected="1" workbookViewId="0">
      <selection activeCell="E22" sqref="E22"/>
    </sheetView>
  </sheetViews>
  <sheetFormatPr defaultRowHeight="16.5" x14ac:dyDescent="0.3"/>
  <cols>
    <col min="1" max="1" width="12.25" bestFit="1" customWidth="1"/>
    <col min="5" max="5" width="26.875" bestFit="1" customWidth="1"/>
  </cols>
  <sheetData>
    <row r="1" spans="1:5" x14ac:dyDescent="0.3">
      <c r="A1" t="s">
        <v>2</v>
      </c>
    </row>
    <row r="2" spans="1:5" x14ac:dyDescent="0.3">
      <c r="A2" t="s">
        <v>7</v>
      </c>
      <c r="B2">
        <v>1</v>
      </c>
      <c r="D2">
        <v>1</v>
      </c>
      <c r="E2" s="4" t="s">
        <v>4</v>
      </c>
    </row>
    <row r="3" spans="1:5" x14ac:dyDescent="0.3">
      <c r="A3" t="s">
        <v>9</v>
      </c>
      <c r="B3">
        <v>2</v>
      </c>
      <c r="D3">
        <v>2</v>
      </c>
      <c r="E3" s="4" t="s">
        <v>3</v>
      </c>
    </row>
    <row r="4" spans="1:5" x14ac:dyDescent="0.3">
      <c r="A4" t="s">
        <v>11</v>
      </c>
      <c r="B4">
        <v>3</v>
      </c>
      <c r="D4">
        <v>3</v>
      </c>
      <c r="E4" s="4" t="s">
        <v>19</v>
      </c>
    </row>
    <row r="5" spans="1:5" x14ac:dyDescent="0.3">
      <c r="A5" t="s">
        <v>13</v>
      </c>
      <c r="B5">
        <v>4</v>
      </c>
      <c r="D5">
        <v>4</v>
      </c>
      <c r="E5" s="4" t="s">
        <v>20</v>
      </c>
    </row>
    <row r="6" spans="1:5" x14ac:dyDescent="0.3">
      <c r="A6" t="s">
        <v>15</v>
      </c>
      <c r="B6">
        <v>5</v>
      </c>
      <c r="D6">
        <v>5</v>
      </c>
      <c r="E6" s="4" t="s">
        <v>21</v>
      </c>
    </row>
    <row r="7" spans="1:5" x14ac:dyDescent="0.3">
      <c r="A7" t="s">
        <v>17</v>
      </c>
      <c r="B7">
        <v>6</v>
      </c>
      <c r="D7">
        <v>6</v>
      </c>
      <c r="E7" s="4" t="s">
        <v>22</v>
      </c>
    </row>
    <row r="8" spans="1:5" x14ac:dyDescent="0.3">
      <c r="D8">
        <v>7</v>
      </c>
      <c r="E8" s="4" t="s">
        <v>23</v>
      </c>
    </row>
    <row r="9" spans="1:5" x14ac:dyDescent="0.3">
      <c r="D9">
        <v>8</v>
      </c>
      <c r="E9" s="4" t="s">
        <v>24</v>
      </c>
    </row>
    <row r="10" spans="1:5" x14ac:dyDescent="0.3">
      <c r="D10">
        <v>9</v>
      </c>
      <c r="E10" s="4" t="s">
        <v>25</v>
      </c>
    </row>
    <row r="11" spans="1:5" x14ac:dyDescent="0.2">
      <c r="D11">
        <v>10</v>
      </c>
      <c r="E11" s="5" t="s">
        <v>26</v>
      </c>
    </row>
    <row r="12" spans="1:5" x14ac:dyDescent="0.2">
      <c r="D12">
        <v>11</v>
      </c>
      <c r="E12" s="5" t="s">
        <v>27</v>
      </c>
    </row>
    <row r="13" spans="1:5" x14ac:dyDescent="0.3">
      <c r="D13">
        <v>12</v>
      </c>
      <c r="E13" s="4" t="s">
        <v>28</v>
      </c>
    </row>
    <row r="14" spans="1:5" x14ac:dyDescent="0.3">
      <c r="D14">
        <v>13</v>
      </c>
      <c r="E14" s="4" t="s">
        <v>29</v>
      </c>
    </row>
    <row r="15" spans="1:5" x14ac:dyDescent="0.3">
      <c r="D15">
        <v>14</v>
      </c>
      <c r="E15" s="4" t="s">
        <v>30</v>
      </c>
    </row>
    <row r="16" spans="1:5" x14ac:dyDescent="0.3">
      <c r="D16">
        <v>15</v>
      </c>
      <c r="E16" s="4" t="s">
        <v>31</v>
      </c>
    </row>
    <row r="17" spans="4:5" x14ac:dyDescent="0.3">
      <c r="D17">
        <v>16</v>
      </c>
      <c r="E17" s="4" t="s">
        <v>32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"/>
  <sheetViews>
    <sheetView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A18" sqref="A18"/>
    </sheetView>
  </sheetViews>
  <sheetFormatPr defaultRowHeight="16.5" x14ac:dyDescent="0.3"/>
  <cols>
    <col min="1" max="1" width="6.875" bestFit="1" customWidth="1"/>
    <col min="2" max="2" width="28.875" bestFit="1" customWidth="1"/>
    <col min="3" max="3" width="10.5" bestFit="1" customWidth="1"/>
    <col min="4" max="4" width="9.375" bestFit="1" customWidth="1"/>
  </cols>
  <sheetData>
    <row r="1" spans="1:4" x14ac:dyDescent="0.3">
      <c r="A1" s="1" t="s">
        <v>1</v>
      </c>
      <c r="B1" s="1" t="s">
        <v>33</v>
      </c>
      <c r="C1" s="1" t="s">
        <v>18</v>
      </c>
      <c r="D1" s="1" t="s">
        <v>5</v>
      </c>
    </row>
    <row r="2" spans="1:4" x14ac:dyDescent="0.3">
      <c r="A2" s="2" t="s">
        <v>0</v>
      </c>
      <c r="B2" s="2" t="s">
        <v>0</v>
      </c>
      <c r="C2" s="1"/>
      <c r="D2" s="1" t="s">
        <v>0</v>
      </c>
    </row>
    <row r="3" spans="1:4" x14ac:dyDescent="0.3">
      <c r="A3" s="3">
        <v>1</v>
      </c>
      <c r="B3" s="4" t="str">
        <f>VLOOKUP(A3,Overview!D2:E34,2,FALSE)</f>
        <v>rice</v>
      </c>
      <c r="C3" s="4" t="s">
        <v>6</v>
      </c>
      <c r="D3" s="3">
        <f>VLOOKUP(C3,Overview!$A$2:$B$7,2,FALSE)</f>
        <v>1</v>
      </c>
    </row>
    <row r="4" spans="1:4" x14ac:dyDescent="0.3">
      <c r="A4" s="3">
        <f>A3+1</f>
        <v>2</v>
      </c>
      <c r="B4" s="4" t="str">
        <f>VLOOKUP(A4,Overview!D3:E35,2,FALSE)</f>
        <v>gold</v>
      </c>
      <c r="C4" s="4" t="s">
        <v>6</v>
      </c>
      <c r="D4" s="3">
        <f>VLOOKUP(C4,Overview!$A$2:$B$7,2,FALSE)</f>
        <v>1</v>
      </c>
    </row>
    <row r="5" spans="1:4" x14ac:dyDescent="0.3">
      <c r="A5" s="3">
        <f t="shared" ref="A5:A18" si="0">A4+1</f>
        <v>3</v>
      </c>
      <c r="B5" s="4" t="str">
        <f>VLOOKUP(A5,Overview!D4:E36,2,FALSE)</f>
        <v>time_stone</v>
      </c>
      <c r="C5" s="4" t="s">
        <v>6</v>
      </c>
      <c r="D5" s="3">
        <f>VLOOKUP(C5,Overview!$A$2:$B$7,2,FALSE)</f>
        <v>1</v>
      </c>
    </row>
    <row r="6" spans="1:4" x14ac:dyDescent="0.3">
      <c r="A6" s="3">
        <f t="shared" si="0"/>
        <v>4</v>
      </c>
      <c r="B6" s="4" t="str">
        <f>VLOOKUP(A6,Overview!D5:E37,2,FALSE)</f>
        <v>bundle_normal</v>
      </c>
      <c r="C6" s="4" t="s">
        <v>10</v>
      </c>
      <c r="D6" s="3">
        <f>VLOOKUP(C6,Overview!$A$2:$B$7,2,FALSE)</f>
        <v>3</v>
      </c>
    </row>
    <row r="7" spans="1:4" x14ac:dyDescent="0.3">
      <c r="A7" s="3">
        <f t="shared" si="0"/>
        <v>5</v>
      </c>
      <c r="B7" s="4" t="str">
        <f>VLOOKUP(A7,Overview!D6:E38,2,FALSE)</f>
        <v>bundle_elite</v>
      </c>
      <c r="C7" s="4" t="s">
        <v>10</v>
      </c>
      <c r="D7" s="3">
        <f>VLOOKUP(C7,Overview!$A$2:$B$7,2,FALSE)</f>
        <v>3</v>
      </c>
    </row>
    <row r="8" spans="1:4" x14ac:dyDescent="0.3">
      <c r="A8" s="3">
        <f t="shared" si="0"/>
        <v>6</v>
      </c>
      <c r="B8" s="4" t="str">
        <f>VLOOKUP(A8,Overview!D7:E39,2,FALSE)</f>
        <v>bundle_general</v>
      </c>
      <c r="C8" s="4" t="s">
        <v>10</v>
      </c>
      <c r="D8" s="3">
        <f>VLOOKUP(C8,Overview!$A$2:$B$7,2,FALSE)</f>
        <v>3</v>
      </c>
    </row>
    <row r="9" spans="1:4" x14ac:dyDescent="0.3">
      <c r="A9" s="3">
        <f t="shared" si="0"/>
        <v>7</v>
      </c>
      <c r="B9" s="4" t="str">
        <f>VLOOKUP(A9,Overview!D8:E40,2,FALSE)</f>
        <v>bundle_hero</v>
      </c>
      <c r="C9" s="4" t="s">
        <v>10</v>
      </c>
      <c r="D9" s="3">
        <f>VLOOKUP(C9,Overview!$A$2:$B$7,2,FALSE)</f>
        <v>3</v>
      </c>
    </row>
    <row r="10" spans="1:4" x14ac:dyDescent="0.3">
      <c r="A10" s="3">
        <f t="shared" si="0"/>
        <v>8</v>
      </c>
      <c r="B10" s="4" t="str">
        <f>VLOOKUP(A10,Overview!D9:E41,2,FALSE)</f>
        <v>bundle_legend</v>
      </c>
      <c r="C10" s="4" t="s">
        <v>10</v>
      </c>
      <c r="D10" s="3">
        <f>VLOOKUP(C10,Overview!$A$2:$B$7,2,FALSE)</f>
        <v>3</v>
      </c>
    </row>
    <row r="11" spans="1:4" x14ac:dyDescent="0.3">
      <c r="A11" s="3">
        <f t="shared" si="0"/>
        <v>9</v>
      </c>
      <c r="B11" s="4" t="str">
        <f>VLOOKUP(A11,Overview!D10:E42,2,FALSE)</f>
        <v>public_soul_stone</v>
      </c>
      <c r="C11" s="4" t="s">
        <v>8</v>
      </c>
      <c r="D11" s="3">
        <f>VLOOKUP(C11,Overview!$A$2:$B$7,2,FALSE)</f>
        <v>2</v>
      </c>
    </row>
    <row r="12" spans="1:4" x14ac:dyDescent="0.3">
      <c r="A12" s="3">
        <f t="shared" si="0"/>
        <v>10</v>
      </c>
      <c r="B12" s="4" t="str">
        <f>VLOOKUP(A12,Overview!D11:E43,2,FALSE)</f>
        <v>class_soul_stone</v>
      </c>
      <c r="C12" s="4" t="s">
        <v>8</v>
      </c>
      <c r="D12" s="3">
        <f>VLOOKUP(C12,Overview!$A$2:$B$7,2,FALSE)</f>
        <v>2</v>
      </c>
    </row>
    <row r="13" spans="1:4" x14ac:dyDescent="0.3">
      <c r="A13" s="3">
        <f t="shared" si="0"/>
        <v>11</v>
      </c>
      <c r="B13" s="4" t="str">
        <f>VLOOKUP(A13,Overview!D12:E44,2,FALSE)</f>
        <v>dedicated_soul_stone</v>
      </c>
      <c r="C13" s="4" t="s">
        <v>8</v>
      </c>
      <c r="D13" s="3">
        <f>VLOOKUP(C13,Overview!$A$2:$B$7,2,FALSE)</f>
        <v>2</v>
      </c>
    </row>
    <row r="14" spans="1:4" x14ac:dyDescent="0.3">
      <c r="A14" s="3">
        <f t="shared" si="0"/>
        <v>12</v>
      </c>
      <c r="B14" s="4" t="str">
        <f>VLOOKUP(A14,Overview!D13:E45,2,FALSE)</f>
        <v>class_soul_stone_random_box</v>
      </c>
      <c r="C14" s="4" t="s">
        <v>12</v>
      </c>
      <c r="D14" s="3">
        <f>VLOOKUP(C14,Overview!$A$2:$B$7,2,FALSE)</f>
        <v>4</v>
      </c>
    </row>
    <row r="15" spans="1:4" x14ac:dyDescent="0.3">
      <c r="A15" s="3">
        <f t="shared" si="0"/>
        <v>13</v>
      </c>
      <c r="B15" s="4" t="str">
        <f>VLOOKUP(A15,Overview!D14:E46,2,FALSE)</f>
        <v>dedicated_soul_stone_random_box</v>
      </c>
      <c r="C15" s="4" t="s">
        <v>12</v>
      </c>
      <c r="D15" s="3">
        <f>VLOOKUP(C15,Overview!$A$2:$B$7,2,FALSE)</f>
        <v>4</v>
      </c>
    </row>
    <row r="16" spans="1:4" x14ac:dyDescent="0.3">
      <c r="A16" s="3">
        <f t="shared" si="0"/>
        <v>14</v>
      </c>
      <c r="B16" s="4" t="str">
        <f>VLOOKUP(A16,Overview!D15:E47,2,FALSE)</f>
        <v>treasure</v>
      </c>
      <c r="C16" s="4" t="s">
        <v>14</v>
      </c>
      <c r="D16" s="3">
        <f>VLOOKUP(C16,Overview!$A$2:$B$7,2,FALSE)</f>
        <v>5</v>
      </c>
    </row>
    <row r="17" spans="1:4" x14ac:dyDescent="0.3">
      <c r="A17" s="3">
        <f t="shared" si="0"/>
        <v>15</v>
      </c>
      <c r="B17" s="4" t="str">
        <f>VLOOKUP(A17,Overview!D16:E48,2,FALSE)</f>
        <v>treasure_piece</v>
      </c>
      <c r="C17" s="4" t="s">
        <v>16</v>
      </c>
      <c r="D17" s="3">
        <f>VLOOKUP(C17,Overview!$A$2:$B$7,2,FALSE)</f>
        <v>6</v>
      </c>
    </row>
    <row r="18" spans="1:4" x14ac:dyDescent="0.3">
      <c r="A18" s="3">
        <f t="shared" si="0"/>
        <v>16</v>
      </c>
      <c r="B18" s="4" t="str">
        <f>VLOOKUP(A18,Overview!D17:E49,2,FALSE)</f>
        <v>treasure_piece_random_box</v>
      </c>
      <c r="C18" s="4" t="s">
        <v>12</v>
      </c>
      <c r="D18" s="3">
        <f>VLOOKUP(C18,Overview!$A$2:$B$7,2,FALSE)</f>
        <v>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Overview</vt:lpstr>
      <vt:lpstr>ItemData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2026-05-21T10:49:41Z</dcterms:modified>
</cp:coreProperties>
</file>