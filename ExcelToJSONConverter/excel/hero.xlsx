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B72EACA-3948-40AA-A5EB-DFDAAB8E3B89}" xr6:coauthVersionLast="47" xr6:coauthVersionMax="47" xr10:uidLastSave="{00000000-0000-0000-0000-000000000000}"/>
  <bookViews>
    <workbookView xWindow="-28920" yWindow="1395" windowWidth="29040" windowHeight="16440" activeTab="2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3" l="1"/>
  <c r="F20" i="3"/>
  <c r="F19" i="3"/>
  <c r="F18" i="3"/>
  <c r="F17" i="3"/>
  <c r="F16" i="3"/>
  <c r="F15" i="3"/>
  <c r="F22" i="3"/>
  <c r="D21" i="3"/>
  <c r="D20" i="3"/>
  <c r="D19" i="3"/>
  <c r="D18" i="3"/>
  <c r="D17" i="3"/>
  <c r="D16" i="3"/>
  <c r="D15" i="3"/>
  <c r="D22" i="3"/>
  <c r="F8" i="3"/>
  <c r="D8" i="3"/>
  <c r="D14" i="3"/>
  <c r="D13" i="3"/>
  <c r="D12" i="3"/>
  <c r="D11" i="3"/>
  <c r="D10" i="3"/>
  <c r="F14" i="3"/>
  <c r="F13" i="3"/>
  <c r="F12" i="3"/>
  <c r="F11" i="3"/>
  <c r="F10" i="3"/>
  <c r="F23" i="3"/>
  <c r="D23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<sst xmlns="http://schemas.openxmlformats.org/spreadsheetml/2006/main" count="168" uniqueCount="83">
  <si>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</si>
  <si>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</si>
  <si>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</si>
  <si>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</si>
  <si>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</si>
  <si>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</si>
  <si>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</si>
  <si>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</si>
  <si>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</si>
  <si>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</si>
  <si>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</si>
  <si>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</si>
  <si>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</si>
  <si>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</si>
  <si>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</si>
  <si>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</si>
  <si>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</si>
  <si>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</si>
  <si>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</si>
  <si>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</si>
  <si>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</si>
  <si>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</si>
  <si>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</si>
  <si>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</si>
  <si>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</si>
  <si>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</si>
  <si>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</si>
  <si>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</si>
  <si>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</si>
  <si>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</si>
  <si>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</si>
  <si>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</si>
  <si>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</si>
  <si>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</si>
  <si>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</si>
  <si>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</si>
  <si>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</si>
  <si>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</si>
  <si>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</si>
  <si>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</si>
  <si>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</si>
  <si>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</si>
  <si>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</si>
  <si>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</si>
  <si>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</si>
  <si>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</si>
  <si>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</si>
  <si>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</si>
  <si>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</si>
  <si>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</si>
  <si>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</si>
  <si>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</si>
  <si>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</si>
  <si>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</si>
  <si>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</si>
  <si>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</si>
  <si>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</si>
  <si>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</si>
  <si>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</si>
  <si>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</si>
  <si>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</si>
  <si>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</si>
  <si>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</si>
  <si>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</si>
  <si>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</si>
  <si>
    <t>HuangZhong</t>
    <phoneticPr fontId="1" type="noConversion"/>
  </si>
  <si>
    <t>SunJian</t>
  </si>
  <si>
    <t>손견</t>
  </si>
  <si>
    <t>SunQuan</t>
  </si>
  <si>
    <t>손권</t>
  </si>
  <si>
    <t>HuangGai</t>
  </si>
  <si>
    <t>황개</t>
  </si>
  <si>
    <t>SunCe</t>
  </si>
  <si>
    <t>손책</t>
  </si>
  <si>
    <t>TaishiCi</t>
  </si>
  <si>
    <t>태사자</t>
  </si>
  <si>
    <t>HanDang</t>
  </si>
  <si>
    <t>한당</t>
  </si>
  <si>
    <t>ZhouYu</t>
  </si>
  <si>
    <t>주유</t>
  </si>
  <si>
    <t>ZhaoYun</t>
    <phoneticPr fontId="1" type="noConversion"/>
  </si>
  <si>
    <t>is_active_lock</t>
    <phoneticPr fontId="1" type="noConversion"/>
  </si>
  <si>
    <t>HuangGai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</si>
</sst>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6" sqref="E6"/>
    </sheetView>
  </sheetViews>
  <sheetFormatPr defaultRowHeight="16.5" x14ac:dyDescent="0.3"/>
  <sheetData>
    <row r="1" spans="1:5" x14ac:dyDescent="0.3">
      <c r="A1" t="s">
        <v>9</v>
      </c>
      <c r="D1" t="s">
        <v>23</v>
      </c>
    </row>
    <row r="2" spans="1:5" x14ac:dyDescent="0.3">
      <c r="A2">
        <v>0</v>
      </c>
      <c r="B2" t="s">
        <v>10</v>
      </c>
      <c r="D2">
        <v>0</v>
      </c>
      <c r="E2" t="s">
        <v>24</v>
      </c>
    </row>
    <row r="3" spans="1:5" x14ac:dyDescent="0.3">
      <c r="A3">
        <v>1</v>
      </c>
      <c r="B3" t="s">
        <v>11</v>
      </c>
      <c r="D3">
        <v>1</v>
      </c>
      <c r="E3" t="s">
        <v>25</v>
      </c>
    </row>
    <row r="4" spans="1:5" x14ac:dyDescent="0.3">
      <c r="A4">
        <v>2</v>
      </c>
      <c r="B4" t="s">
        <v>12</v>
      </c>
      <c r="D4">
        <v>2</v>
      </c>
      <c r="E4" t="s">
        <v>26</v>
      </c>
    </row>
    <row r="5" spans="1:5" x14ac:dyDescent="0.3">
      <c r="A5">
        <v>3</v>
      </c>
      <c r="B5" t="s">
        <v>13</v>
      </c>
      <c r="D5">
        <v>3</v>
      </c>
      <c r="E5" t="s">
        <v>50</v>
      </c>
    </row>
    <row r="6" spans="1:5" x14ac:dyDescent="0.3">
      <c r="A6">
        <v>4</v>
      </c>
      <c r="B6" t="s">
        <v>14</v>
      </c>
    </row>
    <row r="7" spans="1:5" x14ac:dyDescent="0.3">
      <c r="A7">
        <v>5</v>
      </c>
      <c r="B7" t="s">
        <v>15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6" sqref="B16"/>
    </sheetView>
  </sheetViews>
  <sheetFormatPr defaultRowHeight="16.5" x14ac:dyDescent="0.3"/>
  <cols>
    <col min="1" max="1" width="6.625" bestFit="1" customWidth="1"/>
    <col min="2" max="2" width="13.125" bestFit="1" customWidth="1"/>
    <col min="3" max="3" width="9.625" style="3" bestFit="1" customWidth="1"/>
    <col min="4" max="4" width="7.1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  <col min="15" max="15" width="13.625" bestFit="1" customWidth="1"/>
  </cols>
  <sheetData>
    <row r="1" spans="1:15" s="7" customFormat="1" x14ac:dyDescent="0.3">
      <c r="A1" s="6" t="s">
        <v>2</v>
      </c>
      <c r="B1" s="6" t="s">
        <v>1</v>
      </c>
      <c r="C1" s="6" t="s">
        <v>7</v>
      </c>
      <c r="D1" s="6" t="s">
        <v>2</v>
      </c>
      <c r="E1" s="6" t="s">
        <v>21</v>
      </c>
      <c r="F1" s="6" t="s">
        <v>2</v>
      </c>
      <c r="G1" s="6" t="s">
        <v>30</v>
      </c>
      <c r="H1" s="6" t="s">
        <v>45</v>
      </c>
      <c r="I1" s="6" t="s">
        <v>31</v>
      </c>
      <c r="J1" s="6" t="s">
        <v>32</v>
      </c>
      <c r="K1" s="6" t="s">
        <v>33</v>
      </c>
      <c r="L1" s="6" t="s">
        <v>42</v>
      </c>
      <c r="M1" s="6" t="s">
        <v>43</v>
      </c>
      <c r="N1" s="6" t="s">
        <v>49</v>
      </c>
      <c r="O1" s="6" t="s">
        <v>81</v>
      </c>
    </row>
    <row r="2" spans="1:15" x14ac:dyDescent="0.3">
      <c r="A2" s="1"/>
      <c r="B2" s="1" t="s">
        <v>0</v>
      </c>
      <c r="C2" s="2" t="s">
        <v>8</v>
      </c>
      <c r="D2" s="2" t="s">
        <v>0</v>
      </c>
      <c r="E2" s="2" t="s">
        <v>22</v>
      </c>
      <c r="F2" s="2" t="s">
        <v>0</v>
      </c>
      <c r="G2" s="2" t="s">
        <v>29</v>
      </c>
      <c r="H2" s="2" t="s">
        <v>29</v>
      </c>
      <c r="I2" s="2" t="s">
        <v>29</v>
      </c>
      <c r="J2" s="2" t="s">
        <v>29</v>
      </c>
      <c r="K2" s="2" t="s">
        <v>29</v>
      </c>
      <c r="L2" s="6" t="s">
        <v>0</v>
      </c>
      <c r="M2" s="6" t="s">
        <v>0</v>
      </c>
      <c r="N2" s="6" t="s">
        <v>8</v>
      </c>
      <c r="O2" s="6" t="s">
        <v>8</v>
      </c>
    </row>
    <row r="3" spans="1:15" x14ac:dyDescent="0.3">
      <c r="A3" s="8" t="s">
        <v>28</v>
      </c>
      <c r="B3" s="8" t="s">
        <v>27</v>
      </c>
      <c r="C3" s="9">
        <v>0</v>
      </c>
      <c r="D3" s="9"/>
      <c r="E3" s="9">
        <v>0</v>
      </c>
      <c r="F3" s="9"/>
      <c r="G3" s="9"/>
      <c r="H3" s="9"/>
      <c r="I3" s="9"/>
      <c r="J3" s="9"/>
      <c r="K3" s="9"/>
      <c r="L3" s="8">
        <v>0.8</v>
      </c>
      <c r="M3" s="8">
        <v>15</v>
      </c>
      <c r="N3" s="8"/>
      <c r="O3" s="8">
        <v>1</v>
      </c>
    </row>
    <row r="4" spans="1:15" x14ac:dyDescent="0.3">
      <c r="A4" s="9" t="s">
        <v>16</v>
      </c>
      <c r="B4" s="9" t="s">
        <v>3</v>
      </c>
      <c r="C4" s="9">
        <v>0</v>
      </c>
      <c r="D4" s="9" t="str">
        <f>VLOOKUP(C4,Overview!A$2:B$7,2)</f>
        <v>지휘관</v>
      </c>
      <c r="E4" s="9">
        <v>1</v>
      </c>
      <c r="F4" s="9" t="str">
        <f>VLOOKUP(E4,Overview!D$2:E$7,2)</f>
        <v>촉</v>
      </c>
      <c r="G4" s="9">
        <v>78</v>
      </c>
      <c r="H4" s="9">
        <v>73</v>
      </c>
      <c r="I4" s="9">
        <v>73</v>
      </c>
      <c r="J4" s="9">
        <v>78</v>
      </c>
      <c r="K4" s="9">
        <v>99</v>
      </c>
      <c r="L4" s="8"/>
      <c r="M4" s="8"/>
      <c r="N4" s="8"/>
      <c r="O4" s="8"/>
    </row>
    <row r="5" spans="1:15" x14ac:dyDescent="0.3">
      <c r="A5" s="9" t="s">
        <v>17</v>
      </c>
      <c r="B5" s="9" t="s">
        <v>4</v>
      </c>
      <c r="C5" s="9">
        <v>1</v>
      </c>
      <c r="D5" s="9" t="str">
        <f>VLOOKUP(C5,Overview!A$2:B$7,2)</f>
        <v>용장</v>
      </c>
      <c r="E5" s="9">
        <v>1</v>
      </c>
      <c r="F5" s="9" t="str">
        <f>VLOOKUP(E5,Overview!D$2:E$7,2)</f>
        <v>촉</v>
      </c>
      <c r="G5" s="9">
        <v>96</v>
      </c>
      <c r="H5" s="9">
        <v>97</v>
      </c>
      <c r="I5" s="9">
        <v>76</v>
      </c>
      <c r="J5" s="9">
        <v>64</v>
      </c>
      <c r="K5" s="9">
        <v>93</v>
      </c>
      <c r="L5" s="8"/>
      <c r="M5" s="8"/>
      <c r="N5" s="8"/>
      <c r="O5" s="8"/>
    </row>
    <row r="6" spans="1:15" x14ac:dyDescent="0.3">
      <c r="A6" s="9" t="s">
        <v>18</v>
      </c>
      <c r="B6" s="9" t="s">
        <v>5</v>
      </c>
      <c r="C6" s="9">
        <v>2</v>
      </c>
      <c r="D6" s="9" t="str">
        <f>VLOOKUP(C6,Overview!A$2:B$7,2)</f>
        <v>선봉장</v>
      </c>
      <c r="E6" s="9">
        <v>1</v>
      </c>
      <c r="F6" s="9" t="str">
        <f>VLOOKUP(E6,Overview!D$2:E$7,2)</f>
        <v>촉</v>
      </c>
      <c r="G6" s="9">
        <v>83</v>
      </c>
      <c r="H6" s="9">
        <v>98</v>
      </c>
      <c r="I6" s="9">
        <v>30</v>
      </c>
      <c r="J6" s="9">
        <v>22</v>
      </c>
      <c r="K6" s="9">
        <v>45</v>
      </c>
      <c r="L6" s="8"/>
      <c r="M6" s="8"/>
      <c r="N6" s="8"/>
      <c r="O6" s="8"/>
    </row>
    <row r="7" spans="1:15" x14ac:dyDescent="0.3">
      <c r="A7" s="9" t="s">
        <v>19</v>
      </c>
      <c r="B7" s="9" t="s">
        <v>80</v>
      </c>
      <c r="C7" s="9">
        <v>3</v>
      </c>
      <c r="D7" s="9" t="str">
        <f>VLOOKUP(C7,Overview!A$2:B$7,2)</f>
        <v>추격자</v>
      </c>
      <c r="E7" s="9">
        <v>1</v>
      </c>
      <c r="F7" s="9" t="str">
        <f>VLOOKUP(E7,Overview!D$2:E$7,2)</f>
        <v>촉</v>
      </c>
      <c r="G7" s="9">
        <v>91</v>
      </c>
      <c r="H7" s="9">
        <v>96</v>
      </c>
      <c r="I7" s="9">
        <v>75</v>
      </c>
      <c r="J7" s="9">
        <v>65</v>
      </c>
      <c r="K7" s="9">
        <v>81</v>
      </c>
      <c r="L7" s="8"/>
      <c r="M7" s="8"/>
      <c r="N7" s="8"/>
      <c r="O7" s="8"/>
    </row>
    <row r="8" spans="1:15" x14ac:dyDescent="0.3">
      <c r="A8" s="9" t="s">
        <v>63</v>
      </c>
      <c r="B8" s="8" t="s">
        <v>65</v>
      </c>
      <c r="C8" s="9">
        <v>4</v>
      </c>
      <c r="D8" s="9" t="str">
        <f>VLOOKUP(C8,Overview!A$2:B$7,2)</f>
        <v>궁장</v>
      </c>
      <c r="E8" s="9">
        <v>1</v>
      </c>
      <c r="F8" s="9" t="str">
        <f>VLOOKUP(E8,Overview!D$2:E$7,2)</f>
        <v>촉</v>
      </c>
      <c r="G8" s="9">
        <v>86</v>
      </c>
      <c r="H8" s="9">
        <v>93</v>
      </c>
      <c r="I8" s="9">
        <v>60</v>
      </c>
      <c r="J8" s="9">
        <v>52</v>
      </c>
      <c r="K8" s="9">
        <v>75</v>
      </c>
      <c r="L8" s="8"/>
      <c r="M8" s="8"/>
      <c r="N8" s="8"/>
      <c r="O8" s="8"/>
    </row>
    <row r="9" spans="1:15" x14ac:dyDescent="0.3">
      <c r="A9" s="9" t="s">
        <v>20</v>
      </c>
      <c r="B9" s="9" t="s">
        <v>6</v>
      </c>
      <c r="C9" s="9">
        <v>5</v>
      </c>
      <c r="D9" s="9" t="str">
        <f>VLOOKUP(C9,Overview!A$2:B$7,2)</f>
        <v>책사</v>
      </c>
      <c r="E9" s="9">
        <v>1</v>
      </c>
      <c r="F9" s="9" t="str">
        <f>VLOOKUP(E9,Overview!D$2:E$7,2)</f>
        <v>촉</v>
      </c>
      <c r="G9" s="9">
        <v>93</v>
      </c>
      <c r="H9" s="9">
        <v>38</v>
      </c>
      <c r="I9" s="9">
        <v>100</v>
      </c>
      <c r="J9" s="9">
        <v>96</v>
      </c>
      <c r="K9" s="9">
        <v>92</v>
      </c>
      <c r="L9" s="8"/>
      <c r="M9" s="8"/>
      <c r="N9" s="8"/>
      <c r="O9" s="8"/>
    </row>
    <row r="10" spans="1:15" x14ac:dyDescent="0.3">
      <c r="A10" s="9" t="s">
        <v>54</v>
      </c>
      <c r="B10" s="8" t="s">
        <v>53</v>
      </c>
      <c r="C10" s="9">
        <v>0</v>
      </c>
      <c r="D10" s="9" t="str">
        <f>VLOOKUP(C10,Overview!A$2:B$7,2)</f>
        <v>지휘관</v>
      </c>
      <c r="E10" s="9">
        <v>0</v>
      </c>
      <c r="F10" s="9" t="str">
        <f>VLOOKUP(E10,Overview!D$2:E$7,2)</f>
        <v>위</v>
      </c>
      <c r="G10" s="9">
        <v>99</v>
      </c>
      <c r="H10" s="9">
        <v>72</v>
      </c>
      <c r="I10" s="9">
        <v>91</v>
      </c>
      <c r="J10" s="9">
        <v>94</v>
      </c>
      <c r="K10" s="9">
        <v>96</v>
      </c>
      <c r="L10" s="8"/>
      <c r="M10" s="8"/>
      <c r="N10" s="8"/>
      <c r="O10" s="8"/>
    </row>
    <row r="11" spans="1:15" x14ac:dyDescent="0.3">
      <c r="A11" s="9" t="s">
        <v>51</v>
      </c>
      <c r="B11" s="8" t="s">
        <v>52</v>
      </c>
      <c r="C11" s="9">
        <v>1</v>
      </c>
      <c r="D11" s="9" t="str">
        <f>VLOOKUP(C11,Overview!A$2:B$7,2)</f>
        <v>용장</v>
      </c>
      <c r="E11" s="9">
        <v>0</v>
      </c>
      <c r="F11" s="9" t="str">
        <f>VLOOKUP(E11,Overview!D$2:E$7,2)</f>
        <v>위</v>
      </c>
      <c r="G11" s="9">
        <v>94</v>
      </c>
      <c r="H11" s="9">
        <v>88</v>
      </c>
      <c r="I11" s="9">
        <v>66</v>
      </c>
      <c r="J11" s="9">
        <v>54</v>
      </c>
      <c r="K11" s="9">
        <v>78</v>
      </c>
      <c r="L11" s="8"/>
      <c r="M11" s="8"/>
      <c r="N11" s="8"/>
      <c r="O11" s="8"/>
    </row>
    <row r="12" spans="1:15" x14ac:dyDescent="0.3">
      <c r="A12" s="9" t="s">
        <v>56</v>
      </c>
      <c r="B12" s="8" t="s">
        <v>55</v>
      </c>
      <c r="C12" s="9">
        <v>2</v>
      </c>
      <c r="D12" s="9" t="str">
        <f>VLOOKUP(C12,Overview!A$2:B$7,2)</f>
        <v>선봉장</v>
      </c>
      <c r="E12" s="9">
        <v>0</v>
      </c>
      <c r="F12" s="9" t="str">
        <f>VLOOKUP(E12,Overview!D$2:E$7,2)</f>
        <v>위</v>
      </c>
      <c r="G12" s="9">
        <v>89</v>
      </c>
      <c r="H12" s="9">
        <v>91</v>
      </c>
      <c r="I12" s="9">
        <v>58</v>
      </c>
      <c r="J12" s="9">
        <v>74</v>
      </c>
      <c r="K12" s="9">
        <v>88</v>
      </c>
      <c r="L12" s="8"/>
      <c r="M12" s="8"/>
      <c r="N12" s="8"/>
      <c r="O12" s="8"/>
    </row>
    <row r="13" spans="1:15" x14ac:dyDescent="0.3">
      <c r="A13" s="9" t="s">
        <v>58</v>
      </c>
      <c r="B13" s="8" t="s">
        <v>57</v>
      </c>
      <c r="C13" s="9">
        <v>3</v>
      </c>
      <c r="D13" s="9" t="str">
        <f>VLOOKUP(C13,Overview!A$2:B$7,2)</f>
        <v>추격자</v>
      </c>
      <c r="E13" s="9">
        <v>0</v>
      </c>
      <c r="F13" s="9" t="str">
        <f>VLOOKUP(E13,Overview!D$2:E$7,2)</f>
        <v>위</v>
      </c>
      <c r="G13" s="9">
        <v>95</v>
      </c>
      <c r="H13" s="9">
        <v>93</v>
      </c>
      <c r="I13" s="9">
        <v>78</v>
      </c>
      <c r="J13" s="9">
        <v>58</v>
      </c>
      <c r="K13" s="9">
        <v>79</v>
      </c>
      <c r="L13" s="8"/>
      <c r="M13" s="8"/>
      <c r="N13" s="8"/>
      <c r="O13" s="8"/>
    </row>
    <row r="14" spans="1:15" x14ac:dyDescent="0.3">
      <c r="A14" s="9" t="s">
        <v>60</v>
      </c>
      <c r="B14" s="8" t="s">
        <v>59</v>
      </c>
      <c r="C14" s="9">
        <v>4</v>
      </c>
      <c r="D14" s="9" t="str">
        <f>VLOOKUP(C14,Overview!A$2:B$7,2)</f>
        <v>궁장</v>
      </c>
      <c r="E14" s="9">
        <v>0</v>
      </c>
      <c r="F14" s="9" t="str">
        <f>VLOOKUP(E14,Overview!D$2:E$7,2)</f>
        <v>위</v>
      </c>
      <c r="G14" s="9">
        <v>93</v>
      </c>
      <c r="H14" s="9">
        <v>92</v>
      </c>
      <c r="I14" s="9">
        <v>52</v>
      </c>
      <c r="J14" s="9">
        <v>58</v>
      </c>
      <c r="K14" s="9">
        <v>79</v>
      </c>
      <c r="L14" s="8"/>
      <c r="M14" s="8"/>
      <c r="N14" s="8"/>
      <c r="O14" s="8"/>
    </row>
    <row r="15" spans="1:15" x14ac:dyDescent="0.3">
      <c r="A15" s="9" t="s">
        <v>62</v>
      </c>
      <c r="B15" s="8" t="s">
        <v>61</v>
      </c>
      <c r="C15" s="9">
        <v>5</v>
      </c>
      <c r="D15" s="9" t="str">
        <f>VLOOKUP(C15,Overview!A$2:B$7,2)</f>
        <v>책사</v>
      </c>
      <c r="E15" s="9">
        <v>0</v>
      </c>
      <c r="F15" s="9" t="str">
        <f>VLOOKUP(E15,Overview!D$2:E$7,2)</f>
        <v>위</v>
      </c>
      <c r="G15" s="9">
        <v>52</v>
      </c>
      <c r="H15" s="9">
        <v>14</v>
      </c>
      <c r="I15" s="9">
        <v>96</v>
      </c>
      <c r="J15" s="9">
        <v>98</v>
      </c>
      <c r="K15" s="9">
        <v>93</v>
      </c>
      <c r="L15" s="8"/>
      <c r="M15" s="8"/>
      <c r="N15" s="8"/>
      <c r="O15" s="8"/>
    </row>
    <row r="16" spans="1:15" x14ac:dyDescent="0.3">
      <c r="A16" s="8" t="s">
        <v>67</v>
      </c>
      <c r="B16" s="8" t="s">
        <v>66</v>
      </c>
      <c r="C16" s="9">
        <v>2</v>
      </c>
      <c r="D16" s="9" t="str">
        <f>VLOOKUP(C16,Overview!A$2:B$7,2)</f>
        <v>선봉장</v>
      </c>
      <c r="E16" s="9">
        <v>2</v>
      </c>
      <c r="F16" s="9" t="str">
        <f>VLOOKUP(E16,Overview!D$2:E$7,2)</f>
        <v>오</v>
      </c>
      <c r="G16" s="9">
        <v>95</v>
      </c>
      <c r="H16" s="9">
        <v>92</v>
      </c>
      <c r="I16" s="9">
        <v>73</v>
      </c>
      <c r="J16" s="9">
        <v>70</v>
      </c>
      <c r="K16" s="9">
        <v>89</v>
      </c>
      <c r="L16" s="8"/>
      <c r="M16" s="8"/>
      <c r="N16" s="8"/>
      <c r="O16" s="9">
        <v>1</v>
      </c>
    </row>
    <row r="17" spans="1:15" x14ac:dyDescent="0.3">
      <c r="A17" s="8" t="s">
        <v>69</v>
      </c>
      <c r="B17" s="8" t="s">
        <v>68</v>
      </c>
      <c r="C17" s="9">
        <v>0</v>
      </c>
      <c r="D17" s="9" t="str">
        <f>VLOOKUP(C17,Overview!A$2:B$7,2)</f>
        <v>지휘관</v>
      </c>
      <c r="E17" s="9">
        <v>2</v>
      </c>
      <c r="F17" s="9" t="str">
        <f>VLOOKUP(E17,Overview!D$2:E$7,2)</f>
        <v>오</v>
      </c>
      <c r="G17" s="9">
        <v>76</v>
      </c>
      <c r="H17" s="9">
        <v>67</v>
      </c>
      <c r="I17" s="9">
        <v>80</v>
      </c>
      <c r="J17" s="9">
        <v>89</v>
      </c>
      <c r="K17" s="9">
        <v>95</v>
      </c>
      <c r="L17" s="8"/>
      <c r="M17" s="8"/>
      <c r="N17" s="8"/>
      <c r="O17" s="8"/>
    </row>
    <row r="18" spans="1:15" x14ac:dyDescent="0.3">
      <c r="A18" s="8" t="s">
        <v>71</v>
      </c>
      <c r="B18" s="8" t="s">
        <v>82</v>
      </c>
      <c r="C18" s="9">
        <v>1</v>
      </c>
      <c r="D18" s="9" t="str">
        <f>VLOOKUP(C18,Overview!A$2:B$7,2)</f>
        <v>용장</v>
      </c>
      <c r="E18" s="9">
        <v>2</v>
      </c>
      <c r="F18" s="9" t="str">
        <f>VLOOKUP(E18,Overview!D$2:E$7,2)</f>
        <v>오</v>
      </c>
      <c r="G18" s="9">
        <v>83</v>
      </c>
      <c r="H18" s="9">
        <v>87</v>
      </c>
      <c r="I18" s="9">
        <v>70</v>
      </c>
      <c r="J18" s="9">
        <v>65</v>
      </c>
      <c r="K18" s="9">
        <v>81</v>
      </c>
      <c r="L18" s="8"/>
      <c r="M18" s="8"/>
      <c r="N18" s="8"/>
      <c r="O18" s="8"/>
    </row>
    <row r="19" spans="1:15" x14ac:dyDescent="0.3">
      <c r="A19" s="8" t="s">
        <v>73</v>
      </c>
      <c r="B19" s="8" t="s">
        <v>72</v>
      </c>
      <c r="C19" s="9">
        <v>2</v>
      </c>
      <c r="D19" s="9" t="str">
        <f>VLOOKUP(C19,Overview!A$2:B$7,2)</f>
        <v>선봉장</v>
      </c>
      <c r="E19" s="9">
        <v>2</v>
      </c>
      <c r="F19" s="9" t="str">
        <f>VLOOKUP(E19,Overview!D$2:E$7,2)</f>
        <v>오</v>
      </c>
      <c r="G19" s="9">
        <v>95</v>
      </c>
      <c r="H19" s="9">
        <v>93</v>
      </c>
      <c r="I19" s="9">
        <v>72</v>
      </c>
      <c r="J19" s="9">
        <v>70</v>
      </c>
      <c r="K19" s="9">
        <v>92</v>
      </c>
      <c r="L19" s="8"/>
      <c r="M19" s="8"/>
      <c r="N19" s="8"/>
      <c r="O19" s="8"/>
    </row>
    <row r="20" spans="1:15" x14ac:dyDescent="0.3">
      <c r="A20" s="8" t="s">
        <v>75</v>
      </c>
      <c r="B20" s="8" t="s">
        <v>74</v>
      </c>
      <c r="C20" s="9">
        <v>3</v>
      </c>
      <c r="D20" s="9" t="str">
        <f>VLOOKUP(C20,Overview!A$2:B$7,2)</f>
        <v>추격자</v>
      </c>
      <c r="E20" s="9">
        <v>2</v>
      </c>
      <c r="F20" s="9" t="str">
        <f>VLOOKUP(E20,Overview!D$2:E$7,2)</f>
        <v>오</v>
      </c>
      <c r="G20" s="9">
        <v>88</v>
      </c>
      <c r="H20" s="9">
        <v>94</v>
      </c>
      <c r="I20" s="9">
        <v>66</v>
      </c>
      <c r="J20" s="9">
        <v>58</v>
      </c>
      <c r="K20" s="9">
        <v>79</v>
      </c>
      <c r="L20" s="8"/>
      <c r="M20" s="8"/>
      <c r="N20" s="8"/>
      <c r="O20" s="8"/>
    </row>
    <row r="21" spans="1:15" x14ac:dyDescent="0.3">
      <c r="A21" s="8" t="s">
        <v>77</v>
      </c>
      <c r="B21" s="8" t="s">
        <v>76</v>
      </c>
      <c r="C21" s="9">
        <v>4</v>
      </c>
      <c r="D21" s="9" t="str">
        <f>VLOOKUP(C21,Overview!A$2:B$7,2)</f>
        <v>궁장</v>
      </c>
      <c r="E21" s="9">
        <v>2</v>
      </c>
      <c r="F21" s="9" t="str">
        <f>VLOOKUP(E21,Overview!D$2:E$7,2)</f>
        <v>오</v>
      </c>
      <c r="G21" s="9">
        <v>90</v>
      </c>
      <c r="H21" s="9">
        <v>89</v>
      </c>
      <c r="I21" s="9">
        <v>68</v>
      </c>
      <c r="J21" s="9">
        <v>65</v>
      </c>
      <c r="K21" s="9">
        <v>75</v>
      </c>
      <c r="L21" s="8"/>
      <c r="M21" s="8"/>
      <c r="N21" s="8"/>
      <c r="O21" s="8"/>
    </row>
    <row r="22" spans="1:15" x14ac:dyDescent="0.3">
      <c r="A22" s="8" t="s">
        <v>79</v>
      </c>
      <c r="B22" s="8" t="s">
        <v>78</v>
      </c>
      <c r="C22" s="9">
        <v>5</v>
      </c>
      <c r="D22" s="9" t="str">
        <f>VLOOKUP(C22,Overview!A$2:B$7,2)</f>
        <v>책사</v>
      </c>
      <c r="E22" s="9">
        <v>2</v>
      </c>
      <c r="F22" s="9" t="str">
        <f>VLOOKUP(E22,Overview!D$2:E$7,2)</f>
        <v>오</v>
      </c>
      <c r="G22" s="9">
        <v>97</v>
      </c>
      <c r="H22" s="9">
        <v>74</v>
      </c>
      <c r="I22" s="9">
        <v>97</v>
      </c>
      <c r="J22" s="9">
        <v>86</v>
      </c>
      <c r="K22" s="9">
        <v>93</v>
      </c>
      <c r="L22" s="8"/>
      <c r="M22" s="8"/>
      <c r="N22" s="8"/>
      <c r="O22" s="8"/>
    </row>
    <row r="23" spans="1:15" x14ac:dyDescent="0.3">
      <c r="A23" s="9" t="s">
        <v>47</v>
      </c>
      <c r="B23" s="9" t="s">
        <v>48</v>
      </c>
      <c r="C23" s="9">
        <v>2</v>
      </c>
      <c r="D23" s="9" t="str">
        <f>VLOOKUP(C23,Overview!A$2:B$7,2)</f>
        <v>선봉장</v>
      </c>
      <c r="E23" s="9">
        <v>3</v>
      </c>
      <c r="F23" s="9" t="str">
        <f>VLOOKUP(E23,Overview!D$2:E$7,2)</f>
        <v>군웅</v>
      </c>
      <c r="G23" s="9">
        <v>95</v>
      </c>
      <c r="H23" s="9">
        <v>99</v>
      </c>
      <c r="I23" s="9">
        <v>28</v>
      </c>
      <c r="J23" s="9">
        <v>17</v>
      </c>
      <c r="K23" s="9">
        <v>35</v>
      </c>
      <c r="L23" s="8"/>
      <c r="M23" s="8"/>
      <c r="N23" s="9">
        <v>1</v>
      </c>
      <c r="O23" s="8"/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2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9" sqref="C19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28</v>
      </c>
      <c r="B3" t="s">
        <v>27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16</v>
      </c>
      <c r="B4" s="3" t="s">
        <v>3</v>
      </c>
      <c r="C4">
        <v>100</v>
      </c>
      <c r="D4">
        <v>150</v>
      </c>
      <c r="E4" s="3">
        <v>2400</v>
      </c>
      <c r="F4" s="3">
        <v>10</v>
      </c>
      <c r="G4" s="3">
        <v>1</v>
      </c>
    </row>
    <row r="5" spans="1:11" x14ac:dyDescent="0.3">
      <c r="A5" s="3" t="s">
        <v>17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18</v>
      </c>
      <c r="B6" s="3" t="s">
        <v>5</v>
      </c>
      <c r="C6">
        <v>170</v>
      </c>
      <c r="D6">
        <v>180</v>
      </c>
      <c r="E6" s="3">
        <v>2500</v>
      </c>
      <c r="F6" s="3">
        <v>9.5</v>
      </c>
      <c r="G6" s="3">
        <v>1.1000000000000001</v>
      </c>
    </row>
    <row r="7" spans="1:11" x14ac:dyDescent="0.3">
      <c r="A7" s="3" t="s">
        <v>19</v>
      </c>
      <c r="B7" s="3" t="s">
        <v>80</v>
      </c>
      <c r="C7">
        <v>130</v>
      </c>
      <c r="D7">
        <v>130</v>
      </c>
      <c r="E7" s="3">
        <v>2200</v>
      </c>
      <c r="F7" s="3">
        <v>10.5</v>
      </c>
      <c r="G7" s="3">
        <v>0.9</v>
      </c>
    </row>
    <row r="8" spans="1:11" x14ac:dyDescent="0.3">
      <c r="A8" s="3" t="s">
        <v>63</v>
      </c>
      <c r="B8" t="s">
        <v>64</v>
      </c>
      <c r="C8">
        <v>120</v>
      </c>
      <c r="D8">
        <v>100</v>
      </c>
      <c r="E8" s="3">
        <v>1900</v>
      </c>
      <c r="F8" s="3">
        <v>10</v>
      </c>
      <c r="G8" s="3">
        <v>1.3</v>
      </c>
    </row>
    <row r="9" spans="1:11" x14ac:dyDescent="0.3">
      <c r="A9" s="3" t="s">
        <v>20</v>
      </c>
      <c r="B9" s="3" t="s">
        <v>6</v>
      </c>
      <c r="C9">
        <v>50</v>
      </c>
      <c r="D9">
        <v>90</v>
      </c>
      <c r="E9" s="3">
        <v>1700</v>
      </c>
      <c r="F9" s="3">
        <v>8</v>
      </c>
      <c r="G9" s="3">
        <v>1.4</v>
      </c>
    </row>
    <row r="10" spans="1:11" x14ac:dyDescent="0.3">
      <c r="A10" s="3" t="s">
        <v>54</v>
      </c>
      <c r="B10" t="s">
        <v>53</v>
      </c>
      <c r="C10">
        <v>100</v>
      </c>
      <c r="D10">
        <v>150</v>
      </c>
      <c r="E10" s="3">
        <v>2400</v>
      </c>
      <c r="F10" s="3">
        <v>10</v>
      </c>
      <c r="G10" s="3">
        <v>1</v>
      </c>
    </row>
    <row r="11" spans="1:11" x14ac:dyDescent="0.3">
      <c r="A11" s="3" t="s">
        <v>51</v>
      </c>
      <c r="B11" t="s">
        <v>52</v>
      </c>
      <c r="C11">
        <v>150</v>
      </c>
      <c r="D11">
        <v>200</v>
      </c>
      <c r="E11" s="3">
        <v>3000</v>
      </c>
      <c r="F11" s="3">
        <v>9</v>
      </c>
      <c r="G11" s="3">
        <v>1.2</v>
      </c>
    </row>
    <row r="12" spans="1:11" x14ac:dyDescent="0.3">
      <c r="A12" s="3" t="s">
        <v>56</v>
      </c>
      <c r="B12" t="s">
        <v>55</v>
      </c>
      <c r="C12">
        <v>170</v>
      </c>
      <c r="D12">
        <v>180</v>
      </c>
      <c r="E12" s="3">
        <v>2500</v>
      </c>
      <c r="F12" s="3">
        <v>9.5</v>
      </c>
      <c r="G12" s="3">
        <v>1.1000000000000001</v>
      </c>
    </row>
    <row r="13" spans="1:11" x14ac:dyDescent="0.3">
      <c r="A13" s="3" t="s">
        <v>58</v>
      </c>
      <c r="B13" t="s">
        <v>57</v>
      </c>
      <c r="C13">
        <v>130</v>
      </c>
      <c r="D13">
        <v>130</v>
      </c>
      <c r="E13" s="3">
        <v>2200</v>
      </c>
      <c r="F13" s="3">
        <v>10.5</v>
      </c>
      <c r="G13" s="3">
        <v>0.9</v>
      </c>
    </row>
    <row r="14" spans="1:11" x14ac:dyDescent="0.3">
      <c r="A14" s="3" t="s">
        <v>60</v>
      </c>
      <c r="B14" t="s">
        <v>59</v>
      </c>
      <c r="C14">
        <v>120</v>
      </c>
      <c r="D14">
        <v>100</v>
      </c>
      <c r="E14" s="3">
        <v>1900</v>
      </c>
      <c r="F14" s="3">
        <v>10</v>
      </c>
      <c r="G14" s="3">
        <v>1.3</v>
      </c>
    </row>
    <row r="15" spans="1:11" x14ac:dyDescent="0.3">
      <c r="A15" s="3" t="s">
        <v>62</v>
      </c>
      <c r="B15" t="s">
        <v>61</v>
      </c>
      <c r="C15">
        <v>50</v>
      </c>
      <c r="D15">
        <v>90</v>
      </c>
      <c r="E15" s="3">
        <v>1700</v>
      </c>
      <c r="F15" s="3">
        <v>8</v>
      </c>
      <c r="G15" s="3">
        <v>1.4</v>
      </c>
    </row>
    <row r="16" spans="1:11" x14ac:dyDescent="0.3">
      <c r="A16" t="s">
        <v>67</v>
      </c>
      <c r="B16" t="s">
        <v>66</v>
      </c>
      <c r="C16">
        <v>170</v>
      </c>
      <c r="D16">
        <v>180</v>
      </c>
      <c r="E16" s="3">
        <v>2500</v>
      </c>
      <c r="F16" s="3">
        <v>9.5</v>
      </c>
      <c r="G16" s="3">
        <v>1.1000000000000001</v>
      </c>
    </row>
    <row r="17" spans="1:7" x14ac:dyDescent="0.3">
      <c r="A17" t="s">
        <v>69</v>
      </c>
      <c r="B17" t="s">
        <v>68</v>
      </c>
      <c r="C17">
        <v>100</v>
      </c>
      <c r="D17">
        <v>150</v>
      </c>
      <c r="E17" s="3">
        <v>2400</v>
      </c>
      <c r="F17" s="3">
        <v>10</v>
      </c>
      <c r="G17" s="3">
        <v>1</v>
      </c>
    </row>
    <row r="18" spans="1:7" x14ac:dyDescent="0.3">
      <c r="A18" t="s">
        <v>71</v>
      </c>
      <c r="B18" t="s">
        <v>70</v>
      </c>
      <c r="C18">
        <v>150</v>
      </c>
      <c r="D18">
        <v>200</v>
      </c>
      <c r="E18" s="3">
        <v>3000</v>
      </c>
      <c r="F18" s="3">
        <v>9</v>
      </c>
      <c r="G18" s="3">
        <v>1.2</v>
      </c>
    </row>
    <row r="19" spans="1:7" x14ac:dyDescent="0.3">
      <c r="A19" t="s">
        <v>73</v>
      </c>
      <c r="B19" t="s">
        <v>72</v>
      </c>
      <c r="C19">
        <v>170</v>
      </c>
      <c r="D19">
        <v>180</v>
      </c>
      <c r="E19" s="3">
        <v>2500</v>
      </c>
      <c r="F19" s="3">
        <v>9.5</v>
      </c>
      <c r="G19" s="3">
        <v>1.1000000000000001</v>
      </c>
    </row>
    <row r="20" spans="1:7" x14ac:dyDescent="0.3">
      <c r="A20" t="s">
        <v>75</v>
      </c>
      <c r="B20" t="s">
        <v>74</v>
      </c>
      <c r="C20">
        <v>130</v>
      </c>
      <c r="D20">
        <v>130</v>
      </c>
      <c r="E20" s="3">
        <v>2200</v>
      </c>
      <c r="F20" s="3">
        <v>10.5</v>
      </c>
      <c r="G20" s="3">
        <v>0.9</v>
      </c>
    </row>
    <row r="21" spans="1:7" x14ac:dyDescent="0.3">
      <c r="A21" t="s">
        <v>77</v>
      </c>
      <c r="B21" t="s">
        <v>76</v>
      </c>
      <c r="C21">
        <v>120</v>
      </c>
      <c r="D21">
        <v>100</v>
      </c>
      <c r="E21" s="3">
        <v>1900</v>
      </c>
      <c r="F21" s="3">
        <v>10</v>
      </c>
      <c r="G21" s="3">
        <v>1.3</v>
      </c>
    </row>
    <row r="22" spans="1:7" x14ac:dyDescent="0.3">
      <c r="A22" t="s">
        <v>79</v>
      </c>
      <c r="B22" t="s">
        <v>78</v>
      </c>
      <c r="C22">
        <v>50</v>
      </c>
      <c r="D22">
        <v>90</v>
      </c>
      <c r="E22" s="3">
        <v>1700</v>
      </c>
      <c r="F22" s="3">
        <v>8</v>
      </c>
      <c r="G22" s="3">
        <v>1.4</v>
      </c>
    </row>
    <row r="23" spans="1:7" x14ac:dyDescent="0.3">
      <c r="A23" s="3" t="s">
        <v>47</v>
      </c>
      <c r="B23" s="3" t="s">
        <v>48</v>
      </c>
      <c r="C23">
        <v>170</v>
      </c>
      <c r="D23">
        <v>180</v>
      </c>
      <c r="E23" s="3">
        <v>2500</v>
      </c>
      <c r="F23" s="3">
        <v>9.5</v>
      </c>
      <c r="G23" s="3">
        <v>1.1000000000000001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35</v>
      </c>
      <c r="D1" s="1" t="s">
        <v>44</v>
      </c>
      <c r="E1" s="1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46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27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34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2026-07-16T01:59:11Z</dcterms:modified>
</cp:coreProperties>
</file>