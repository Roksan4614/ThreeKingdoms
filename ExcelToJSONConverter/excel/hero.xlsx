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53CDD419-C0A7-486F-AD25-2B5852DDAA71}" xr6:coauthVersionLast="47" xr6:coauthVersionMax="47" xr10:uidLastSave="{00000000-0000-0000-0000-000000000000}"/>
  <bookViews>
    <workbookView xWindow="-28920" yWindow="1395" windowWidth="29040" windowHeight="16440" activeTab="3" xr2:uid="{00000000-000D-0000-FFFF-FFFF00000000}"/>
  </bookViews>
  <sheets>
    <sheet name="Overview" sheetId="1" r:id="rId1"/>
    <sheet name="HeroData" sheetId="3" r:id="rId2"/>
    <sheet name="HeroStatData" sheetId="5" r:id="rId3"/>
    <sheet name="EnemyStatData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9" i="3" l="1"/>
  <c r="D9" i="3"/>
  <c r="F8" i="3"/>
  <c r="F7" i="3"/>
  <c r="F6" i="3"/>
  <c r="F5" i="3"/>
  <c r="F4" i="3"/>
  <c r="D8" i="3"/>
  <c r="D7" i="3"/>
  <c r="D6" i="3"/>
  <c r="D5" i="3"/>
  <c r="D4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C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돋움"/>
            <family val="3"/>
            <charset val="129"/>
          </rPr>
          <t xml:space="preserve">지휘관
</t>
        </r>
        <r>
          <rPr>
            <sz val="9"/>
            <color indexed="81"/>
            <rFont val="Tahoma"/>
            <family val="2"/>
          </rPr>
          <t xml:space="preserve">1 </t>
        </r>
        <r>
          <rPr>
            <sz val="9"/>
            <color indexed="81"/>
            <rFont val="돋움"/>
            <family val="3"/>
            <charset val="129"/>
          </rPr>
          <t xml:space="preserve">용장
</t>
        </r>
        <r>
          <rPr>
            <sz val="9"/>
            <color indexed="81"/>
            <rFont val="Tahoma"/>
            <family val="2"/>
          </rPr>
          <t xml:space="preserve">2 </t>
        </r>
        <r>
          <rPr>
            <sz val="9"/>
            <color indexed="81"/>
            <rFont val="돋움"/>
            <family val="3"/>
            <charset val="129"/>
          </rPr>
          <t xml:space="preserve">선봉장
</t>
        </r>
        <r>
          <rPr>
            <sz val="9"/>
            <color indexed="81"/>
            <rFont val="Tahoma"/>
            <family val="2"/>
          </rPr>
          <t xml:space="preserve">3 </t>
        </r>
        <r>
          <rPr>
            <sz val="9"/>
            <color indexed="81"/>
            <rFont val="돋움"/>
            <family val="3"/>
            <charset val="129"/>
          </rPr>
          <t xml:space="preserve">추격자
</t>
        </r>
        <r>
          <rPr>
            <sz val="9"/>
            <color indexed="81"/>
            <rFont val="Tahoma"/>
            <family val="2"/>
          </rPr>
          <t xml:space="preserve">4 </t>
        </r>
        <r>
          <rPr>
            <sz val="9"/>
            <color indexed="81"/>
            <rFont val="돋움"/>
            <family val="3"/>
            <charset val="129"/>
          </rPr>
          <t xml:space="preserve">궁장
</t>
        </r>
        <r>
          <rPr>
            <sz val="9"/>
            <color indexed="81"/>
            <rFont val="Tahoma"/>
            <family val="2"/>
          </rPr>
          <t xml:space="preserve">5 </t>
        </r>
        <r>
          <rPr>
            <sz val="9"/>
            <color indexed="81"/>
            <rFont val="돋움"/>
            <family val="3"/>
            <charset val="129"/>
          </rPr>
          <t>책사</t>
        </r>
      </text>
    </comment>
  </commentList>
</comments>
</file>

<file path=xl/sharedStrings.xml><?xml version="1.0" encoding="utf-8"?>
<sst xmlns="http://schemas.openxmlformats.org/spreadsheetml/2006/main" count="110" uniqueCount="52">
  <si>
    <t>string</t>
    <phoneticPr fontId="1" type="noConversion"/>
  </si>
  <si>
    <t>key</t>
    <phoneticPr fontId="1" type="noConversion"/>
  </si>
  <si>
    <t>#설명</t>
    <phoneticPr fontId="1" type="noConversion"/>
  </si>
  <si>
    <t>LiuBei</t>
    <phoneticPr fontId="1" type="noConversion"/>
  </si>
  <si>
    <t>GuanYu</t>
    <phoneticPr fontId="1" type="noConversion"/>
  </si>
  <si>
    <t>ZhangFei</t>
    <phoneticPr fontId="1" type="noConversion"/>
  </si>
  <si>
    <t>ZhaYun</t>
    <phoneticPr fontId="1" type="noConversion"/>
  </si>
  <si>
    <t>ZhugeLiang</t>
    <phoneticPr fontId="1" type="noConversion"/>
  </si>
  <si>
    <t>classType</t>
    <phoneticPr fontId="1" type="noConversion"/>
  </si>
  <si>
    <t>int</t>
    <phoneticPr fontId="1" type="noConversion"/>
  </si>
  <si>
    <t>ClassType</t>
    <phoneticPr fontId="1" type="noConversion"/>
  </si>
  <si>
    <t>지휘관</t>
    <phoneticPr fontId="1" type="noConversion"/>
  </si>
  <si>
    <t>용장</t>
    <phoneticPr fontId="1" type="noConversion"/>
  </si>
  <si>
    <t>선봉장</t>
    <phoneticPr fontId="1" type="noConversion"/>
  </si>
  <si>
    <t>추격자</t>
    <phoneticPr fontId="1" type="noConversion"/>
  </si>
  <si>
    <t>궁장</t>
    <phoneticPr fontId="1" type="noConversion"/>
  </si>
  <si>
    <t>책사</t>
    <phoneticPr fontId="1" type="noConversion"/>
  </si>
  <si>
    <t>유비</t>
    <phoneticPr fontId="1" type="noConversion"/>
  </si>
  <si>
    <t>관우</t>
    <phoneticPr fontId="1" type="noConversion"/>
  </si>
  <si>
    <t>장비</t>
    <phoneticPr fontId="1" type="noConversion"/>
  </si>
  <si>
    <t>조운</t>
    <phoneticPr fontId="1" type="noConversion"/>
  </si>
  <si>
    <t>제갈량</t>
    <phoneticPr fontId="1" type="noConversion"/>
  </si>
  <si>
    <t>regionType</t>
    <phoneticPr fontId="1" type="noConversion"/>
  </si>
  <si>
    <t>int</t>
    <phoneticPr fontId="1" type="noConversion"/>
  </si>
  <si>
    <t>RegionType</t>
    <phoneticPr fontId="1" type="noConversion"/>
  </si>
  <si>
    <t>위</t>
    <phoneticPr fontId="1" type="noConversion"/>
  </si>
  <si>
    <t>촉</t>
    <phoneticPr fontId="1" type="noConversion"/>
  </si>
  <si>
    <t>오</t>
    <phoneticPr fontId="1" type="noConversion"/>
  </si>
  <si>
    <t>BASE</t>
    <phoneticPr fontId="1" type="noConversion"/>
  </si>
  <si>
    <t>_</t>
    <phoneticPr fontId="1" type="noConversion"/>
  </si>
  <si>
    <t>int</t>
    <phoneticPr fontId="1" type="noConversion"/>
  </si>
  <si>
    <t>LEA</t>
    <phoneticPr fontId="1" type="noConversion"/>
  </si>
  <si>
    <t>INT</t>
    <phoneticPr fontId="1" type="noConversion"/>
  </si>
  <si>
    <t>POL</t>
    <phoneticPr fontId="1" type="noConversion"/>
  </si>
  <si>
    <t>CHA</t>
    <phoneticPr fontId="1" type="noConversion"/>
  </si>
  <si>
    <t>Enemy</t>
    <phoneticPr fontId="1" type="noConversion"/>
  </si>
  <si>
    <t>attack_power</t>
    <phoneticPr fontId="1" type="noConversion"/>
  </si>
  <si>
    <t>health_max</t>
    <phoneticPr fontId="1" type="noConversion"/>
  </si>
  <si>
    <t>move_speed</t>
    <phoneticPr fontId="1" type="noConversion"/>
  </si>
  <si>
    <t>attack_speed</t>
    <phoneticPr fontId="1" type="noConversion"/>
  </si>
  <si>
    <t>critical_rate</t>
    <phoneticPr fontId="1" type="noConversion"/>
  </si>
  <si>
    <t>critical_damage</t>
    <phoneticPr fontId="1" type="noConversion"/>
  </si>
  <si>
    <t>life_steal</t>
    <phoneticPr fontId="1" type="noConversion"/>
  </si>
  <si>
    <t>percent_start_cooldown</t>
    <phoneticPr fontId="1" type="noConversion"/>
  </si>
  <si>
    <t>skill_cooltime</t>
    <phoneticPr fontId="1" type="noConversion"/>
  </si>
  <si>
    <t>defence</t>
    <phoneticPr fontId="1" type="noConversion"/>
  </si>
  <si>
    <t>STR</t>
    <phoneticPr fontId="1" type="noConversion"/>
  </si>
  <si>
    <t>cooldown_rate</t>
    <phoneticPr fontId="1" type="noConversion"/>
  </si>
  <si>
    <t>여포</t>
    <phoneticPr fontId="1" type="noConversion"/>
  </si>
  <si>
    <t>LuBu</t>
    <phoneticPr fontId="1" type="noConversion"/>
  </si>
  <si>
    <t>is_lock</t>
    <phoneticPr fontId="1" type="noConversion"/>
  </si>
  <si>
    <t>군웅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</si>
</sst>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6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2" borderId="1" xfId="0" applyFont="1" applyFill="1" applyBorder="1">
      <alignment vertical="center"/>
    </xf>
    <xf numFmtId="0" fontId="2" fillId="2" borderId="1" xfId="0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2" fillId="2" borderId="2" xfId="0" applyFont="1" applyFill="1" applyBorder="1">
      <alignment vertical="center"/>
    </xf>
    <xf numFmtId="0" fontId="2" fillId="2" borderId="2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/>
    </xf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workbookViewId="0">
      <selection activeCell="E6" sqref="E6"/>
    </sheetView>
  </sheetViews>
  <sheetFormatPr defaultRowHeight="16.5" x14ac:dyDescent="0.3"/>
  <sheetData>
    <row r="1" spans="1:5" x14ac:dyDescent="0.3">
      <c r="A1" t="s">
        <v>10</v>
      </c>
      <c r="D1" t="s">
        <v>24</v>
      </c>
    </row>
    <row r="2" spans="1:5" x14ac:dyDescent="0.3">
      <c r="A2">
        <v>0</v>
      </c>
      <c r="B2" t="s">
        <v>11</v>
      </c>
      <c r="D2">
        <v>0</v>
      </c>
      <c r="E2" t="s">
        <v>25</v>
      </c>
    </row>
    <row r="3" spans="1:5" x14ac:dyDescent="0.3">
      <c r="A3">
        <v>1</v>
      </c>
      <c r="B3" t="s">
        <v>12</v>
      </c>
      <c r="D3">
        <v>1</v>
      </c>
      <c r="E3" t="s">
        <v>26</v>
      </c>
    </row>
    <row r="4" spans="1:5" x14ac:dyDescent="0.3">
      <c r="A4">
        <v>2</v>
      </c>
      <c r="B4" t="s">
        <v>13</v>
      </c>
      <c r="D4">
        <v>2</v>
      </c>
      <c r="E4" t="s">
        <v>27</v>
      </c>
    </row>
    <row r="5" spans="1:5" x14ac:dyDescent="0.3">
      <c r="A5">
        <v>3</v>
      </c>
      <c r="B5" t="s">
        <v>14</v>
      </c>
      <c r="D5">
        <v>3</v>
      </c>
      <c r="E5" t="s">
        <v>51</v>
      </c>
    </row>
    <row r="6" spans="1:5" x14ac:dyDescent="0.3">
      <c r="A6">
        <v>4</v>
      </c>
      <c r="B6" t="s">
        <v>15</v>
      </c>
    </row>
    <row r="7" spans="1:5" x14ac:dyDescent="0.3">
      <c r="A7">
        <v>5</v>
      </c>
      <c r="B7" t="s">
        <v>16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9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I21" sqref="I21"/>
    </sheetView>
  </sheetViews>
  <sheetFormatPr defaultRowHeight="16.5" x14ac:dyDescent="0.3"/>
  <cols>
    <col min="1" max="1" width="6.625" bestFit="1" customWidth="1"/>
    <col min="2" max="2" width="11" bestFit="1" customWidth="1"/>
    <col min="3" max="3" width="9.625" style="3" bestFit="1" customWidth="1"/>
    <col min="4" max="4" width="6.625" style="3" bestFit="1" customWidth="1"/>
    <col min="5" max="5" width="11.375" style="3" bestFit="1" customWidth="1"/>
    <col min="6" max="11" width="6.625" style="3" customWidth="1"/>
    <col min="12" max="12" width="23.875" bestFit="1" customWidth="1"/>
    <col min="13" max="13" width="13.875" bestFit="1" customWidth="1"/>
  </cols>
  <sheetData>
    <row r="1" spans="1:14" s="7" customFormat="1" x14ac:dyDescent="0.3">
      <c r="A1" s="6" t="s">
        <v>2</v>
      </c>
      <c r="B1" s="6" t="s">
        <v>1</v>
      </c>
      <c r="C1" s="6" t="s">
        <v>8</v>
      </c>
      <c r="D1" s="6" t="s">
        <v>2</v>
      </c>
      <c r="E1" s="6" t="s">
        <v>22</v>
      </c>
      <c r="F1" s="6" t="s">
        <v>2</v>
      </c>
      <c r="G1" s="6" t="s">
        <v>31</v>
      </c>
      <c r="H1" s="6" t="s">
        <v>46</v>
      </c>
      <c r="I1" s="6" t="s">
        <v>32</v>
      </c>
      <c r="J1" s="6" t="s">
        <v>33</v>
      </c>
      <c r="K1" s="6" t="s">
        <v>34</v>
      </c>
      <c r="L1" s="6" t="s">
        <v>43</v>
      </c>
      <c r="M1" s="6" t="s">
        <v>44</v>
      </c>
      <c r="N1" s="6" t="s">
        <v>50</v>
      </c>
    </row>
    <row r="2" spans="1:14" x14ac:dyDescent="0.3">
      <c r="A2" s="1"/>
      <c r="B2" s="1" t="s">
        <v>0</v>
      </c>
      <c r="C2" s="2" t="s">
        <v>9</v>
      </c>
      <c r="D2" s="2" t="s">
        <v>0</v>
      </c>
      <c r="E2" s="2" t="s">
        <v>23</v>
      </c>
      <c r="F2" s="2" t="s">
        <v>0</v>
      </c>
      <c r="G2" s="2" t="s">
        <v>30</v>
      </c>
      <c r="H2" s="2" t="s">
        <v>30</v>
      </c>
      <c r="I2" s="2" t="s">
        <v>30</v>
      </c>
      <c r="J2" s="2" t="s">
        <v>30</v>
      </c>
      <c r="K2" s="2" t="s">
        <v>30</v>
      </c>
      <c r="L2" s="6" t="s">
        <v>0</v>
      </c>
      <c r="M2" s="6" t="s">
        <v>0</v>
      </c>
      <c r="N2" s="6" t="s">
        <v>9</v>
      </c>
    </row>
    <row r="3" spans="1:14" x14ac:dyDescent="0.3">
      <c r="A3" t="s">
        <v>29</v>
      </c>
      <c r="B3" t="s">
        <v>28</v>
      </c>
      <c r="C3" s="3">
        <v>0</v>
      </c>
      <c r="E3" s="3">
        <v>0</v>
      </c>
      <c r="L3">
        <v>0.8</v>
      </c>
      <c r="M3">
        <v>15</v>
      </c>
    </row>
    <row r="4" spans="1:14" x14ac:dyDescent="0.3">
      <c r="A4" s="3" t="s">
        <v>17</v>
      </c>
      <c r="B4" s="3" t="s">
        <v>3</v>
      </c>
      <c r="C4" s="3">
        <v>0</v>
      </c>
      <c r="D4" s="3" t="str">
        <f>VLOOKUP(C4,Overview!A$2:B$7,2)</f>
        <v>지휘관</v>
      </c>
      <c r="E4" s="3">
        <v>1</v>
      </c>
      <c r="F4" s="3" t="str">
        <f>VLOOKUP(E4,Overview!D$2:E$7,2)</f>
        <v>촉</v>
      </c>
      <c r="G4" s="3">
        <v>80</v>
      </c>
      <c r="H4" s="3">
        <v>77</v>
      </c>
      <c r="I4" s="3">
        <v>78</v>
      </c>
      <c r="J4" s="3">
        <v>80</v>
      </c>
      <c r="K4" s="3">
        <v>99</v>
      </c>
    </row>
    <row r="5" spans="1:14" x14ac:dyDescent="0.3">
      <c r="A5" s="3" t="s">
        <v>18</v>
      </c>
      <c r="B5" s="3" t="s">
        <v>4</v>
      </c>
      <c r="C5" s="3">
        <v>1</v>
      </c>
      <c r="D5" s="3" t="str">
        <f>VLOOKUP(C5,Overview!A$2:B$7,2)</f>
        <v>용장</v>
      </c>
      <c r="E5" s="3">
        <v>1</v>
      </c>
      <c r="F5" s="3" t="str">
        <f>VLOOKUP(E5,Overview!D$2:E$7,2)</f>
        <v>촉</v>
      </c>
      <c r="G5" s="3">
        <v>96</v>
      </c>
      <c r="H5" s="3">
        <v>97</v>
      </c>
      <c r="I5" s="3">
        <v>75</v>
      </c>
      <c r="J5" s="3">
        <v>62</v>
      </c>
      <c r="K5" s="3">
        <v>93</v>
      </c>
    </row>
    <row r="6" spans="1:14" x14ac:dyDescent="0.3">
      <c r="A6" s="3" t="s">
        <v>19</v>
      </c>
      <c r="B6" s="3" t="s">
        <v>5</v>
      </c>
      <c r="C6" s="3">
        <v>2</v>
      </c>
      <c r="D6" s="3" t="str">
        <f>VLOOKUP(C6,Overview!A$2:B$7,2)</f>
        <v>선봉장</v>
      </c>
      <c r="E6" s="3">
        <v>1</v>
      </c>
      <c r="F6" s="3" t="str">
        <f>VLOOKUP(E6,Overview!D$2:E$7,2)</f>
        <v>촉</v>
      </c>
      <c r="G6" s="3">
        <v>86</v>
      </c>
      <c r="H6" s="3">
        <v>98</v>
      </c>
      <c r="I6" s="3">
        <v>33</v>
      </c>
      <c r="J6" s="3">
        <v>22</v>
      </c>
      <c r="K6" s="3">
        <v>45</v>
      </c>
    </row>
    <row r="7" spans="1:14" x14ac:dyDescent="0.3">
      <c r="A7" s="3" t="s">
        <v>20</v>
      </c>
      <c r="B7" s="3" t="s">
        <v>6</v>
      </c>
      <c r="C7" s="3">
        <v>3</v>
      </c>
      <c r="D7" s="3" t="str">
        <f>VLOOKUP(C7,Overview!A$2:B$7,2)</f>
        <v>추격자</v>
      </c>
      <c r="E7" s="3">
        <v>1</v>
      </c>
      <c r="F7" s="3" t="str">
        <f>VLOOKUP(E7,Overview!D$2:E$7,2)</f>
        <v>촉</v>
      </c>
      <c r="G7" s="3">
        <v>91</v>
      </c>
      <c r="H7" s="3">
        <v>96</v>
      </c>
      <c r="I7" s="3">
        <v>76</v>
      </c>
      <c r="J7" s="3">
        <v>65</v>
      </c>
      <c r="K7" s="3">
        <v>81</v>
      </c>
    </row>
    <row r="8" spans="1:14" x14ac:dyDescent="0.3">
      <c r="A8" s="3" t="s">
        <v>21</v>
      </c>
      <c r="B8" s="3" t="s">
        <v>7</v>
      </c>
      <c r="C8" s="3">
        <v>5</v>
      </c>
      <c r="D8" s="3" t="str">
        <f>VLOOKUP(C8,Overview!A$2:B$7,2)</f>
        <v>책사</v>
      </c>
      <c r="E8" s="3">
        <v>1</v>
      </c>
      <c r="F8" s="3" t="str">
        <f>VLOOKUP(E8,Overview!D$2:E$7,2)</f>
        <v>촉</v>
      </c>
      <c r="G8" s="3">
        <v>93</v>
      </c>
      <c r="H8" s="3">
        <v>38</v>
      </c>
      <c r="I8" s="3">
        <v>100</v>
      </c>
      <c r="J8" s="3">
        <v>96</v>
      </c>
      <c r="K8" s="3">
        <v>92</v>
      </c>
    </row>
    <row r="9" spans="1:14" x14ac:dyDescent="0.3">
      <c r="A9" s="3" t="s">
        <v>48</v>
      </c>
      <c r="B9" s="3" t="s">
        <v>49</v>
      </c>
      <c r="C9" s="3">
        <v>2</v>
      </c>
      <c r="D9" s="3" t="str">
        <f>VLOOKUP(C9,Overview!A$2:B$7,2)</f>
        <v>선봉장</v>
      </c>
      <c r="E9" s="3">
        <v>3</v>
      </c>
      <c r="F9" s="3" t="str">
        <f>VLOOKUP(E9,Overview!D$2:E$7,2)</f>
        <v>군웅</v>
      </c>
      <c r="G9" s="3">
        <v>95</v>
      </c>
      <c r="H9" s="3">
        <v>99</v>
      </c>
      <c r="I9" s="3">
        <v>28</v>
      </c>
      <c r="J9" s="3">
        <v>17</v>
      </c>
      <c r="K9" s="3">
        <v>35</v>
      </c>
      <c r="N9" s="3">
        <v>1</v>
      </c>
    </row>
  </sheetData>
  <sortState xmlns:xlrd2="http://schemas.microsoft.com/office/spreadsheetml/2017/richdata2" ref="B3:C41">
    <sortCondition ref="B3"/>
  </sortState>
  <phoneticPr fontId="1" type="noConversion"/>
  <pageMargins left="0.7" right="0.7" top="0.75" bottom="0.75" header="0.3" footer="0.3"/>
  <pageSetup paperSize="9" orientation="portrait" horizontalDpi="200" verticalDpi="2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BFF24-DA6B-4550-930B-868CD47B73A3}">
  <dimension ref="A1:K9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9" sqref="A9:G9"/>
    </sheetView>
  </sheetViews>
  <sheetFormatPr defaultRowHeight="16.5" x14ac:dyDescent="0.3"/>
  <cols>
    <col min="1" max="1" width="7.125" bestFit="1" customWidth="1"/>
    <col min="2" max="2" width="11.75" bestFit="1" customWidth="1"/>
    <col min="3" max="3" width="13.75" bestFit="1" customWidth="1"/>
    <col min="4" max="4" width="14.375" bestFit="1" customWidth="1"/>
    <col min="5" max="5" width="11.875" bestFit="1" customWidth="1"/>
    <col min="6" max="6" width="12.75" bestFit="1" customWidth="1"/>
    <col min="7" max="7" width="13.25" bestFit="1" customWidth="1"/>
    <col min="8" max="8" width="11.875" bestFit="1" customWidth="1"/>
    <col min="9" max="9" width="15.75" bestFit="1" customWidth="1"/>
    <col min="10" max="10" width="9.375" bestFit="1" customWidth="1"/>
    <col min="11" max="11" width="19.5" bestFit="1" customWidth="1"/>
  </cols>
  <sheetData>
    <row r="1" spans="1:11" x14ac:dyDescent="0.3">
      <c r="A1" s="1" t="s">
        <v>2</v>
      </c>
      <c r="B1" s="1" t="s">
        <v>1</v>
      </c>
      <c r="C1" s="1" t="s">
        <v>36</v>
      </c>
      <c r="D1" s="1" t="s">
        <v>45</v>
      </c>
      <c r="E1" s="1" t="s">
        <v>37</v>
      </c>
      <c r="F1" s="4" t="s">
        <v>38</v>
      </c>
      <c r="G1" s="4" t="s">
        <v>39</v>
      </c>
      <c r="H1" s="4" t="s">
        <v>40</v>
      </c>
      <c r="I1" s="4" t="s">
        <v>41</v>
      </c>
      <c r="J1" s="4" t="s">
        <v>42</v>
      </c>
      <c r="K1" s="4" t="s">
        <v>47</v>
      </c>
    </row>
    <row r="2" spans="1:11" x14ac:dyDescent="0.3">
      <c r="A2" s="1"/>
      <c r="B2" s="1" t="s">
        <v>0</v>
      </c>
      <c r="C2" s="5" t="s">
        <v>0</v>
      </c>
      <c r="D2" s="5" t="s">
        <v>0</v>
      </c>
      <c r="E2" s="5" t="s">
        <v>0</v>
      </c>
      <c r="F2" s="5" t="s">
        <v>0</v>
      </c>
      <c r="G2" s="5" t="s">
        <v>0</v>
      </c>
      <c r="H2" s="5" t="s">
        <v>0</v>
      </c>
      <c r="I2" s="5" t="s">
        <v>0</v>
      </c>
      <c r="J2" s="5" t="s">
        <v>0</v>
      </c>
      <c r="K2" s="5" t="s">
        <v>0</v>
      </c>
    </row>
    <row r="3" spans="1:11" x14ac:dyDescent="0.3">
      <c r="A3" t="s">
        <v>29</v>
      </c>
      <c r="B3" t="s">
        <v>28</v>
      </c>
      <c r="C3">
        <v>100</v>
      </c>
      <c r="D3">
        <v>100</v>
      </c>
      <c r="E3" s="3">
        <v>2000</v>
      </c>
      <c r="F3" s="3">
        <v>10</v>
      </c>
      <c r="G3" s="3">
        <v>1</v>
      </c>
      <c r="H3" s="3">
        <v>0</v>
      </c>
      <c r="I3" s="3">
        <v>1.5</v>
      </c>
      <c r="J3" s="3">
        <v>0</v>
      </c>
      <c r="K3" s="3">
        <v>0</v>
      </c>
    </row>
    <row r="4" spans="1:11" x14ac:dyDescent="0.3">
      <c r="A4" s="3" t="s">
        <v>17</v>
      </c>
      <c r="B4" s="3" t="s">
        <v>3</v>
      </c>
      <c r="C4">
        <v>100</v>
      </c>
      <c r="D4">
        <v>130</v>
      </c>
      <c r="E4" s="3">
        <v>2000</v>
      </c>
    </row>
    <row r="5" spans="1:11" x14ac:dyDescent="0.3">
      <c r="A5" s="3" t="s">
        <v>18</v>
      </c>
      <c r="B5" s="3" t="s">
        <v>4</v>
      </c>
      <c r="C5">
        <v>150</v>
      </c>
      <c r="D5">
        <v>200</v>
      </c>
      <c r="E5" s="3">
        <v>3000</v>
      </c>
      <c r="F5" s="3">
        <v>9</v>
      </c>
      <c r="G5" s="3">
        <v>1.2</v>
      </c>
    </row>
    <row r="6" spans="1:11" x14ac:dyDescent="0.3">
      <c r="A6" s="3" t="s">
        <v>19</v>
      </c>
      <c r="B6" s="3" t="s">
        <v>5</v>
      </c>
      <c r="C6">
        <v>170</v>
      </c>
      <c r="D6">
        <v>180</v>
      </c>
      <c r="E6" s="3">
        <v>2800</v>
      </c>
      <c r="F6" s="3">
        <v>9.5</v>
      </c>
      <c r="G6" s="3">
        <v>1.1000000000000001</v>
      </c>
    </row>
    <row r="7" spans="1:11" x14ac:dyDescent="0.3">
      <c r="A7" s="3" t="s">
        <v>20</v>
      </c>
      <c r="B7" s="3" t="s">
        <v>6</v>
      </c>
      <c r="C7">
        <v>130</v>
      </c>
      <c r="D7">
        <v>150</v>
      </c>
      <c r="E7" s="3">
        <v>2500</v>
      </c>
      <c r="F7" s="3">
        <v>11</v>
      </c>
      <c r="G7" s="3">
        <v>0.8</v>
      </c>
    </row>
    <row r="8" spans="1:11" x14ac:dyDescent="0.3">
      <c r="A8" s="3" t="s">
        <v>21</v>
      </c>
      <c r="B8" s="3" t="s">
        <v>7</v>
      </c>
      <c r="C8">
        <v>50</v>
      </c>
      <c r="D8">
        <v>100</v>
      </c>
      <c r="E8" s="3">
        <v>1700</v>
      </c>
      <c r="F8" s="3">
        <v>8</v>
      </c>
      <c r="G8" s="3">
        <v>1.4</v>
      </c>
    </row>
    <row r="9" spans="1:11" x14ac:dyDescent="0.3">
      <c r="A9" s="3" t="s">
        <v>48</v>
      </c>
      <c r="B9" s="3" t="s">
        <v>49</v>
      </c>
      <c r="C9">
        <v>180</v>
      </c>
      <c r="D9">
        <v>170</v>
      </c>
      <c r="E9" s="3">
        <v>2700</v>
      </c>
      <c r="F9" s="3">
        <v>9.6999999999999993</v>
      </c>
      <c r="G9" s="3">
        <v>1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8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6.5" x14ac:dyDescent="0.3"/>
  <cols>
    <col min="2" max="2" width="7.125" bestFit="1" customWidth="1"/>
    <col min="3" max="3" width="13.75" bestFit="1" customWidth="1"/>
    <col min="4" max="4" width="14.375" bestFit="1" customWidth="1"/>
    <col min="5" max="5" width="11.875" bestFit="1" customWidth="1"/>
    <col min="6" max="6" width="12.75" bestFit="1" customWidth="1"/>
    <col min="7" max="7" width="13.25" bestFit="1" customWidth="1"/>
    <col min="8" max="8" width="11.875" bestFit="1" customWidth="1"/>
    <col min="9" max="9" width="15.75" bestFit="1" customWidth="1"/>
    <col min="10" max="10" width="9.375" bestFit="1" customWidth="1"/>
    <col min="11" max="11" width="19.5" bestFit="1" customWidth="1"/>
  </cols>
  <sheetData>
    <row r="1" spans="2:11" x14ac:dyDescent="0.3">
      <c r="B1" s="1" t="s">
        <v>1</v>
      </c>
      <c r="C1" s="1" t="s">
        <v>36</v>
      </c>
      <c r="D1" s="1" t="s">
        <v>45</v>
      </c>
      <c r="E1" s="1" t="s">
        <v>37</v>
      </c>
      <c r="F1" s="4" t="s">
        <v>38</v>
      </c>
      <c r="G1" s="4" t="s">
        <v>39</v>
      </c>
      <c r="H1" s="4" t="s">
        <v>40</v>
      </c>
      <c r="I1" s="4" t="s">
        <v>41</v>
      </c>
      <c r="J1" s="4" t="s">
        <v>42</v>
      </c>
      <c r="K1" s="4" t="s">
        <v>47</v>
      </c>
    </row>
    <row r="2" spans="2:11" x14ac:dyDescent="0.3">
      <c r="B2" s="1" t="s">
        <v>0</v>
      </c>
      <c r="C2" s="2" t="s">
        <v>0</v>
      </c>
      <c r="D2" s="2" t="s">
        <v>0</v>
      </c>
      <c r="E2" s="2" t="s">
        <v>0</v>
      </c>
      <c r="F2" s="5" t="s">
        <v>0</v>
      </c>
      <c r="G2" s="5" t="s">
        <v>0</v>
      </c>
      <c r="H2" s="5" t="s">
        <v>0</v>
      </c>
      <c r="I2" s="5" t="s">
        <v>0</v>
      </c>
      <c r="J2" s="5" t="s">
        <v>0</v>
      </c>
      <c r="K2" s="5" t="s">
        <v>0</v>
      </c>
    </row>
    <row r="3" spans="2:11" x14ac:dyDescent="0.3">
      <c r="B3" t="s">
        <v>28</v>
      </c>
      <c r="C3">
        <v>50</v>
      </c>
      <c r="D3">
        <v>100</v>
      </c>
      <c r="E3" s="3">
        <v>1000</v>
      </c>
      <c r="F3" s="3">
        <v>9</v>
      </c>
      <c r="G3" s="3">
        <v>1.5</v>
      </c>
      <c r="H3" s="3">
        <v>0</v>
      </c>
      <c r="I3" s="3">
        <v>1.5</v>
      </c>
      <c r="J3" s="3">
        <v>0</v>
      </c>
      <c r="K3" s="3">
        <v>0</v>
      </c>
    </row>
    <row r="4" spans="2:11" x14ac:dyDescent="0.3">
      <c r="B4" s="3" t="s">
        <v>35</v>
      </c>
      <c r="C4">
        <v>50</v>
      </c>
      <c r="D4">
        <v>100</v>
      </c>
      <c r="E4" s="3">
        <v>1000</v>
      </c>
      <c r="F4" s="3"/>
      <c r="G4" s="3"/>
    </row>
    <row r="5" spans="2:11" x14ac:dyDescent="0.3">
      <c r="B5" s="3"/>
      <c r="E5" s="3"/>
      <c r="F5" s="3"/>
      <c r="G5" s="3"/>
    </row>
    <row r="6" spans="2:11" x14ac:dyDescent="0.3">
      <c r="B6" s="3"/>
      <c r="E6" s="3"/>
      <c r="F6" s="3"/>
      <c r="G6" s="3"/>
    </row>
    <row r="7" spans="2:11" x14ac:dyDescent="0.3">
      <c r="B7" s="3"/>
      <c r="E7" s="3"/>
      <c r="F7" s="3"/>
      <c r="G7" s="3"/>
    </row>
    <row r="8" spans="2:11" x14ac:dyDescent="0.3">
      <c r="B8" s="3"/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Overview</vt:lpstr>
      <vt:lpstr>HeroData</vt:lpstr>
      <vt:lpstr>HeroStatData</vt:lpstr>
      <vt:lpstr>EnemyStatData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2006-09-13T11:19:49Z</dcterms:created>
  <dcterms:modified xsi:type="dcterms:W3CDTF">2026-07-07T08:53:34Z</dcterms:modified>
</cp:coreProperties>
</file>