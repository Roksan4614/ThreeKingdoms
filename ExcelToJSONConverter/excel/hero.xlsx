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60" windowWidth="16550" windowHeight="7950" activeTab="1"/>
  </bookViews>
  <sheets>
    <sheet name="Overview" sheetId="1" r:id="rId1"/>
    <sheet name="HeroData" sheetId="3" r:id="rId2"/>
  </sheets>
  <calcPr calcId="124519"/>
</workbook>
</file>

<file path=xl/calcChain.xml><?xml version="1.0" encoding="utf-8"?>
<calcChain xmlns="http://schemas.openxmlformats.org/spreadsheetml/2006/main">
  <c r="F8" i="3"/>
  <c r="F7"/>
  <c r="F6"/>
  <c r="F5"/>
  <c r="F4"/>
  <c r="D8"/>
  <c r="D7"/>
  <c r="D6"/>
  <c r="D5"/>
  <c r="D4"/>
</calcChain>
</file>

<file path=xl/comments1.xml><?xml version="1.0" encoding="utf-8"?>
<comments xmlns="http://schemas.openxmlformats.org/spreadsheetml/2006/main">
  <authors>
    <author>만든 이</author>
  </authors>
  <commentList>
    <comment ref="C1" authorId="0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<sst xmlns="http://schemas.openxmlformats.org/spreadsheetml/2006/main" count="63" uniqueCount="48">
  <si>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</si>
  <si>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</si>
  <si>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</si>
  <si>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</si>
  <si>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</si>
  <si>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</si>
  <si>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ZhaYun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</si>
  <si>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</si>
  <si>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</si>
  <si>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</si>
  <si>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</si>
  <si>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</si>
  <si>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</si>
  <si>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</si>
  <si>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</si>
  <si>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</si>
  <si>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</si>
  <si>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attackPower</t>
    <phoneticPr fontId="1" type="noConversion"/>
  </si>
  <si>
    <t>int</t>
    <phoneticPr fontId="1" type="noConversion"/>
  </si>
  <si>
    <t>healthMax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</si>
  <si>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</si>
  <si>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</si>
  <si>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</si>
  <si>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</si>
  <si>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</si>
  <si>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attackSpeed</t>
    <phoneticPr fontId="1" type="noConversion"/>
  </si>
  <si>
    <t>string</t>
    <phoneticPr fontId="1" type="noConversion"/>
  </si>
  <si>
    <t>percent_startCooltime</t>
    <phoneticPr fontId="1" type="noConversion"/>
  </si>
  <si>
    <t>criticalRate</t>
    <phoneticPr fontId="1" type="noConversion"/>
  </si>
  <si>
    <t>criticalDamage</t>
    <phoneticPr fontId="1" type="noConversion"/>
  </si>
  <si>
    <t>lifeSteal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</si>
  <si>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</si>
  <si>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</si>
  <si>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</si>
  <si>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</si>
  <si>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</si>
  <si>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</si>
  <si>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</si>
  <si>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moveSpeed</t>
    <phoneticPr fontId="1" type="noConversion"/>
  </si>
  <si>
    <t>BASE</t>
    <phoneticPr fontId="1" type="noConversion"/>
  </si>
  <si>
    <t>_</t>
    <phoneticPr fontId="1" type="noConversion"/>
  </si>
  <si>
    <t>skillCooltime</t>
    <phoneticPr fontId="1" type="noConversion"/>
  </si>
  <si>
    <t>int</t>
    <phoneticPr fontId="1" type="noConversion"/>
  </si>
  <si>
    <t>LEA</t>
    <phoneticPr fontId="1" type="noConversion"/>
  </si>
  <si>
    <t>POW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</si>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</sst>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"/>
  <sheetViews>
    <sheetView workbookViewId="0">
      <selection activeCell="C6" sqref="C6"/>
    </sheetView>
  </sheetViews>
  <sheetFormatPr defaultRowHeight="17"/>
  <sheetData>
    <row r="1" spans="1:5">
      <c r="A1" t="s">
        <v>10</v>
      </c>
      <c r="D1" t="s">
        <v>33</v>
      </c>
    </row>
    <row r="2" spans="1:5">
      <c r="A2">
        <v>0</v>
      </c>
      <c r="B2" t="s">
        <v>11</v>
      </c>
      <c r="D2">
        <v>0</v>
      </c>
      <c r="E2" t="s">
        <v>34</v>
      </c>
    </row>
    <row r="3" spans="1:5">
      <c r="A3">
        <v>1</v>
      </c>
      <c r="B3" t="s">
        <v>12</v>
      </c>
      <c r="D3">
        <v>1</v>
      </c>
      <c r="E3" t="s">
        <v>35</v>
      </c>
    </row>
    <row r="4" spans="1:5">
      <c r="A4">
        <v>2</v>
      </c>
      <c r="B4" t="s">
        <v>13</v>
      </c>
      <c r="D4">
        <v>2</v>
      </c>
      <c r="E4" t="s">
        <v>36</v>
      </c>
    </row>
    <row r="5" spans="1:5">
      <c r="A5">
        <v>3</v>
      </c>
      <c r="B5" t="s">
        <v>14</v>
      </c>
      <c r="D5">
        <v>3</v>
      </c>
      <c r="E5" t="s">
        <v>37</v>
      </c>
    </row>
    <row r="6" spans="1:5">
      <c r="A6">
        <v>4</v>
      </c>
      <c r="B6" t="s">
        <v>15</v>
      </c>
    </row>
    <row r="7" spans="1:5">
      <c r="A7">
        <v>5</v>
      </c>
      <c r="B7" t="s"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T8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8" sqref="A8"/>
    </sheetView>
  </sheetViews>
  <sheetFormatPr defaultRowHeight="17"/>
  <cols>
    <col min="1" max="1" width="11" bestFit="1" customWidth="1"/>
    <col min="2" max="2" width="6.6640625" bestFit="1" customWidth="1"/>
    <col min="3" max="3" width="9.6640625" style="3" bestFit="1" customWidth="1"/>
    <col min="4" max="4" width="6.6640625" style="3" bestFit="1" customWidth="1"/>
    <col min="5" max="5" width="11.33203125" style="3" bestFit="1" customWidth="1"/>
    <col min="6" max="6" width="6.6640625" style="3" customWidth="1"/>
    <col min="7" max="7" width="12.25" bestFit="1" customWidth="1"/>
    <col min="8" max="8" width="10.4140625" bestFit="1" customWidth="1"/>
    <col min="9" max="9" width="11.4140625" bestFit="1" customWidth="1"/>
    <col min="10" max="10" width="12.08203125" bestFit="1" customWidth="1"/>
    <col min="11" max="11" width="11" bestFit="1" customWidth="1"/>
    <col min="12" max="12" width="14.58203125" bestFit="1" customWidth="1"/>
    <col min="13" max="13" width="8.1640625" bestFit="1" customWidth="1"/>
    <col min="14" max="14" width="21.1640625" bestFit="1" customWidth="1"/>
    <col min="15" max="15" width="12.6640625" bestFit="1" customWidth="1"/>
    <col min="16" max="20" width="6.6640625" style="3" customWidth="1"/>
  </cols>
  <sheetData>
    <row r="1" spans="1:20">
      <c r="A1" s="1" t="s">
        <v>1</v>
      </c>
      <c r="B1" s="1" t="s">
        <v>2</v>
      </c>
      <c r="C1" s="2" t="s">
        <v>8</v>
      </c>
      <c r="D1" s="1" t="s">
        <v>2</v>
      </c>
      <c r="E1" s="1" t="s">
        <v>31</v>
      </c>
      <c r="F1" s="1" t="s">
        <v>2</v>
      </c>
      <c r="G1" s="1" t="s">
        <v>17</v>
      </c>
      <c r="H1" s="1" t="s">
        <v>19</v>
      </c>
      <c r="I1" s="4" t="s">
        <v>38</v>
      </c>
      <c r="J1" s="4" t="s">
        <v>25</v>
      </c>
      <c r="K1" s="4" t="s">
        <v>28</v>
      </c>
      <c r="L1" s="4" t="s">
        <v>29</v>
      </c>
      <c r="M1" s="4" t="s">
        <v>30</v>
      </c>
      <c r="N1" s="4" t="s">
        <v>27</v>
      </c>
      <c r="O1" s="4" t="s">
        <v>41</v>
      </c>
      <c r="P1" s="1" t="s">
        <v>43</v>
      </c>
      <c r="Q1" s="1" t="s">
        <v>44</v>
      </c>
      <c r="R1" s="1" t="s">
        <v>45</v>
      </c>
      <c r="S1" s="1" t="s">
        <v>46</v>
      </c>
      <c r="T1" s="1" t="s">
        <v>47</v>
      </c>
    </row>
    <row r="2" spans="1:20">
      <c r="A2" s="1" t="s">
        <v>0</v>
      </c>
      <c r="B2" s="1"/>
      <c r="C2" s="2" t="s">
        <v>9</v>
      </c>
      <c r="D2" s="2" t="s">
        <v>0</v>
      </c>
      <c r="E2" s="2" t="s">
        <v>32</v>
      </c>
      <c r="F2" s="2" t="s">
        <v>0</v>
      </c>
      <c r="G2" s="2" t="s">
        <v>18</v>
      </c>
      <c r="H2" s="2" t="s">
        <v>18</v>
      </c>
      <c r="I2" s="5" t="s">
        <v>26</v>
      </c>
      <c r="J2" s="5" t="s">
        <v>26</v>
      </c>
      <c r="K2" s="5" t="s">
        <v>26</v>
      </c>
      <c r="L2" s="5" t="s">
        <v>26</v>
      </c>
      <c r="M2" s="5" t="s">
        <v>26</v>
      </c>
      <c r="N2" s="5" t="s">
        <v>26</v>
      </c>
      <c r="O2" s="5" t="s">
        <v>0</v>
      </c>
      <c r="P2" s="2" t="s">
        <v>42</v>
      </c>
      <c r="Q2" s="2" t="s">
        <v>42</v>
      </c>
      <c r="R2" s="2" t="s">
        <v>42</v>
      </c>
      <c r="S2" s="2" t="s">
        <v>42</v>
      </c>
      <c r="T2" s="2" t="s">
        <v>42</v>
      </c>
    </row>
    <row r="3" spans="1:20">
      <c r="A3" t="s">
        <v>39</v>
      </c>
      <c r="B3" t="s">
        <v>40</v>
      </c>
      <c r="C3" s="3">
        <v>0</v>
      </c>
      <c r="E3" s="3">
        <v>0</v>
      </c>
      <c r="G3">
        <v>100</v>
      </c>
      <c r="H3" s="3">
        <v>2000</v>
      </c>
      <c r="I3" s="3">
        <v>10</v>
      </c>
      <c r="J3" s="3">
        <v>1</v>
      </c>
      <c r="K3" s="3">
        <v>0</v>
      </c>
      <c r="L3" s="3">
        <v>1.5</v>
      </c>
      <c r="M3" s="3">
        <v>0</v>
      </c>
      <c r="N3" s="3">
        <v>1</v>
      </c>
      <c r="O3" s="3">
        <v>15</v>
      </c>
    </row>
    <row r="4" spans="1:20">
      <c r="A4" s="3" t="s">
        <v>3</v>
      </c>
      <c r="B4" s="3" t="s">
        <v>20</v>
      </c>
      <c r="C4" s="3">
        <v>0</v>
      </c>
      <c r="D4" s="3" t="str">
        <f>VLOOKUP(C4,Overview!A$2:B$7,2)</f>
        <v>지휘관</v>
      </c>
      <c r="E4" s="3">
        <v>1</v>
      </c>
      <c r="F4" s="3" t="str">
        <f>VLOOKUP(E4,Overview!D$2:E$7,2)</f>
        <v>촉</v>
      </c>
      <c r="G4">
        <v>100</v>
      </c>
      <c r="H4" s="3">
        <v>2000</v>
      </c>
      <c r="P4" s="3">
        <v>80</v>
      </c>
      <c r="Q4" s="3">
        <v>77</v>
      </c>
      <c r="R4" s="3">
        <v>78</v>
      </c>
      <c r="S4" s="3">
        <v>80</v>
      </c>
      <c r="T4" s="3">
        <v>99</v>
      </c>
    </row>
    <row r="5" spans="1:20">
      <c r="A5" s="3" t="s">
        <v>4</v>
      </c>
      <c r="B5" s="3" t="s">
        <v>21</v>
      </c>
      <c r="C5" s="3">
        <v>1</v>
      </c>
      <c r="D5" s="3" t="str">
        <f>VLOOKUP(C5,Overview!A$2:B$7,2)</f>
        <v>용장</v>
      </c>
      <c r="E5" s="3">
        <v>1</v>
      </c>
      <c r="F5" s="3" t="str">
        <f>VLOOKUP(E5,Overview!D$2:E$7,2)</f>
        <v>촉</v>
      </c>
      <c r="G5">
        <v>150</v>
      </c>
      <c r="H5" s="3">
        <v>3000</v>
      </c>
      <c r="I5" s="3">
        <v>9</v>
      </c>
      <c r="J5" s="3">
        <v>1.2</v>
      </c>
      <c r="P5" s="3">
        <v>96</v>
      </c>
      <c r="Q5" s="3">
        <v>97</v>
      </c>
      <c r="R5" s="3">
        <v>75</v>
      </c>
      <c r="S5" s="3">
        <v>62</v>
      </c>
      <c r="T5" s="3">
        <v>93</v>
      </c>
    </row>
    <row r="6" spans="1:20">
      <c r="A6" s="3" t="s">
        <v>5</v>
      </c>
      <c r="B6" s="3" t="s">
        <v>22</v>
      </c>
      <c r="C6" s="3">
        <v>2</v>
      </c>
      <c r="D6" s="3" t="str">
        <f>VLOOKUP(C6,Overview!A$2:B$7,2)</f>
        <v>선봉장</v>
      </c>
      <c r="E6" s="3">
        <v>1</v>
      </c>
      <c r="F6" s="3" t="str">
        <f>VLOOKUP(E6,Overview!D$2:E$7,2)</f>
        <v>촉</v>
      </c>
      <c r="G6">
        <v>170</v>
      </c>
      <c r="H6" s="3">
        <v>2800</v>
      </c>
      <c r="I6" s="3">
        <v>9.5</v>
      </c>
      <c r="J6" s="3">
        <v>1.1000000000000001</v>
      </c>
      <c r="P6" s="3">
        <v>86</v>
      </c>
      <c r="Q6" s="3">
        <v>98</v>
      </c>
      <c r="R6" s="3">
        <v>33</v>
      </c>
      <c r="S6" s="3">
        <v>22</v>
      </c>
      <c r="T6" s="3">
        <v>45</v>
      </c>
    </row>
    <row r="7" spans="1:20">
      <c r="A7" s="3" t="s">
        <v>6</v>
      </c>
      <c r="B7" s="3" t="s">
        <v>23</v>
      </c>
      <c r="C7" s="3">
        <v>3</v>
      </c>
      <c r="D7" s="3" t="str">
        <f>VLOOKUP(C7,Overview!A$2:B$7,2)</f>
        <v>추격자</v>
      </c>
      <c r="E7" s="3">
        <v>1</v>
      </c>
      <c r="F7" s="3" t="str">
        <f>VLOOKUP(E7,Overview!D$2:E$7,2)</f>
        <v>촉</v>
      </c>
      <c r="G7">
        <v>130</v>
      </c>
      <c r="H7" s="6">
        <v>2500</v>
      </c>
      <c r="I7" s="6">
        <v>11</v>
      </c>
      <c r="J7" s="6">
        <v>0.8</v>
      </c>
      <c r="P7" s="3">
        <v>91</v>
      </c>
      <c r="Q7" s="3">
        <v>96</v>
      </c>
      <c r="R7" s="3">
        <v>76</v>
      </c>
      <c r="S7" s="3">
        <v>65</v>
      </c>
      <c r="T7" s="3">
        <v>81</v>
      </c>
    </row>
    <row r="8" spans="1:20">
      <c r="A8" s="3" t="s">
        <v>7</v>
      </c>
      <c r="B8" s="3" t="s">
        <v>24</v>
      </c>
      <c r="C8" s="3">
        <v>5</v>
      </c>
      <c r="D8" s="3" t="str">
        <f>VLOOKUP(C8,Overview!A$2:B$7,2)</f>
        <v>책사</v>
      </c>
      <c r="E8" s="3">
        <v>1</v>
      </c>
      <c r="F8" s="3" t="str">
        <f>VLOOKUP(E8,Overview!D$2:E$7,2)</f>
        <v>촉</v>
      </c>
      <c r="G8">
        <v>50</v>
      </c>
      <c r="H8" s="6">
        <v>1700</v>
      </c>
      <c r="I8" s="6">
        <v>8</v>
      </c>
      <c r="J8" s="6">
        <v>1.4</v>
      </c>
      <c r="P8" s="3">
        <v>93</v>
      </c>
      <c r="Q8" s="3">
        <v>38</v>
      </c>
      <c r="R8" s="3">
        <v>100</v>
      </c>
      <c r="S8" s="3">
        <v>96</v>
      </c>
      <c r="T8" s="3">
        <v>92</v>
      </c>
    </row>
  </sheetData>
  <sortState ref="A3:C41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Overview</vt:lpstr>
      <vt:lpstr>HeroData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2026-02-19T04:10:40Z</dcterms:modified>
</cp:coreProperties>
</file>