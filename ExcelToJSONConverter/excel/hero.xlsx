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5172D63-5A71-49A1-980E-79913742E7D0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3" l="1"/>
  <c r="D9" i="3"/>
  <c r="F8" i="3"/>
  <c r="F7" i="3"/>
  <c r="F6" i="3"/>
  <c r="F5" i="3"/>
  <c r="F4" i="3"/>
  <c r="D8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<sst xmlns="http://schemas.openxmlformats.org/spreadsheetml/2006/main" count="110" uniqueCount="52">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</sst>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D8" sqref="D8"/>
    </sheetView>
  </sheetViews>
  <sheetFormatPr defaultRowHeight="16.5" x14ac:dyDescent="0.3"/>
  <sheetData>
    <row r="1" spans="1:5" x14ac:dyDescent="0.3">
      <c r="A1" t="s">
        <v>10</v>
      </c>
      <c r="D1" t="s">
        <v>24</v>
      </c>
    </row>
    <row r="2" spans="1:5" x14ac:dyDescent="0.3">
      <c r="A2">
        <v>0</v>
      </c>
      <c r="B2" t="s">
        <v>11</v>
      </c>
      <c r="D2">
        <v>0</v>
      </c>
      <c r="E2" t="s">
        <v>25</v>
      </c>
    </row>
    <row r="3" spans="1:5" x14ac:dyDescent="0.3">
      <c r="A3">
        <v>1</v>
      </c>
      <c r="B3" t="s">
        <v>12</v>
      </c>
      <c r="D3">
        <v>1</v>
      </c>
      <c r="E3" t="s">
        <v>26</v>
      </c>
    </row>
    <row r="4" spans="1:5" x14ac:dyDescent="0.3">
      <c r="A4">
        <v>2</v>
      </c>
      <c r="B4" t="s">
        <v>13</v>
      </c>
      <c r="D4">
        <v>2</v>
      </c>
      <c r="E4" t="s">
        <v>27</v>
      </c>
    </row>
    <row r="5" spans="1:5" x14ac:dyDescent="0.3">
      <c r="A5">
        <v>3</v>
      </c>
      <c r="B5" t="s">
        <v>14</v>
      </c>
      <c r="D5">
        <v>3</v>
      </c>
      <c r="E5" t="s">
        <v>28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" sqref="N2"/>
    </sheetView>
  </sheetViews>
  <sheetFormatPr defaultRowHeight="16.5" x14ac:dyDescent="0.3"/>
  <cols>
    <col min="1" max="1" width="6.625" bestFit="1" customWidth="1"/>
    <col min="2" max="2" width="11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</cols>
  <sheetData>
    <row r="1" spans="1:14" s="7" customFormat="1" x14ac:dyDescent="0.3">
      <c r="A1" s="6" t="s">
        <v>2</v>
      </c>
      <c r="B1" s="6" t="s">
        <v>1</v>
      </c>
      <c r="C1" s="6" t="s">
        <v>8</v>
      </c>
      <c r="D1" s="6" t="s">
        <v>2</v>
      </c>
      <c r="E1" s="6" t="s">
        <v>22</v>
      </c>
      <c r="F1" s="6" t="s">
        <v>2</v>
      </c>
      <c r="G1" s="6" t="s">
        <v>32</v>
      </c>
      <c r="H1" s="6" t="s">
        <v>47</v>
      </c>
      <c r="I1" s="6" t="s">
        <v>33</v>
      </c>
      <c r="J1" s="6" t="s">
        <v>34</v>
      </c>
      <c r="K1" s="6" t="s">
        <v>35</v>
      </c>
      <c r="L1" s="6" t="s">
        <v>44</v>
      </c>
      <c r="M1" s="6" t="s">
        <v>45</v>
      </c>
      <c r="N1" s="6" t="s">
        <v>51</v>
      </c>
    </row>
    <row r="2" spans="1:14" x14ac:dyDescent="0.3">
      <c r="A2" s="1"/>
      <c r="B2" s="1" t="s">
        <v>0</v>
      </c>
      <c r="C2" s="2" t="s">
        <v>9</v>
      </c>
      <c r="D2" s="2" t="s">
        <v>0</v>
      </c>
      <c r="E2" s="2" t="s">
        <v>23</v>
      </c>
      <c r="F2" s="2" t="s">
        <v>0</v>
      </c>
      <c r="G2" s="2" t="s">
        <v>31</v>
      </c>
      <c r="H2" s="2" t="s">
        <v>31</v>
      </c>
      <c r="I2" s="2" t="s">
        <v>31</v>
      </c>
      <c r="J2" s="2" t="s">
        <v>31</v>
      </c>
      <c r="K2" s="2" t="s">
        <v>31</v>
      </c>
      <c r="L2" s="6" t="s">
        <v>0</v>
      </c>
      <c r="M2" s="6" t="s">
        <v>0</v>
      </c>
      <c r="N2" s="6" t="s">
        <v>9</v>
      </c>
    </row>
    <row r="3" spans="1:14" x14ac:dyDescent="0.3">
      <c r="A3" t="s">
        <v>30</v>
      </c>
      <c r="B3" t="s">
        <v>29</v>
      </c>
      <c r="C3" s="3">
        <v>0</v>
      </c>
      <c r="E3" s="3">
        <v>0</v>
      </c>
      <c r="L3">
        <v>0.8</v>
      </c>
      <c r="M3">
        <v>15</v>
      </c>
    </row>
    <row r="4" spans="1:14" x14ac:dyDescent="0.3">
      <c r="A4" s="3" t="s">
        <v>17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 s="3">
        <v>80</v>
      </c>
      <c r="H4" s="3">
        <v>77</v>
      </c>
      <c r="I4" s="3">
        <v>78</v>
      </c>
      <c r="J4" s="3">
        <v>80</v>
      </c>
      <c r="K4" s="3">
        <v>99</v>
      </c>
    </row>
    <row r="5" spans="1:14" x14ac:dyDescent="0.3">
      <c r="A5" s="3" t="s">
        <v>18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 s="3">
        <v>96</v>
      </c>
      <c r="H5" s="3">
        <v>97</v>
      </c>
      <c r="I5" s="3">
        <v>75</v>
      </c>
      <c r="J5" s="3">
        <v>62</v>
      </c>
      <c r="K5" s="3">
        <v>93</v>
      </c>
    </row>
    <row r="6" spans="1:14" x14ac:dyDescent="0.3">
      <c r="A6" s="3" t="s">
        <v>19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 s="3">
        <v>86</v>
      </c>
      <c r="H6" s="3">
        <v>98</v>
      </c>
      <c r="I6" s="3">
        <v>33</v>
      </c>
      <c r="J6" s="3">
        <v>22</v>
      </c>
      <c r="K6" s="3">
        <v>45</v>
      </c>
    </row>
    <row r="7" spans="1:14" x14ac:dyDescent="0.3">
      <c r="A7" s="3" t="s">
        <v>20</v>
      </c>
      <c r="B7" s="3" t="s">
        <v>6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 s="3">
        <v>91</v>
      </c>
      <c r="H7" s="3">
        <v>96</v>
      </c>
      <c r="I7" s="3">
        <v>76</v>
      </c>
      <c r="J7" s="3">
        <v>65</v>
      </c>
      <c r="K7" s="3">
        <v>81</v>
      </c>
    </row>
    <row r="8" spans="1:14" x14ac:dyDescent="0.3">
      <c r="A8" s="3" t="s">
        <v>21</v>
      </c>
      <c r="B8" s="3" t="s">
        <v>7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 s="3">
        <v>93</v>
      </c>
      <c r="H8" s="3">
        <v>38</v>
      </c>
      <c r="I8" s="3">
        <v>100</v>
      </c>
      <c r="J8" s="3">
        <v>96</v>
      </c>
      <c r="K8" s="3">
        <v>92</v>
      </c>
    </row>
    <row r="9" spans="1:14" x14ac:dyDescent="0.3">
      <c r="A9" s="3" t="s">
        <v>49</v>
      </c>
      <c r="B9" s="3" t="s">
        <v>50</v>
      </c>
      <c r="C9" s="3">
        <v>2</v>
      </c>
      <c r="D9" s="3" t="str">
        <f>VLOOKUP(C9,Overview!A$2:B$7,2)</f>
        <v>선봉장</v>
      </c>
      <c r="E9" s="3">
        <v>3</v>
      </c>
      <c r="F9" s="3" t="str">
        <f>VLOOKUP(E9,Overview!D$2:E$7,2)</f>
        <v>중립</v>
      </c>
      <c r="G9" s="3">
        <v>95</v>
      </c>
      <c r="H9" s="3">
        <v>99</v>
      </c>
      <c r="I9" s="3">
        <v>28</v>
      </c>
      <c r="J9" s="3">
        <v>17</v>
      </c>
      <c r="K9" s="3">
        <v>35</v>
      </c>
      <c r="N9" s="3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9" sqref="A9:G9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37</v>
      </c>
      <c r="D1" s="1" t="s">
        <v>46</v>
      </c>
      <c r="E1" s="1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48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30</v>
      </c>
      <c r="B3" t="s">
        <v>29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17</v>
      </c>
      <c r="B4" s="3" t="s">
        <v>3</v>
      </c>
      <c r="C4">
        <v>100</v>
      </c>
      <c r="D4">
        <v>130</v>
      </c>
      <c r="E4" s="3">
        <v>2000</v>
      </c>
    </row>
    <row r="5" spans="1:11" x14ac:dyDescent="0.3">
      <c r="A5" s="3" t="s">
        <v>18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19</v>
      </c>
      <c r="B6" s="3" t="s">
        <v>5</v>
      </c>
      <c r="C6">
        <v>170</v>
      </c>
      <c r="D6">
        <v>180</v>
      </c>
      <c r="E6" s="3">
        <v>2800</v>
      </c>
      <c r="F6" s="3">
        <v>9.5</v>
      </c>
      <c r="G6" s="3">
        <v>1.1000000000000001</v>
      </c>
    </row>
    <row r="7" spans="1:11" x14ac:dyDescent="0.3">
      <c r="A7" s="3" t="s">
        <v>20</v>
      </c>
      <c r="B7" s="3" t="s">
        <v>6</v>
      </c>
      <c r="C7">
        <v>130</v>
      </c>
      <c r="D7">
        <v>150</v>
      </c>
      <c r="E7" s="3">
        <v>2500</v>
      </c>
      <c r="F7" s="3">
        <v>11</v>
      </c>
      <c r="G7" s="3">
        <v>0.8</v>
      </c>
    </row>
    <row r="8" spans="1:11" x14ac:dyDescent="0.3">
      <c r="A8" s="3" t="s">
        <v>21</v>
      </c>
      <c r="B8" s="3" t="s">
        <v>7</v>
      </c>
      <c r="C8">
        <v>50</v>
      </c>
      <c r="D8">
        <v>100</v>
      </c>
      <c r="E8" s="3">
        <v>1700</v>
      </c>
      <c r="F8" s="3">
        <v>8</v>
      </c>
      <c r="G8" s="3">
        <v>1.4</v>
      </c>
    </row>
    <row r="9" spans="1:11" x14ac:dyDescent="0.3">
      <c r="A9" s="3" t="s">
        <v>49</v>
      </c>
      <c r="B9" s="3" t="s">
        <v>50</v>
      </c>
      <c r="C9">
        <v>180</v>
      </c>
      <c r="D9">
        <v>170</v>
      </c>
      <c r="E9" s="3">
        <v>2700</v>
      </c>
      <c r="F9" s="3">
        <v>9.6999999999999993</v>
      </c>
      <c r="G9" s="3">
        <v>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37</v>
      </c>
      <c r="D1" s="1" t="s">
        <v>46</v>
      </c>
      <c r="E1" s="1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48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29</v>
      </c>
      <c r="C3">
        <v>50</v>
      </c>
      <c r="D3">
        <v>100</v>
      </c>
      <c r="E3" s="3">
        <v>1000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36</v>
      </c>
      <c r="C4">
        <v>50</v>
      </c>
      <c r="D4">
        <v>100</v>
      </c>
      <c r="E4" s="3">
        <v>1000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2026-06-17T01:27:25Z</dcterms:modified>
</cp:coreProperties>
</file>