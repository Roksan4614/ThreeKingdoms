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7B585AC-6658-4404-9288-7C62966A0C0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verview" sheetId="1" r:id="rId1"/>
    <sheet name="s_building" sheetId="4" r:id="rId2"/>
    <sheet name="s_building_level" sheetId="3" r:id="rId3"/>
    <sheet name="s_palace_effect" sheetId="10" r:id="rId4"/>
    <sheet name="s_farm_effect" sheetId="11" r:id="rId5"/>
    <sheet name="s_market_effect" sheetId="12" r:id="rId6"/>
    <sheet name="s_gate_effect" sheetId="13" r:id="rId7"/>
    <sheet name="s_office_effect" sheetId="14" r:id="rId8"/>
    <sheet name="s_merchant_effect" sheetId="15" r:id="rId9"/>
    <sheet name="s_office_mission" sheetId="5" r:id="rId10"/>
    <sheet name="s_office_mission_grade" sheetId="8" r:id="rId11"/>
    <sheet name="s_office_mission_reward_pool" sheetId="6" r:id="rId12"/>
    <sheet name="s_office_level" sheetId="9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" l="1"/>
  <c r="B15" i="3" s="1"/>
  <c r="B16" i="3" s="1"/>
  <c r="B17" i="3" s="1"/>
  <c r="B18" i="3" s="1"/>
  <c r="B19" i="3" s="1"/>
  <c r="B20" i="3" s="1"/>
  <c r="B21" i="3" s="1"/>
  <c r="B22" i="3" s="1"/>
  <c r="G11" i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10" i="1"/>
  <c r="B5" i="8"/>
  <c r="B4" i="8"/>
  <c r="B3" i="8"/>
  <c r="C14" i="6" l="1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7" i="6"/>
  <c r="C8" i="6"/>
  <c r="C9" i="6"/>
  <c r="C10" i="6"/>
  <c r="C11" i="6"/>
  <c r="C12" i="6"/>
  <c r="C13" i="6"/>
  <c r="C6" i="6"/>
  <c r="C5" i="6"/>
  <c r="C4" i="6"/>
  <c r="C3" i="6"/>
  <c r="A4" i="3" l="1"/>
  <c r="A5" i="3" s="1"/>
  <c r="A6" i="3" s="1"/>
  <c r="A7" i="3" s="1"/>
  <c r="A8" i="3" s="1"/>
  <c r="A9" i="3" s="1"/>
  <c r="A10" i="3" s="1"/>
  <c r="A11" i="3" s="1"/>
  <c r="A12" i="3" s="1"/>
  <c r="B4" i="3"/>
  <c r="B5" i="3" s="1"/>
  <c r="B6" i="3" s="1"/>
  <c r="B7" i="3" s="1"/>
  <c r="B8" i="3" s="1"/>
  <c r="B9" i="3" s="1"/>
  <c r="B10" i="3" s="1"/>
  <c r="B11" i="3" s="1"/>
  <c r="B12" i="3" s="1"/>
</calcChain>
</file>

<file path=xl/sharedStrings.xml><?xml version="1.0" encoding="utf-8"?>
<sst xmlns="http://schemas.openxmlformats.org/spreadsheetml/2006/main" count="468" uniqueCount="124">
  <si>
    <t>string</t>
    <phoneticPr fontId="1" type="noConversion"/>
  </si>
  <si>
    <t>key</t>
    <phoneticPr fontId="1" type="noConversion"/>
  </si>
  <si>
    <t>ClassType</t>
    <phoneticPr fontId="1" type="noConversion"/>
  </si>
  <si>
    <t>지휘관</t>
    <phoneticPr fontId="1" type="noConversion"/>
  </si>
  <si>
    <t>용장</t>
    <phoneticPr fontId="1" type="noConversion"/>
  </si>
  <si>
    <t>선봉장</t>
    <phoneticPr fontId="1" type="noConversion"/>
  </si>
  <si>
    <t>추격자</t>
    <phoneticPr fontId="1" type="noConversion"/>
  </si>
  <si>
    <t>궁장</t>
    <phoneticPr fontId="1" type="noConversion"/>
  </si>
  <si>
    <t>책사</t>
    <phoneticPr fontId="1" type="noConversion"/>
  </si>
  <si>
    <t>RegionType</t>
    <phoneticPr fontId="1" type="noConversion"/>
  </si>
  <si>
    <t>위</t>
    <phoneticPr fontId="1" type="noConversion"/>
  </si>
  <si>
    <t>촉</t>
    <phoneticPr fontId="1" type="noConversion"/>
  </si>
  <si>
    <t>오</t>
    <phoneticPr fontId="1" type="noConversion"/>
  </si>
  <si>
    <t>중립</t>
    <phoneticPr fontId="1" type="noConversion"/>
  </si>
  <si>
    <t>int</t>
    <phoneticPr fontId="1" type="noConversion"/>
  </si>
  <si>
    <t>level</t>
    <phoneticPr fontId="1" type="noConversion"/>
  </si>
  <si>
    <t>NONE</t>
    <phoneticPr fontId="1" type="noConversion"/>
  </si>
  <si>
    <t>Palace</t>
    <phoneticPr fontId="1" type="noConversion"/>
  </si>
  <si>
    <t>Charisma</t>
  </si>
  <si>
    <t>Market</t>
  </si>
  <si>
    <t>Farm</t>
  </si>
  <si>
    <t>Office</t>
  </si>
  <si>
    <t>Merchant</t>
  </si>
  <si>
    <t>Gate</t>
  </si>
  <si>
    <t>Intellect</t>
  </si>
  <si>
    <t>Politics</t>
  </si>
  <si>
    <t>Leadership</t>
  </si>
  <si>
    <t>Strength</t>
  </si>
  <si>
    <t>key</t>
  </si>
  <si>
    <t>#mission_name</t>
  </si>
  <si>
    <t>req_stat_type</t>
  </si>
  <si>
    <t>relic_key</t>
  </si>
  <si>
    <t>varchar(50)</t>
  </si>
  <si>
    <t>military_training</t>
  </si>
  <si>
    <t>군사 훈련 지휘</t>
  </si>
  <si>
    <t>leadership</t>
  </si>
  <si>
    <t>rally_remnants</t>
  </si>
  <si>
    <t>패잔병 수습</t>
  </si>
  <si>
    <t>bandit_subjugation</t>
  </si>
  <si>
    <t>산적 토벌</t>
  </si>
  <si>
    <t>strength</t>
  </si>
  <si>
    <t>border_defense</t>
  </si>
  <si>
    <t>변경 수비</t>
  </si>
  <si>
    <t>tax_reform</t>
  </si>
  <si>
    <t>조세 제도 정비</t>
  </si>
  <si>
    <t>politics</t>
  </si>
  <si>
    <t>foreign_diplomacy</t>
  </si>
  <si>
    <t>인근 제후국 외교</t>
  </si>
  <si>
    <t>enemy_intelligence</t>
  </si>
  <si>
    <t>적진 첩보 수집</t>
  </si>
  <si>
    <t>intellect</t>
  </si>
  <si>
    <t>tactics_research</t>
  </si>
  <si>
    <t>병법서 연구</t>
  </si>
  <si>
    <t>refugee_persuasion</t>
  </si>
  <si>
    <t>유랑민 귀순 설득</t>
  </si>
  <si>
    <t>charisma</t>
  </si>
  <si>
    <t>recruit_talent</t>
  </si>
  <si>
    <t>재야 인재 영입</t>
  </si>
  <si>
    <t>grade</t>
  </si>
  <si>
    <t>unlock_pct</t>
  </si>
  <si>
    <t>reward_min</t>
  </si>
  <si>
    <t>reward_max</t>
  </si>
  <si>
    <t>drop_rate</t>
  </si>
  <si>
    <t>int</t>
  </si>
  <si>
    <t>normal</t>
  </si>
  <si>
    <t>rice</t>
  </si>
  <si>
    <t>bundle_elite</t>
  </si>
  <si>
    <t>general</t>
  </si>
  <si>
    <t>bundle_hero</t>
  </si>
  <si>
    <t>treasure_piece</t>
  </si>
  <si>
    <t>legend</t>
  </si>
  <si>
    <t>treasure</t>
  </si>
  <si>
    <t>leadership</t>
    <phoneticPr fontId="1" type="noConversion"/>
  </si>
  <si>
    <t>strength</t>
    <phoneticPr fontId="1" type="noConversion"/>
  </si>
  <si>
    <t>intellect</t>
    <phoneticPr fontId="1" type="noConversion"/>
  </si>
  <si>
    <t>politics</t>
    <phoneticPr fontId="1" type="noConversion"/>
  </si>
  <si>
    <t>charisma</t>
    <phoneticPr fontId="1" type="noConversion"/>
  </si>
  <si>
    <t>normal</t>
    <phoneticPr fontId="1" type="noConversion"/>
  </si>
  <si>
    <t>general</t>
    <phoneticPr fontId="1" type="noConversion"/>
  </si>
  <si>
    <t>legend</t>
    <phoneticPr fontId="1" type="noConversion"/>
  </si>
  <si>
    <t>hero</t>
    <phoneticPr fontId="1" type="noConversion"/>
  </si>
  <si>
    <t>elite</t>
    <phoneticPr fontId="1" type="noConversion"/>
  </si>
  <si>
    <t>#grade</t>
    <phoneticPr fontId="1" type="noConversion"/>
  </si>
  <si>
    <t>gold</t>
    <phoneticPr fontId="1" type="noConversion"/>
  </si>
  <si>
    <t>gold</t>
  </si>
  <si>
    <t>time_stone</t>
  </si>
  <si>
    <t>bundle_normal</t>
  </si>
  <si>
    <t>bundle_general</t>
  </si>
  <si>
    <t>bundle_legend</t>
  </si>
  <si>
    <t>public_soul_stone</t>
  </si>
  <si>
    <t>class_soul_stone</t>
  </si>
  <si>
    <t>dedicated_soul_stone</t>
  </si>
  <si>
    <t>class_soul_stone_random_box</t>
  </si>
  <si>
    <t>dedicated_soul_stone_random_box</t>
  </si>
  <si>
    <t>treasure_piece_random_box</t>
  </si>
  <si>
    <t>#key</t>
    <phoneticPr fontId="1" type="noConversion"/>
  </si>
  <si>
    <t>duration_seconds</t>
  </si>
  <si>
    <t>mission_xp</t>
  </si>
  <si>
    <t>req_stat_value</t>
  </si>
  <si>
    <t>level</t>
  </si>
  <si>
    <t>req_xp</t>
  </si>
  <si>
    <t>accum_xp</t>
  </si>
  <si>
    <t>upgrade_seconds</t>
  </si>
  <si>
    <t>stat_type_1</t>
    <phoneticPr fontId="1" type="noConversion"/>
  </si>
  <si>
    <t>stat_type_2</t>
    <phoneticPr fontId="1" type="noConversion"/>
  </si>
  <si>
    <t>req_stat_value_1</t>
    <phoneticPr fontId="1" type="noConversion"/>
  </si>
  <si>
    <t>req_stat_value_2</t>
    <phoneticPr fontId="1" type="noConversion"/>
  </si>
  <si>
    <t>level_cap</t>
  </si>
  <si>
    <t>rice_per_sec_base</t>
  </si>
  <si>
    <t>rice_storage_base</t>
  </si>
  <si>
    <t>gold_per_sec_base</t>
  </si>
  <si>
    <t>gold_storage_base</t>
  </si>
  <si>
    <t>mission_count</t>
  </si>
  <si>
    <t>normal_rate</t>
  </si>
  <si>
    <t>master_rate</t>
  </si>
  <si>
    <t>legend_rate</t>
  </si>
  <si>
    <t>discount_rate_base</t>
  </si>
  <si>
    <t>grade_up_rate_base</t>
  </si>
  <si>
    <t>item_count</t>
  </si>
  <si>
    <t>npc_duration_sec</t>
    <phoneticPr fontId="1" type="noConversion"/>
  </si>
  <si>
    <t>character_slot_max</t>
  </si>
  <si>
    <t>save_time_time_stone</t>
  </si>
  <si>
    <t>save_time_ad</t>
  </si>
  <si>
    <t>reward_key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</si>
</sst>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rgb="FFCFE2F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workbookViewId="0">
      <selection activeCell="F9" sqref="F9:G24"/>
    </sheetView>
  </sheetViews>
  <sheetFormatPr defaultRowHeight="16.5" x14ac:dyDescent="0.3"/>
  <cols>
    <col min="6" max="6" width="33" bestFit="1" customWidth="1"/>
  </cols>
  <sheetData>
    <row r="1" spans="1:7" x14ac:dyDescent="0.3">
      <c r="A1" t="s">
        <v>2</v>
      </c>
      <c r="D1" t="s">
        <v>9</v>
      </c>
    </row>
    <row r="2" spans="1:7" x14ac:dyDescent="0.3">
      <c r="A2">
        <v>0</v>
      </c>
      <c r="B2" t="s">
        <v>3</v>
      </c>
      <c r="D2">
        <v>0</v>
      </c>
      <c r="E2" t="s">
        <v>10</v>
      </c>
    </row>
    <row r="3" spans="1:7" x14ac:dyDescent="0.3">
      <c r="A3">
        <v>1</v>
      </c>
      <c r="B3" t="s">
        <v>4</v>
      </c>
      <c r="D3">
        <v>1</v>
      </c>
      <c r="E3" t="s">
        <v>11</v>
      </c>
    </row>
    <row r="4" spans="1:7" x14ac:dyDescent="0.3">
      <c r="A4">
        <v>2</v>
      </c>
      <c r="B4" t="s">
        <v>5</v>
      </c>
      <c r="D4">
        <v>2</v>
      </c>
      <c r="E4" t="s">
        <v>12</v>
      </c>
    </row>
    <row r="5" spans="1:7" x14ac:dyDescent="0.3">
      <c r="A5">
        <v>3</v>
      </c>
      <c r="B5" t="s">
        <v>6</v>
      </c>
      <c r="D5">
        <v>3</v>
      </c>
      <c r="E5" t="s">
        <v>13</v>
      </c>
    </row>
    <row r="6" spans="1:7" x14ac:dyDescent="0.3">
      <c r="A6">
        <v>4</v>
      </c>
      <c r="B6" t="s">
        <v>7</v>
      </c>
    </row>
    <row r="7" spans="1:7" x14ac:dyDescent="0.3">
      <c r="A7">
        <v>5</v>
      </c>
      <c r="B7" t="s">
        <v>8</v>
      </c>
    </row>
    <row r="9" spans="1:7" x14ac:dyDescent="0.3">
      <c r="A9" t="s">
        <v>72</v>
      </c>
      <c r="B9">
        <v>0</v>
      </c>
      <c r="F9" t="s">
        <v>65</v>
      </c>
      <c r="G9">
        <v>1</v>
      </c>
    </row>
    <row r="10" spans="1:7" x14ac:dyDescent="0.3">
      <c r="A10" t="s">
        <v>73</v>
      </c>
      <c r="B10">
        <v>1</v>
      </c>
      <c r="F10" t="s">
        <v>84</v>
      </c>
      <c r="G10">
        <f>G9+1</f>
        <v>2</v>
      </c>
    </row>
    <row r="11" spans="1:7" x14ac:dyDescent="0.3">
      <c r="A11" t="s">
        <v>74</v>
      </c>
      <c r="B11">
        <v>2</v>
      </c>
      <c r="F11" t="s">
        <v>85</v>
      </c>
      <c r="G11">
        <f t="shared" ref="G11:G24" si="0">G10+1</f>
        <v>3</v>
      </c>
    </row>
    <row r="12" spans="1:7" x14ac:dyDescent="0.3">
      <c r="A12" t="s">
        <v>75</v>
      </c>
      <c r="B12">
        <v>3</v>
      </c>
      <c r="F12" t="s">
        <v>86</v>
      </c>
      <c r="G12">
        <f t="shared" si="0"/>
        <v>4</v>
      </c>
    </row>
    <row r="13" spans="1:7" x14ac:dyDescent="0.3">
      <c r="A13" t="s">
        <v>76</v>
      </c>
      <c r="B13">
        <v>4</v>
      </c>
      <c r="F13" t="s">
        <v>66</v>
      </c>
      <c r="G13">
        <f t="shared" si="0"/>
        <v>5</v>
      </c>
    </row>
    <row r="14" spans="1:7" x14ac:dyDescent="0.3">
      <c r="F14" t="s">
        <v>87</v>
      </c>
      <c r="G14">
        <f t="shared" si="0"/>
        <v>6</v>
      </c>
    </row>
    <row r="15" spans="1:7" x14ac:dyDescent="0.3">
      <c r="F15" t="s">
        <v>68</v>
      </c>
      <c r="G15">
        <f t="shared" si="0"/>
        <v>7</v>
      </c>
    </row>
    <row r="16" spans="1:7" x14ac:dyDescent="0.3">
      <c r="A16" t="s">
        <v>77</v>
      </c>
      <c r="B16">
        <v>0</v>
      </c>
      <c r="F16" t="s">
        <v>88</v>
      </c>
      <c r="G16">
        <f t="shared" si="0"/>
        <v>8</v>
      </c>
    </row>
    <row r="17" spans="1:7" x14ac:dyDescent="0.3">
      <c r="A17" t="s">
        <v>81</v>
      </c>
      <c r="B17">
        <v>1</v>
      </c>
      <c r="F17" t="s">
        <v>89</v>
      </c>
      <c r="G17">
        <f t="shared" si="0"/>
        <v>9</v>
      </c>
    </row>
    <row r="18" spans="1:7" x14ac:dyDescent="0.3">
      <c r="A18" t="s">
        <v>78</v>
      </c>
      <c r="B18">
        <v>2</v>
      </c>
      <c r="F18" t="s">
        <v>90</v>
      </c>
      <c r="G18">
        <f t="shared" si="0"/>
        <v>10</v>
      </c>
    </row>
    <row r="19" spans="1:7" x14ac:dyDescent="0.3">
      <c r="A19" t="s">
        <v>80</v>
      </c>
      <c r="B19">
        <v>3</v>
      </c>
      <c r="F19" t="s">
        <v>91</v>
      </c>
      <c r="G19">
        <f t="shared" si="0"/>
        <v>11</v>
      </c>
    </row>
    <row r="20" spans="1:7" x14ac:dyDescent="0.3">
      <c r="A20" t="s">
        <v>79</v>
      </c>
      <c r="B20">
        <v>4</v>
      </c>
      <c r="F20" t="s">
        <v>92</v>
      </c>
      <c r="G20">
        <f t="shared" si="0"/>
        <v>12</v>
      </c>
    </row>
    <row r="21" spans="1:7" x14ac:dyDescent="0.3">
      <c r="F21" t="s">
        <v>93</v>
      </c>
      <c r="G21">
        <f t="shared" si="0"/>
        <v>13</v>
      </c>
    </row>
    <row r="22" spans="1:7" x14ac:dyDescent="0.3">
      <c r="F22" t="s">
        <v>71</v>
      </c>
      <c r="G22">
        <f t="shared" si="0"/>
        <v>14</v>
      </c>
    </row>
    <row r="23" spans="1:7" x14ac:dyDescent="0.3">
      <c r="F23" t="s">
        <v>69</v>
      </c>
      <c r="G23">
        <f t="shared" si="0"/>
        <v>15</v>
      </c>
    </row>
    <row r="24" spans="1:7" x14ac:dyDescent="0.3">
      <c r="F24" t="s">
        <v>94</v>
      </c>
      <c r="G24">
        <f t="shared" si="0"/>
        <v>16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72808-C815-44D5-8DB4-2688868DC90E}">
  <dimension ref="A1:C8"/>
  <sheetViews>
    <sheetView workbookViewId="0">
      <selection activeCell="C1" sqref="C1"/>
    </sheetView>
  </sheetViews>
  <sheetFormatPr defaultRowHeight="16.5" x14ac:dyDescent="0.3"/>
  <cols>
    <col min="1" max="1" width="9.625" bestFit="1" customWidth="1"/>
    <col min="2" max="3" width="10.625" bestFit="1" customWidth="1"/>
  </cols>
  <sheetData>
    <row r="1" spans="1:3" x14ac:dyDescent="0.3">
      <c r="A1" s="1" t="s">
        <v>1</v>
      </c>
      <c r="B1" s="1" t="s">
        <v>103</v>
      </c>
      <c r="C1" s="1" t="s">
        <v>104</v>
      </c>
    </row>
    <row r="2" spans="1:3" x14ac:dyDescent="0.3">
      <c r="A2" s="1" t="s">
        <v>0</v>
      </c>
      <c r="B2" s="2" t="s">
        <v>0</v>
      </c>
      <c r="C2" s="2" t="s">
        <v>0</v>
      </c>
    </row>
    <row r="3" spans="1:3" x14ac:dyDescent="0.3">
      <c r="A3" t="s">
        <v>17</v>
      </c>
      <c r="B3" s="3" t="s">
        <v>18</v>
      </c>
      <c r="C3" s="3"/>
    </row>
    <row r="4" spans="1:3" x14ac:dyDescent="0.3">
      <c r="A4" s="3" t="s">
        <v>19</v>
      </c>
      <c r="B4" s="3" t="s">
        <v>24</v>
      </c>
      <c r="C4" s="3" t="s">
        <v>25</v>
      </c>
    </row>
    <row r="5" spans="1:3" x14ac:dyDescent="0.3">
      <c r="A5" s="3" t="s">
        <v>20</v>
      </c>
      <c r="B5" t="s">
        <v>27</v>
      </c>
      <c r="C5" s="3" t="s">
        <v>25</v>
      </c>
    </row>
    <row r="6" spans="1:3" x14ac:dyDescent="0.3">
      <c r="A6" t="s">
        <v>21</v>
      </c>
    </row>
    <row r="7" spans="1:3" x14ac:dyDescent="0.3">
      <c r="A7" t="s">
        <v>22</v>
      </c>
      <c r="B7" t="s">
        <v>24</v>
      </c>
      <c r="C7" s="3" t="s">
        <v>26</v>
      </c>
    </row>
    <row r="8" spans="1:3" x14ac:dyDescent="0.3">
      <c r="A8" t="s">
        <v>23</v>
      </c>
      <c r="B8" t="s">
        <v>27</v>
      </c>
      <c r="C8" t="s">
        <v>26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tabSelected="1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E22" sqref="E22"/>
    </sheetView>
  </sheetViews>
  <sheetFormatPr defaultRowHeight="16.5" x14ac:dyDescent="0.3"/>
  <cols>
    <col min="1" max="1" width="11" bestFit="1" customWidth="1"/>
    <col min="2" max="2" width="6.625" style="3" bestFit="1" customWidth="1"/>
    <col min="3" max="3" width="16.625" style="3" bestFit="1" customWidth="1"/>
    <col min="4" max="4" width="16.625" bestFit="1" customWidth="1"/>
    <col min="5" max="5" width="18.125" bestFit="1" customWidth="1"/>
    <col min="6" max="6" width="18" bestFit="1" customWidth="1"/>
  </cols>
  <sheetData>
    <row r="1" spans="1:6" x14ac:dyDescent="0.3">
      <c r="A1" s="1" t="s">
        <v>1</v>
      </c>
      <c r="B1" s="1" t="s">
        <v>15</v>
      </c>
      <c r="C1" s="1" t="s">
        <v>105</v>
      </c>
      <c r="D1" s="1" t="s">
        <v>106</v>
      </c>
      <c r="E1" s="1" t="s">
        <v>120</v>
      </c>
      <c r="F1" s="1" t="s">
        <v>102</v>
      </c>
    </row>
    <row r="2" spans="1:6" x14ac:dyDescent="0.3">
      <c r="A2" s="1" t="s">
        <v>0</v>
      </c>
      <c r="B2" s="2" t="s">
        <v>0</v>
      </c>
      <c r="C2" s="2" t="s">
        <v>0</v>
      </c>
      <c r="D2" s="2" t="s">
        <v>0</v>
      </c>
      <c r="E2" s="2" t="s">
        <v>14</v>
      </c>
      <c r="F2" s="2" t="s">
        <v>14</v>
      </c>
    </row>
    <row r="3" spans="1:6" x14ac:dyDescent="0.3">
      <c r="A3" s="9" t="s">
        <v>16</v>
      </c>
      <c r="B3" s="11">
        <v>1</v>
      </c>
      <c r="C3" s="10">
        <v>80</v>
      </c>
      <c r="D3" s="10">
        <v>80</v>
      </c>
      <c r="E3" s="10">
        <v>1</v>
      </c>
      <c r="F3" s="10">
        <v>0</v>
      </c>
    </row>
    <row r="4" spans="1:6" x14ac:dyDescent="0.3">
      <c r="A4" s="11" t="str">
        <f>A3</f>
        <v>NONE</v>
      </c>
      <c r="B4" s="11">
        <f>B3+1</f>
        <v>2</v>
      </c>
      <c r="C4" s="10">
        <v>150</v>
      </c>
      <c r="D4" s="10">
        <v>150</v>
      </c>
      <c r="E4" s="10">
        <v>2</v>
      </c>
      <c r="F4" s="10">
        <v>10</v>
      </c>
    </row>
    <row r="5" spans="1:6" x14ac:dyDescent="0.3">
      <c r="A5" s="11" t="str">
        <f>A4</f>
        <v>NONE</v>
      </c>
      <c r="B5" s="11">
        <f>B4+1</f>
        <v>3</v>
      </c>
      <c r="C5" s="10">
        <v>210</v>
      </c>
      <c r="D5" s="10">
        <v>210</v>
      </c>
      <c r="E5" s="10">
        <v>3</v>
      </c>
      <c r="F5" s="10">
        <v>7200</v>
      </c>
    </row>
    <row r="6" spans="1:6" x14ac:dyDescent="0.3">
      <c r="A6" s="11" t="str">
        <f t="shared" ref="A6:A12" si="0">A5</f>
        <v>NONE</v>
      </c>
      <c r="B6" s="11">
        <f t="shared" ref="B6:B12" si="1">B5+1</f>
        <v>4</v>
      </c>
      <c r="C6" s="10">
        <v>260</v>
      </c>
      <c r="D6" s="10">
        <v>260</v>
      </c>
      <c r="E6" s="10">
        <v>3</v>
      </c>
      <c r="F6" s="10">
        <v>43200</v>
      </c>
    </row>
    <row r="7" spans="1:6" x14ac:dyDescent="0.3">
      <c r="A7" s="11" t="str">
        <f t="shared" si="0"/>
        <v>NONE</v>
      </c>
      <c r="B7" s="11">
        <f t="shared" si="1"/>
        <v>5</v>
      </c>
      <c r="C7" s="10">
        <v>310</v>
      </c>
      <c r="D7" s="10">
        <v>310</v>
      </c>
      <c r="E7" s="10">
        <v>4</v>
      </c>
      <c r="F7" s="10">
        <v>86400</v>
      </c>
    </row>
    <row r="8" spans="1:6" x14ac:dyDescent="0.3">
      <c r="A8" s="11" t="str">
        <f t="shared" si="0"/>
        <v>NONE</v>
      </c>
      <c r="B8" s="11">
        <f t="shared" si="1"/>
        <v>6</v>
      </c>
      <c r="C8" s="10">
        <v>360</v>
      </c>
      <c r="D8" s="10">
        <v>360</v>
      </c>
      <c r="E8" s="10">
        <v>4</v>
      </c>
      <c r="F8" s="10">
        <v>129600</v>
      </c>
    </row>
    <row r="9" spans="1:6" x14ac:dyDescent="0.3">
      <c r="A9" s="11" t="str">
        <f t="shared" si="0"/>
        <v>NONE</v>
      </c>
      <c r="B9" s="11">
        <f t="shared" si="1"/>
        <v>7</v>
      </c>
      <c r="C9" s="10">
        <v>410</v>
      </c>
      <c r="D9" s="10">
        <v>410</v>
      </c>
      <c r="E9" s="10">
        <v>5</v>
      </c>
      <c r="F9" s="10">
        <v>172800</v>
      </c>
    </row>
    <row r="10" spans="1:6" x14ac:dyDescent="0.3">
      <c r="A10" s="11" t="str">
        <f t="shared" si="0"/>
        <v>NONE</v>
      </c>
      <c r="B10" s="11">
        <f t="shared" si="1"/>
        <v>8</v>
      </c>
      <c r="C10" s="10">
        <v>460</v>
      </c>
      <c r="D10" s="10">
        <v>460</v>
      </c>
      <c r="E10" s="10">
        <v>5</v>
      </c>
      <c r="F10" s="10">
        <v>259200</v>
      </c>
    </row>
    <row r="11" spans="1:6" x14ac:dyDescent="0.3">
      <c r="A11" s="11" t="str">
        <f t="shared" si="0"/>
        <v>NONE</v>
      </c>
      <c r="B11" s="11">
        <f t="shared" si="1"/>
        <v>9</v>
      </c>
      <c r="C11" s="10">
        <v>500</v>
      </c>
      <c r="D11" s="10">
        <v>500</v>
      </c>
      <c r="E11" s="10">
        <v>6</v>
      </c>
      <c r="F11" s="10">
        <v>345600</v>
      </c>
    </row>
    <row r="12" spans="1:6" x14ac:dyDescent="0.3">
      <c r="A12" s="11" t="str">
        <f t="shared" si="0"/>
        <v>NONE</v>
      </c>
      <c r="B12" s="11">
        <f t="shared" si="1"/>
        <v>10</v>
      </c>
      <c r="C12" s="10">
        <v>600</v>
      </c>
      <c r="D12" s="10">
        <v>600</v>
      </c>
      <c r="E12" s="10">
        <v>6</v>
      </c>
      <c r="F12" s="10">
        <v>518400</v>
      </c>
    </row>
    <row r="13" spans="1:6" x14ac:dyDescent="0.3">
      <c r="A13" s="9" t="s">
        <v>17</v>
      </c>
      <c r="B13" s="11">
        <v>1</v>
      </c>
      <c r="C13" s="10">
        <v>80</v>
      </c>
      <c r="D13" s="10">
        <v>0</v>
      </c>
      <c r="E13" s="10">
        <v>1</v>
      </c>
      <c r="F13" s="10">
        <v>0</v>
      </c>
    </row>
    <row r="14" spans="1:6" x14ac:dyDescent="0.3">
      <c r="A14" s="9" t="s">
        <v>17</v>
      </c>
      <c r="B14" s="11">
        <f>B13+1</f>
        <v>2</v>
      </c>
      <c r="C14" s="10">
        <v>180</v>
      </c>
      <c r="D14" s="10">
        <v>0</v>
      </c>
      <c r="E14" s="10">
        <v>2</v>
      </c>
      <c r="F14" s="10">
        <v>30</v>
      </c>
    </row>
    <row r="15" spans="1:6" x14ac:dyDescent="0.3">
      <c r="A15" s="9" t="s">
        <v>17</v>
      </c>
      <c r="B15" s="11">
        <f>B14+1</f>
        <v>3</v>
      </c>
      <c r="C15" s="10">
        <v>250</v>
      </c>
      <c r="D15" s="10">
        <v>0</v>
      </c>
      <c r="E15" s="10">
        <v>3</v>
      </c>
      <c r="F15" s="10">
        <v>14400</v>
      </c>
    </row>
    <row r="16" spans="1:6" x14ac:dyDescent="0.3">
      <c r="A16" s="9" t="s">
        <v>17</v>
      </c>
      <c r="B16" s="11">
        <f t="shared" ref="B16:B22" si="2">B15+1</f>
        <v>4</v>
      </c>
      <c r="C16" s="10">
        <v>310</v>
      </c>
      <c r="D16" s="10">
        <v>0</v>
      </c>
      <c r="E16" s="10">
        <v>3</v>
      </c>
      <c r="F16" s="10">
        <v>86400</v>
      </c>
    </row>
    <row r="17" spans="1:6" x14ac:dyDescent="0.3">
      <c r="A17" s="9" t="s">
        <v>17</v>
      </c>
      <c r="B17" s="11">
        <f t="shared" si="2"/>
        <v>5</v>
      </c>
      <c r="C17" s="10">
        <v>370</v>
      </c>
      <c r="D17" s="10">
        <v>0</v>
      </c>
      <c r="E17" s="10">
        <v>4</v>
      </c>
      <c r="F17" s="10">
        <v>172800</v>
      </c>
    </row>
    <row r="18" spans="1:6" x14ac:dyDescent="0.3">
      <c r="A18" s="9" t="s">
        <v>17</v>
      </c>
      <c r="B18" s="11">
        <f t="shared" si="2"/>
        <v>6</v>
      </c>
      <c r="C18" s="10">
        <v>430</v>
      </c>
      <c r="D18" s="10">
        <v>0</v>
      </c>
      <c r="E18" s="10">
        <v>4</v>
      </c>
      <c r="F18" s="10">
        <v>259200</v>
      </c>
    </row>
    <row r="19" spans="1:6" x14ac:dyDescent="0.3">
      <c r="A19" s="9" t="s">
        <v>17</v>
      </c>
      <c r="B19" s="11">
        <f t="shared" si="2"/>
        <v>7</v>
      </c>
      <c r="C19" s="10">
        <v>490</v>
      </c>
      <c r="D19" s="10">
        <v>0</v>
      </c>
      <c r="E19" s="10">
        <v>5</v>
      </c>
      <c r="F19" s="10">
        <v>345600</v>
      </c>
    </row>
    <row r="20" spans="1:6" x14ac:dyDescent="0.3">
      <c r="A20" s="9" t="s">
        <v>17</v>
      </c>
      <c r="B20" s="11">
        <f t="shared" si="2"/>
        <v>8</v>
      </c>
      <c r="C20" s="10">
        <v>550</v>
      </c>
      <c r="D20" s="10">
        <v>0</v>
      </c>
      <c r="E20" s="10">
        <v>5</v>
      </c>
      <c r="F20" s="10">
        <v>432000</v>
      </c>
    </row>
    <row r="21" spans="1:6" x14ac:dyDescent="0.3">
      <c r="A21" s="9" t="s">
        <v>17</v>
      </c>
      <c r="B21" s="11">
        <f t="shared" si="2"/>
        <v>9</v>
      </c>
      <c r="C21" s="10">
        <v>600</v>
      </c>
      <c r="D21" s="10">
        <v>0</v>
      </c>
      <c r="E21" s="10">
        <v>6</v>
      </c>
      <c r="F21" s="10">
        <v>604800</v>
      </c>
    </row>
    <row r="22" spans="1:6" x14ac:dyDescent="0.3">
      <c r="A22" s="9" t="s">
        <v>17</v>
      </c>
      <c r="B22" s="11">
        <f t="shared" si="2"/>
        <v>10</v>
      </c>
      <c r="C22" s="10">
        <v>700</v>
      </c>
      <c r="D22" s="10">
        <v>0</v>
      </c>
      <c r="E22" s="10">
        <v>6</v>
      </c>
      <c r="F22" s="10">
        <v>864000</v>
      </c>
    </row>
  </sheetData>
  <sortState xmlns:xlrd2="http://schemas.microsoft.com/office/spreadsheetml/2017/richdata2" ref="A3:A41">
    <sortCondition ref="A3"/>
  </sortState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C9EEB-7773-411B-BE55-63D7D306AC3A}">
  <dimension ref="A1:D12"/>
  <sheetViews>
    <sheetView workbookViewId="0">
      <selection activeCell="D1" sqref="D1"/>
    </sheetView>
  </sheetViews>
  <sheetFormatPr defaultRowHeight="16.5" x14ac:dyDescent="0.3"/>
  <cols>
    <col min="1" max="1" width="9.5" bestFit="1" customWidth="1"/>
    <col min="2" max="2" width="18.5" bestFit="1" customWidth="1"/>
    <col min="3" max="3" width="20.625" customWidth="1"/>
    <col min="4" max="4" width="15.875" bestFit="1" customWidth="1"/>
  </cols>
  <sheetData>
    <row r="1" spans="1:4" ht="17.25" thickBot="1" x14ac:dyDescent="0.35">
      <c r="A1" s="12" t="s">
        <v>99</v>
      </c>
      <c r="B1" s="4" t="s">
        <v>107</v>
      </c>
      <c r="C1" s="12" t="s">
        <v>121</v>
      </c>
      <c r="D1" s="4" t="s">
        <v>122</v>
      </c>
    </row>
    <row r="2" spans="1:4" ht="17.25" thickBot="1" x14ac:dyDescent="0.35">
      <c r="A2" s="13" t="s">
        <v>14</v>
      </c>
      <c r="B2" s="5" t="s">
        <v>63</v>
      </c>
      <c r="C2" s="5" t="s">
        <v>63</v>
      </c>
      <c r="D2" s="5" t="s">
        <v>63</v>
      </c>
    </row>
    <row r="3" spans="1:4" ht="17.25" thickBot="1" x14ac:dyDescent="0.35">
      <c r="A3" s="14">
        <v>1</v>
      </c>
      <c r="B3" s="6">
        <v>1</v>
      </c>
      <c r="C3" s="6">
        <v>10</v>
      </c>
      <c r="D3" s="6">
        <v>30</v>
      </c>
    </row>
    <row r="4" spans="1:4" ht="17.25" thickBot="1" x14ac:dyDescent="0.35">
      <c r="A4" s="14">
        <v>2</v>
      </c>
      <c r="B4" s="6">
        <v>2</v>
      </c>
      <c r="C4" s="6">
        <v>11</v>
      </c>
      <c r="D4" s="6">
        <v>33</v>
      </c>
    </row>
    <row r="5" spans="1:4" ht="17.25" thickBot="1" x14ac:dyDescent="0.35">
      <c r="A5" s="14">
        <v>3</v>
      </c>
      <c r="B5" s="6">
        <v>3</v>
      </c>
      <c r="C5" s="6">
        <v>12</v>
      </c>
      <c r="D5" s="6">
        <v>36</v>
      </c>
    </row>
    <row r="6" spans="1:4" ht="17.25" thickBot="1" x14ac:dyDescent="0.35">
      <c r="A6" s="14">
        <v>4</v>
      </c>
      <c r="B6" s="6">
        <v>4</v>
      </c>
      <c r="C6" s="6">
        <v>13</v>
      </c>
      <c r="D6" s="6">
        <v>39</v>
      </c>
    </row>
    <row r="7" spans="1:4" ht="17.25" thickBot="1" x14ac:dyDescent="0.35">
      <c r="A7" s="14">
        <v>5</v>
      </c>
      <c r="B7" s="6">
        <v>5</v>
      </c>
      <c r="C7" s="6">
        <v>14</v>
      </c>
      <c r="D7" s="6">
        <v>42</v>
      </c>
    </row>
    <row r="8" spans="1:4" ht="17.25" thickBot="1" x14ac:dyDescent="0.35">
      <c r="A8" s="14">
        <v>6</v>
      </c>
      <c r="B8" s="6">
        <v>6</v>
      </c>
      <c r="C8" s="6">
        <v>15</v>
      </c>
      <c r="D8" s="6">
        <v>45</v>
      </c>
    </row>
    <row r="9" spans="1:4" ht="17.25" thickBot="1" x14ac:dyDescent="0.35">
      <c r="A9" s="14">
        <v>7</v>
      </c>
      <c r="B9" s="6">
        <v>7</v>
      </c>
      <c r="C9" s="6">
        <v>16</v>
      </c>
      <c r="D9" s="6">
        <v>48</v>
      </c>
    </row>
    <row r="10" spans="1:4" ht="17.25" thickBot="1" x14ac:dyDescent="0.35">
      <c r="A10" s="14">
        <v>8</v>
      </c>
      <c r="B10" s="6">
        <v>8</v>
      </c>
      <c r="C10" s="6">
        <v>17</v>
      </c>
      <c r="D10" s="6">
        <v>52</v>
      </c>
    </row>
    <row r="11" spans="1:4" ht="17.25" thickBot="1" x14ac:dyDescent="0.35">
      <c r="A11" s="14">
        <v>9</v>
      </c>
      <c r="B11" s="6">
        <v>9</v>
      </c>
      <c r="C11" s="6">
        <v>18</v>
      </c>
      <c r="D11" s="6">
        <v>56</v>
      </c>
    </row>
    <row r="12" spans="1:4" ht="17.25" thickBot="1" x14ac:dyDescent="0.35">
      <c r="A12" s="14">
        <v>10</v>
      </c>
      <c r="B12" s="6">
        <v>10</v>
      </c>
      <c r="C12" s="6">
        <v>20</v>
      </c>
      <c r="D12" s="6">
        <v>60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D2D76-D91C-4464-9ACC-9F45A7C3CE4A}">
  <dimension ref="A1:C12"/>
  <sheetViews>
    <sheetView workbookViewId="0">
      <selection activeCell="Q18" sqref="Q18"/>
    </sheetView>
  </sheetViews>
  <sheetFormatPr defaultRowHeight="16.5" x14ac:dyDescent="0.3"/>
  <cols>
    <col min="1" max="1" width="9.5" bestFit="1" customWidth="1"/>
    <col min="2" max="2" width="18.5" bestFit="1" customWidth="1"/>
    <col min="3" max="3" width="17.625" bestFit="1" customWidth="1"/>
  </cols>
  <sheetData>
    <row r="1" spans="1:3" ht="17.25" thickBot="1" x14ac:dyDescent="0.35">
      <c r="A1" s="12" t="s">
        <v>99</v>
      </c>
      <c r="B1" s="4" t="s">
        <v>108</v>
      </c>
      <c r="C1" s="4" t="s">
        <v>109</v>
      </c>
    </row>
    <row r="2" spans="1:3" ht="17.25" thickBot="1" x14ac:dyDescent="0.35">
      <c r="A2" s="13" t="s">
        <v>14</v>
      </c>
      <c r="B2" s="5" t="s">
        <v>63</v>
      </c>
      <c r="C2" s="5" t="s">
        <v>63</v>
      </c>
    </row>
    <row r="3" spans="1:3" ht="17.25" thickBot="1" x14ac:dyDescent="0.35">
      <c r="A3" s="14">
        <v>1</v>
      </c>
      <c r="B3" s="15">
        <v>5</v>
      </c>
      <c r="C3" s="16">
        <v>5000</v>
      </c>
    </row>
    <row r="4" spans="1:3" ht="17.25" thickBot="1" x14ac:dyDescent="0.35">
      <c r="A4" s="14">
        <v>2</v>
      </c>
      <c r="B4" s="14">
        <v>60</v>
      </c>
      <c r="C4" s="6">
        <v>10000</v>
      </c>
    </row>
    <row r="5" spans="1:3" ht="17.25" thickBot="1" x14ac:dyDescent="0.35">
      <c r="A5" s="14">
        <v>3</v>
      </c>
      <c r="B5" s="14">
        <v>115</v>
      </c>
      <c r="C5" s="6">
        <v>15000</v>
      </c>
    </row>
    <row r="6" spans="1:3" ht="17.25" thickBot="1" x14ac:dyDescent="0.35">
      <c r="A6" s="14">
        <v>4</v>
      </c>
      <c r="B6" s="14">
        <v>170</v>
      </c>
      <c r="C6" s="6">
        <v>20000</v>
      </c>
    </row>
    <row r="7" spans="1:3" ht="17.25" thickBot="1" x14ac:dyDescent="0.35">
      <c r="A7" s="14">
        <v>5</v>
      </c>
      <c r="B7" s="14">
        <v>225</v>
      </c>
      <c r="C7" s="6">
        <v>25000</v>
      </c>
    </row>
    <row r="8" spans="1:3" ht="17.25" thickBot="1" x14ac:dyDescent="0.35">
      <c r="A8" s="14">
        <v>6</v>
      </c>
      <c r="B8" s="14">
        <v>280</v>
      </c>
      <c r="C8" s="6">
        <v>30000</v>
      </c>
    </row>
    <row r="9" spans="1:3" ht="17.25" thickBot="1" x14ac:dyDescent="0.35">
      <c r="A9" s="14">
        <v>7</v>
      </c>
      <c r="B9" s="14">
        <v>335</v>
      </c>
      <c r="C9" s="6">
        <v>35000</v>
      </c>
    </row>
    <row r="10" spans="1:3" ht="17.25" thickBot="1" x14ac:dyDescent="0.35">
      <c r="A10" s="14">
        <v>8</v>
      </c>
      <c r="B10" s="14">
        <v>390</v>
      </c>
      <c r="C10" s="6">
        <v>40000</v>
      </c>
    </row>
    <row r="11" spans="1:3" ht="17.25" thickBot="1" x14ac:dyDescent="0.35">
      <c r="A11" s="14">
        <v>9</v>
      </c>
      <c r="B11" s="14">
        <v>445</v>
      </c>
      <c r="C11" s="6">
        <v>45000</v>
      </c>
    </row>
    <row r="12" spans="1:3" ht="17.25" thickBot="1" x14ac:dyDescent="0.35">
      <c r="A12" s="14">
        <v>10</v>
      </c>
      <c r="B12" s="14">
        <v>500</v>
      </c>
      <c r="C12" s="6">
        <v>50000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03481-2A22-4208-BA94-7D013AB4AE41}">
  <dimension ref="A1:C12"/>
  <sheetViews>
    <sheetView workbookViewId="0">
      <selection activeCell="B2" sqref="B2"/>
    </sheetView>
  </sheetViews>
  <sheetFormatPr defaultRowHeight="16.5" x14ac:dyDescent="0.3"/>
  <cols>
    <col min="1" max="1" width="9.5" bestFit="1" customWidth="1"/>
    <col min="2" max="2" width="18.5" bestFit="1" customWidth="1"/>
    <col min="3" max="3" width="17.625" bestFit="1" customWidth="1"/>
  </cols>
  <sheetData>
    <row r="1" spans="1:3" ht="17.25" thickBot="1" x14ac:dyDescent="0.35">
      <c r="A1" s="12" t="s">
        <v>99</v>
      </c>
      <c r="B1" s="12" t="s">
        <v>110</v>
      </c>
      <c r="C1" s="4" t="s">
        <v>111</v>
      </c>
    </row>
    <row r="2" spans="1:3" ht="17.25" thickBot="1" x14ac:dyDescent="0.35">
      <c r="A2" s="13" t="s">
        <v>14</v>
      </c>
      <c r="B2" s="5" t="s">
        <v>0</v>
      </c>
      <c r="C2" s="5" t="s">
        <v>63</v>
      </c>
    </row>
    <row r="3" spans="1:3" ht="17.25" thickBot="1" x14ac:dyDescent="0.35">
      <c r="A3" s="14">
        <v>1</v>
      </c>
      <c r="B3" s="15">
        <v>0.5</v>
      </c>
      <c r="C3" s="16">
        <v>500</v>
      </c>
    </row>
    <row r="4" spans="1:3" ht="17.25" thickBot="1" x14ac:dyDescent="0.35">
      <c r="A4" s="14">
        <v>2</v>
      </c>
      <c r="B4" s="14">
        <v>6</v>
      </c>
      <c r="C4" s="6">
        <v>1000</v>
      </c>
    </row>
    <row r="5" spans="1:3" ht="17.25" thickBot="1" x14ac:dyDescent="0.35">
      <c r="A5" s="14">
        <v>3</v>
      </c>
      <c r="B5" s="14">
        <v>11.5</v>
      </c>
      <c r="C5" s="6">
        <v>1500</v>
      </c>
    </row>
    <row r="6" spans="1:3" ht="17.25" thickBot="1" x14ac:dyDescent="0.35">
      <c r="A6" s="14">
        <v>4</v>
      </c>
      <c r="B6" s="14">
        <v>17</v>
      </c>
      <c r="C6" s="6">
        <v>2000</v>
      </c>
    </row>
    <row r="7" spans="1:3" ht="17.25" thickBot="1" x14ac:dyDescent="0.35">
      <c r="A7" s="14">
        <v>5</v>
      </c>
      <c r="B7" s="14">
        <v>22.5</v>
      </c>
      <c r="C7" s="6">
        <v>2500</v>
      </c>
    </row>
    <row r="8" spans="1:3" ht="17.25" thickBot="1" x14ac:dyDescent="0.35">
      <c r="A8" s="14">
        <v>6</v>
      </c>
      <c r="B8" s="14">
        <v>28</v>
      </c>
      <c r="C8" s="6">
        <v>3000</v>
      </c>
    </row>
    <row r="9" spans="1:3" ht="17.25" thickBot="1" x14ac:dyDescent="0.35">
      <c r="A9" s="14">
        <v>7</v>
      </c>
      <c r="B9" s="14">
        <v>33.5</v>
      </c>
      <c r="C9" s="6">
        <v>3500</v>
      </c>
    </row>
    <row r="10" spans="1:3" ht="17.25" thickBot="1" x14ac:dyDescent="0.35">
      <c r="A10" s="14">
        <v>8</v>
      </c>
      <c r="B10" s="14">
        <v>39</v>
      </c>
      <c r="C10" s="6">
        <v>4000</v>
      </c>
    </row>
    <row r="11" spans="1:3" ht="17.25" thickBot="1" x14ac:dyDescent="0.35">
      <c r="A11" s="14">
        <v>9</v>
      </c>
      <c r="B11" s="14">
        <v>44.5</v>
      </c>
      <c r="C11" s="6">
        <v>4500</v>
      </c>
    </row>
    <row r="12" spans="1:3" ht="17.25" thickBot="1" x14ac:dyDescent="0.35">
      <c r="A12" s="14">
        <v>10</v>
      </c>
      <c r="B12" s="14">
        <v>50</v>
      </c>
      <c r="C12" s="6">
        <v>5000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1FF98-8577-4206-85EC-A169AF2AE165}">
  <dimension ref="A1:B12"/>
  <sheetViews>
    <sheetView workbookViewId="0">
      <selection activeCell="C4" sqref="C4"/>
    </sheetView>
  </sheetViews>
  <sheetFormatPr defaultRowHeight="16.5" x14ac:dyDescent="0.3"/>
  <cols>
    <col min="1" max="1" width="9.5" bestFit="1" customWidth="1"/>
    <col min="2" max="2" width="17.625" bestFit="1" customWidth="1"/>
  </cols>
  <sheetData>
    <row r="1" spans="1:2" ht="17.25" thickBot="1" x14ac:dyDescent="0.35">
      <c r="A1" s="12" t="s">
        <v>99</v>
      </c>
      <c r="B1" s="4" t="s">
        <v>119</v>
      </c>
    </row>
    <row r="2" spans="1:2" ht="17.25" thickBot="1" x14ac:dyDescent="0.35">
      <c r="A2" s="13" t="s">
        <v>14</v>
      </c>
      <c r="B2" s="5" t="s">
        <v>63</v>
      </c>
    </row>
    <row r="3" spans="1:2" ht="17.25" thickBot="1" x14ac:dyDescent="0.35">
      <c r="A3" s="14">
        <v>1</v>
      </c>
      <c r="B3" s="15">
        <v>1800</v>
      </c>
    </row>
    <row r="4" spans="1:2" ht="17.25" thickBot="1" x14ac:dyDescent="0.35">
      <c r="A4" s="14">
        <v>2</v>
      </c>
      <c r="B4" s="14">
        <v>3600</v>
      </c>
    </row>
    <row r="5" spans="1:2" ht="17.25" thickBot="1" x14ac:dyDescent="0.35">
      <c r="A5" s="14">
        <v>3</v>
      </c>
      <c r="B5" s="14">
        <v>5400</v>
      </c>
    </row>
    <row r="6" spans="1:2" ht="17.25" thickBot="1" x14ac:dyDescent="0.35">
      <c r="A6" s="14">
        <v>4</v>
      </c>
      <c r="B6" s="14">
        <v>7200</v>
      </c>
    </row>
    <row r="7" spans="1:2" ht="17.25" thickBot="1" x14ac:dyDescent="0.35">
      <c r="A7" s="14">
        <v>5</v>
      </c>
      <c r="B7" s="14">
        <v>9000</v>
      </c>
    </row>
    <row r="8" spans="1:2" ht="17.25" thickBot="1" x14ac:dyDescent="0.35">
      <c r="A8" s="14">
        <v>6</v>
      </c>
      <c r="B8" s="14">
        <v>10800</v>
      </c>
    </row>
    <row r="9" spans="1:2" ht="17.25" thickBot="1" x14ac:dyDescent="0.35">
      <c r="A9" s="14">
        <v>7</v>
      </c>
      <c r="B9" s="14">
        <v>12600</v>
      </c>
    </row>
    <row r="10" spans="1:2" ht="17.25" thickBot="1" x14ac:dyDescent="0.35">
      <c r="A10" s="14">
        <v>8</v>
      </c>
      <c r="B10" s="14">
        <v>14400</v>
      </c>
    </row>
    <row r="11" spans="1:2" ht="17.25" thickBot="1" x14ac:dyDescent="0.35">
      <c r="A11" s="14">
        <v>9</v>
      </c>
      <c r="B11" s="14">
        <v>16200</v>
      </c>
    </row>
    <row r="12" spans="1:2" ht="17.25" thickBot="1" x14ac:dyDescent="0.35">
      <c r="A12" s="14">
        <v>10</v>
      </c>
      <c r="B12" s="14">
        <v>18000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04E2B-E57D-4606-9987-2D9A3720304F}">
  <dimension ref="A1:E12"/>
  <sheetViews>
    <sheetView workbookViewId="0">
      <selection activeCell="E25" sqref="E25"/>
    </sheetView>
  </sheetViews>
  <sheetFormatPr defaultRowHeight="16.5" x14ac:dyDescent="0.3"/>
  <cols>
    <col min="1" max="1" width="5.375" bestFit="1" customWidth="1"/>
    <col min="2" max="2" width="13" bestFit="1" customWidth="1"/>
    <col min="3" max="3" width="11.25" bestFit="1" customWidth="1"/>
    <col min="4" max="4" width="11" bestFit="1" customWidth="1"/>
    <col min="5" max="5" width="11.125" bestFit="1" customWidth="1"/>
  </cols>
  <sheetData>
    <row r="1" spans="1:5" ht="17.25" thickBot="1" x14ac:dyDescent="0.35">
      <c r="A1" s="12" t="s">
        <v>99</v>
      </c>
      <c r="B1" s="12" t="s">
        <v>112</v>
      </c>
      <c r="C1" s="4" t="s">
        <v>113</v>
      </c>
      <c r="D1" s="4" t="s">
        <v>114</v>
      </c>
      <c r="E1" s="4" t="s">
        <v>115</v>
      </c>
    </row>
    <row r="2" spans="1:5" ht="17.25" thickBot="1" x14ac:dyDescent="0.35">
      <c r="A2" s="13" t="s">
        <v>14</v>
      </c>
      <c r="B2" s="13" t="s">
        <v>63</v>
      </c>
      <c r="C2" s="5" t="s">
        <v>63</v>
      </c>
      <c r="D2" s="5" t="s">
        <v>63</v>
      </c>
      <c r="E2" s="5" t="s">
        <v>63</v>
      </c>
    </row>
    <row r="3" spans="1:5" ht="17.25" thickBot="1" x14ac:dyDescent="0.35">
      <c r="A3" s="14">
        <v>1</v>
      </c>
      <c r="B3" s="15">
        <v>3</v>
      </c>
      <c r="C3" s="16">
        <v>90</v>
      </c>
      <c r="D3" s="16">
        <v>9</v>
      </c>
      <c r="E3" s="16">
        <v>1</v>
      </c>
    </row>
    <row r="4" spans="1:5" ht="17.25" thickBot="1" x14ac:dyDescent="0.35">
      <c r="A4" s="14">
        <v>2</v>
      </c>
      <c r="B4" s="14">
        <v>3</v>
      </c>
      <c r="C4" s="6">
        <v>87</v>
      </c>
      <c r="D4" s="6">
        <v>11</v>
      </c>
      <c r="E4" s="6">
        <v>2</v>
      </c>
    </row>
    <row r="5" spans="1:5" ht="17.25" thickBot="1" x14ac:dyDescent="0.35">
      <c r="A5" s="14">
        <v>3</v>
      </c>
      <c r="B5" s="14">
        <v>4</v>
      </c>
      <c r="C5" s="6">
        <v>84</v>
      </c>
      <c r="D5" s="6">
        <v>13</v>
      </c>
      <c r="E5" s="6">
        <v>3</v>
      </c>
    </row>
    <row r="6" spans="1:5" ht="17.25" thickBot="1" x14ac:dyDescent="0.35">
      <c r="A6" s="14">
        <v>4</v>
      </c>
      <c r="B6" s="14">
        <v>5</v>
      </c>
      <c r="C6" s="6">
        <v>81</v>
      </c>
      <c r="D6" s="6">
        <v>15</v>
      </c>
      <c r="E6" s="6">
        <v>4</v>
      </c>
    </row>
    <row r="7" spans="1:5" ht="17.25" thickBot="1" x14ac:dyDescent="0.35">
      <c r="A7" s="14">
        <v>5</v>
      </c>
      <c r="B7" s="14">
        <v>6</v>
      </c>
      <c r="C7" s="6">
        <v>78</v>
      </c>
      <c r="D7" s="6">
        <v>17</v>
      </c>
      <c r="E7" s="6">
        <v>5</v>
      </c>
    </row>
    <row r="8" spans="1:5" ht="17.25" thickBot="1" x14ac:dyDescent="0.35">
      <c r="A8" s="14">
        <v>6</v>
      </c>
      <c r="B8" s="14">
        <v>6</v>
      </c>
      <c r="C8" s="6">
        <v>75</v>
      </c>
      <c r="D8" s="6">
        <v>19</v>
      </c>
      <c r="E8" s="6">
        <v>6</v>
      </c>
    </row>
    <row r="9" spans="1:5" ht="17.25" thickBot="1" x14ac:dyDescent="0.35">
      <c r="A9" s="14">
        <v>7</v>
      </c>
      <c r="B9" s="14">
        <v>7</v>
      </c>
      <c r="C9" s="6">
        <v>72</v>
      </c>
      <c r="D9" s="6">
        <v>21</v>
      </c>
      <c r="E9" s="6">
        <v>7</v>
      </c>
    </row>
    <row r="10" spans="1:5" ht="17.25" thickBot="1" x14ac:dyDescent="0.35">
      <c r="A10" s="14">
        <v>8</v>
      </c>
      <c r="B10" s="14">
        <v>8</v>
      </c>
      <c r="C10" s="6">
        <v>68</v>
      </c>
      <c r="D10" s="6">
        <v>24</v>
      </c>
      <c r="E10" s="6">
        <v>8</v>
      </c>
    </row>
    <row r="11" spans="1:5" ht="17.25" thickBot="1" x14ac:dyDescent="0.35">
      <c r="A11" s="14">
        <v>9</v>
      </c>
      <c r="B11" s="14">
        <v>9</v>
      </c>
      <c r="C11" s="6">
        <v>64</v>
      </c>
      <c r="D11" s="6">
        <v>27</v>
      </c>
      <c r="E11" s="6">
        <v>9</v>
      </c>
    </row>
    <row r="12" spans="1:5" ht="17.25" thickBot="1" x14ac:dyDescent="0.35">
      <c r="A12" s="14">
        <v>10</v>
      </c>
      <c r="B12" s="14">
        <v>10</v>
      </c>
      <c r="C12" s="6">
        <v>60</v>
      </c>
      <c r="D12" s="6">
        <v>30</v>
      </c>
      <c r="E12" s="6">
        <v>10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CD47-01F1-472B-BA7E-FCC3324D0F9F}">
  <dimension ref="A1:D12"/>
  <sheetViews>
    <sheetView workbookViewId="0">
      <selection activeCell="C14" sqref="C14"/>
    </sheetView>
  </sheetViews>
  <sheetFormatPr defaultRowHeight="16.5" x14ac:dyDescent="0.3"/>
  <cols>
    <col min="1" max="1" width="5.375" bestFit="1" customWidth="1"/>
    <col min="2" max="2" width="17.5" bestFit="1" customWidth="1"/>
    <col min="3" max="3" width="18.5" bestFit="1" customWidth="1"/>
    <col min="4" max="4" width="10.25" bestFit="1" customWidth="1"/>
  </cols>
  <sheetData>
    <row r="1" spans="1:4" ht="17.25" thickBot="1" x14ac:dyDescent="0.35">
      <c r="A1" s="12" t="s">
        <v>99</v>
      </c>
      <c r="B1" s="12" t="s">
        <v>116</v>
      </c>
      <c r="C1" s="4" t="s">
        <v>117</v>
      </c>
      <c r="D1" s="4" t="s">
        <v>118</v>
      </c>
    </row>
    <row r="2" spans="1:4" ht="17.25" thickBot="1" x14ac:dyDescent="0.35">
      <c r="A2" s="13" t="s">
        <v>14</v>
      </c>
      <c r="B2" s="13" t="s">
        <v>0</v>
      </c>
      <c r="C2" s="5" t="s">
        <v>0</v>
      </c>
      <c r="D2" s="5" t="s">
        <v>63</v>
      </c>
    </row>
    <row r="3" spans="1:4" ht="17.25" thickBot="1" x14ac:dyDescent="0.35">
      <c r="A3" s="14">
        <v>1</v>
      </c>
      <c r="B3" s="15">
        <v>5.0000000000000001E-3</v>
      </c>
      <c r="C3" s="16">
        <v>0</v>
      </c>
      <c r="D3" s="16">
        <v>3</v>
      </c>
    </row>
    <row r="4" spans="1:4" ht="17.25" thickBot="1" x14ac:dyDescent="0.35">
      <c r="A4" s="14">
        <v>2</v>
      </c>
      <c r="B4" s="14">
        <v>7.0000000000000001E-3</v>
      </c>
      <c r="C4" s="6">
        <v>0</v>
      </c>
      <c r="D4" s="6">
        <v>4</v>
      </c>
    </row>
    <row r="5" spans="1:4" ht="17.25" thickBot="1" x14ac:dyDescent="0.35">
      <c r="A5" s="14">
        <v>3</v>
      </c>
      <c r="B5" s="14">
        <v>9.4999999999999998E-3</v>
      </c>
      <c r="C5" s="6">
        <v>0</v>
      </c>
      <c r="D5" s="6">
        <v>4</v>
      </c>
    </row>
    <row r="6" spans="1:4" ht="17.25" thickBot="1" x14ac:dyDescent="0.35">
      <c r="A6" s="14">
        <v>4</v>
      </c>
      <c r="B6" s="14">
        <v>1.15E-2</v>
      </c>
      <c r="C6" s="6">
        <v>0</v>
      </c>
      <c r="D6" s="6">
        <v>5</v>
      </c>
    </row>
    <row r="7" spans="1:4" ht="17.25" thickBot="1" x14ac:dyDescent="0.35">
      <c r="A7" s="14">
        <v>5</v>
      </c>
      <c r="B7" s="14">
        <v>1.4E-2</v>
      </c>
      <c r="C7" s="6">
        <v>0</v>
      </c>
      <c r="D7" s="6">
        <v>5</v>
      </c>
    </row>
    <row r="8" spans="1:4" ht="17.25" thickBot="1" x14ac:dyDescent="0.35">
      <c r="A8" s="14">
        <v>6</v>
      </c>
      <c r="B8" s="14">
        <v>1.6E-2</v>
      </c>
      <c r="C8" s="6">
        <v>0</v>
      </c>
      <c r="D8" s="6">
        <v>6</v>
      </c>
    </row>
    <row r="9" spans="1:4" ht="17.25" thickBot="1" x14ac:dyDescent="0.35">
      <c r="A9" s="14">
        <v>7</v>
      </c>
      <c r="B9" s="14">
        <v>1.8499999999999999E-2</v>
      </c>
      <c r="C9" s="6">
        <v>0</v>
      </c>
      <c r="D9" s="6">
        <v>6</v>
      </c>
    </row>
    <row r="10" spans="1:4" ht="17.25" thickBot="1" x14ac:dyDescent="0.35">
      <c r="A10" s="14">
        <v>8</v>
      </c>
      <c r="B10" s="14">
        <v>2.0500000000000001E-2</v>
      </c>
      <c r="C10" s="6">
        <v>0</v>
      </c>
      <c r="D10" s="6">
        <v>7</v>
      </c>
    </row>
    <row r="11" spans="1:4" ht="17.25" thickBot="1" x14ac:dyDescent="0.35">
      <c r="A11" s="14">
        <v>9</v>
      </c>
      <c r="B11" s="14">
        <v>2.3E-2</v>
      </c>
      <c r="C11" s="6">
        <v>0</v>
      </c>
      <c r="D11" s="6">
        <v>7</v>
      </c>
    </row>
    <row r="12" spans="1:4" ht="17.25" thickBot="1" x14ac:dyDescent="0.35">
      <c r="A12" s="14">
        <v>10</v>
      </c>
      <c r="B12" s="14">
        <v>2.5000000000000001E-2</v>
      </c>
      <c r="C12" s="6">
        <v>0</v>
      </c>
      <c r="D12" s="6">
        <v>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3AE6D-7B52-48DE-9717-BAAA3077CF3B}">
  <dimension ref="A1:D12"/>
  <sheetViews>
    <sheetView workbookViewId="0">
      <selection activeCell="B20" sqref="B20"/>
    </sheetView>
  </sheetViews>
  <sheetFormatPr defaultRowHeight="16.5" x14ac:dyDescent="0.3"/>
  <cols>
    <col min="1" max="1" width="16.875" bestFit="1" customWidth="1"/>
    <col min="2" max="2" width="24.375" bestFit="1" customWidth="1"/>
    <col min="3" max="3" width="12.25" bestFit="1" customWidth="1"/>
    <col min="4" max="4" width="24.375" bestFit="1" customWidth="1"/>
  </cols>
  <sheetData>
    <row r="1" spans="1:4" ht="17.25" thickBot="1" x14ac:dyDescent="0.35">
      <c r="A1" s="4" t="s">
        <v>28</v>
      </c>
      <c r="B1" s="4" t="s">
        <v>29</v>
      </c>
      <c r="C1" s="4" t="s">
        <v>30</v>
      </c>
      <c r="D1" s="4" t="s">
        <v>31</v>
      </c>
    </row>
    <row r="2" spans="1:4" ht="17.25" thickBot="1" x14ac:dyDescent="0.35">
      <c r="A2" s="5" t="s">
        <v>0</v>
      </c>
      <c r="B2" s="5" t="s">
        <v>32</v>
      </c>
      <c r="C2" s="5" t="s">
        <v>0</v>
      </c>
      <c r="D2" s="5" t="s">
        <v>0</v>
      </c>
    </row>
    <row r="3" spans="1:4" ht="17.25" thickBot="1" x14ac:dyDescent="0.35">
      <c r="A3" s="6" t="s">
        <v>33</v>
      </c>
      <c r="B3" s="6" t="s">
        <v>34</v>
      </c>
      <c r="C3" s="6">
        <v>0</v>
      </c>
      <c r="D3" s="6"/>
    </row>
    <row r="4" spans="1:4" ht="17.25" thickBot="1" x14ac:dyDescent="0.35">
      <c r="A4" s="6" t="s">
        <v>36</v>
      </c>
      <c r="B4" s="6" t="s">
        <v>37</v>
      </c>
      <c r="C4" s="6">
        <v>0</v>
      </c>
      <c r="D4" s="6"/>
    </row>
    <row r="5" spans="1:4" ht="17.25" thickBot="1" x14ac:dyDescent="0.35">
      <c r="A5" s="6" t="s">
        <v>38</v>
      </c>
      <c r="B5" s="6" t="s">
        <v>39</v>
      </c>
      <c r="C5" s="6">
        <v>1</v>
      </c>
      <c r="D5" s="7"/>
    </row>
    <row r="6" spans="1:4" ht="17.25" thickBot="1" x14ac:dyDescent="0.35">
      <c r="A6" s="6" t="s">
        <v>41</v>
      </c>
      <c r="B6" s="6" t="s">
        <v>42</v>
      </c>
      <c r="C6" s="6">
        <v>1</v>
      </c>
      <c r="D6" s="7"/>
    </row>
    <row r="7" spans="1:4" ht="17.25" thickBot="1" x14ac:dyDescent="0.35">
      <c r="A7" s="6" t="s">
        <v>43</v>
      </c>
      <c r="B7" s="6" t="s">
        <v>44</v>
      </c>
      <c r="C7" s="6">
        <v>3</v>
      </c>
      <c r="D7" s="7"/>
    </row>
    <row r="8" spans="1:4" ht="17.25" thickBot="1" x14ac:dyDescent="0.35">
      <c r="A8" s="6" t="s">
        <v>46</v>
      </c>
      <c r="B8" s="6" t="s">
        <v>47</v>
      </c>
      <c r="C8" s="6">
        <v>3</v>
      </c>
      <c r="D8" s="7"/>
    </row>
    <row r="9" spans="1:4" ht="17.25" thickBot="1" x14ac:dyDescent="0.35">
      <c r="A9" s="6" t="s">
        <v>48</v>
      </c>
      <c r="B9" s="6" t="s">
        <v>49</v>
      </c>
      <c r="C9" s="6">
        <v>2</v>
      </c>
      <c r="D9" s="7"/>
    </row>
    <row r="10" spans="1:4" ht="17.25" thickBot="1" x14ac:dyDescent="0.35">
      <c r="A10" s="6" t="s">
        <v>51</v>
      </c>
      <c r="B10" s="6" t="s">
        <v>52</v>
      </c>
      <c r="C10" s="6">
        <v>2</v>
      </c>
      <c r="D10" s="7"/>
    </row>
    <row r="11" spans="1:4" ht="17.25" thickBot="1" x14ac:dyDescent="0.35">
      <c r="A11" s="6" t="s">
        <v>53</v>
      </c>
      <c r="B11" s="6" t="s">
        <v>54</v>
      </c>
      <c r="C11" s="6">
        <v>4</v>
      </c>
      <c r="D11" s="7"/>
    </row>
    <row r="12" spans="1:4" ht="17.25" thickBot="1" x14ac:dyDescent="0.35">
      <c r="A12" s="6" t="s">
        <v>56</v>
      </c>
      <c r="B12" s="6" t="s">
        <v>57</v>
      </c>
      <c r="C12" s="6">
        <v>4</v>
      </c>
      <c r="D12" s="7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4F46F-68D3-4E63-B700-B9F81B9C8277}">
  <dimension ref="A1:E5"/>
  <sheetViews>
    <sheetView workbookViewId="0">
      <selection activeCell="Q12" sqref="Q12"/>
    </sheetView>
  </sheetViews>
  <sheetFormatPr defaultRowHeight="16.5" x14ac:dyDescent="0.3"/>
  <cols>
    <col min="1" max="1" width="7.875" bestFit="1" customWidth="1"/>
    <col min="2" max="2" width="4.25" bestFit="1" customWidth="1"/>
    <col min="3" max="3" width="16" bestFit="1" customWidth="1"/>
    <col min="4" max="4" width="10.375" bestFit="1" customWidth="1"/>
    <col min="5" max="5" width="13.375" bestFit="1" customWidth="1"/>
  </cols>
  <sheetData>
    <row r="1" spans="1:5" x14ac:dyDescent="0.3">
      <c r="A1" s="8" t="s">
        <v>95</v>
      </c>
      <c r="B1" s="8" t="s">
        <v>1</v>
      </c>
      <c r="C1" s="8" t="s">
        <v>96</v>
      </c>
      <c r="D1" s="8" t="s">
        <v>97</v>
      </c>
      <c r="E1" s="8" t="s">
        <v>98</v>
      </c>
    </row>
    <row r="2" spans="1:5" x14ac:dyDescent="0.3">
      <c r="A2" s="8" t="s">
        <v>0</v>
      </c>
      <c r="B2" s="8" t="s">
        <v>14</v>
      </c>
      <c r="C2" s="8" t="s">
        <v>63</v>
      </c>
      <c r="D2" s="8" t="s">
        <v>63</v>
      </c>
      <c r="E2" s="8" t="s">
        <v>63</v>
      </c>
    </row>
    <row r="3" spans="1:5" x14ac:dyDescent="0.3">
      <c r="A3" s="9" t="s">
        <v>77</v>
      </c>
      <c r="B3" s="10">
        <f>VLOOKUP(A3,Overview!$A$16:$B$20,2,FALSE)</f>
        <v>0</v>
      </c>
      <c r="C3" s="10">
        <v>3600</v>
      </c>
      <c r="D3" s="10">
        <v>10</v>
      </c>
      <c r="E3" s="10">
        <v>100</v>
      </c>
    </row>
    <row r="4" spans="1:5" x14ac:dyDescent="0.3">
      <c r="A4" s="9" t="s">
        <v>78</v>
      </c>
      <c r="B4" s="10">
        <f>VLOOKUP(A4,Overview!$A$16:$B$20,2,FALSE)</f>
        <v>2</v>
      </c>
      <c r="C4" s="10">
        <v>21600</v>
      </c>
      <c r="D4" s="10">
        <v>60</v>
      </c>
      <c r="E4" s="10">
        <v>300</v>
      </c>
    </row>
    <row r="5" spans="1:5" x14ac:dyDescent="0.3">
      <c r="A5" s="9" t="s">
        <v>79</v>
      </c>
      <c r="B5" s="10">
        <f>VLOOKUP(A5,Overview!$A$16:$B$20,2,FALSE)</f>
        <v>4</v>
      </c>
      <c r="C5" s="10">
        <v>86400</v>
      </c>
      <c r="D5" s="10">
        <v>240</v>
      </c>
      <c r="E5" s="10">
        <v>500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F873B-B31A-4110-93A3-D7A2ED5125F3}">
  <dimension ref="A1:H96"/>
  <sheetViews>
    <sheetView workbookViewId="0">
      <selection activeCell="E9" sqref="E9"/>
    </sheetView>
  </sheetViews>
  <sheetFormatPr defaultColWidth="36" defaultRowHeight="16.5" x14ac:dyDescent="0.3"/>
  <cols>
    <col min="1" max="1" width="8.875" bestFit="1" customWidth="1"/>
    <col min="2" max="2" width="7" bestFit="1" customWidth="1"/>
    <col min="3" max="3" width="6.125" bestFit="1" customWidth="1"/>
    <col min="4" max="4" width="10" bestFit="1" customWidth="1"/>
    <col min="5" max="5" width="12.375" bestFit="1" customWidth="1"/>
    <col min="6" max="6" width="11.125" bestFit="1" customWidth="1"/>
    <col min="7" max="7" width="11.625" bestFit="1" customWidth="1"/>
    <col min="8" max="8" width="9.125" bestFit="1" customWidth="1"/>
  </cols>
  <sheetData>
    <row r="1" spans="1:8" ht="17.25" thickBot="1" x14ac:dyDescent="0.35">
      <c r="A1" s="4" t="s">
        <v>28</v>
      </c>
      <c r="B1" s="4" t="s">
        <v>82</v>
      </c>
      <c r="C1" s="4" t="s">
        <v>58</v>
      </c>
      <c r="D1" s="4" t="s">
        <v>59</v>
      </c>
      <c r="E1" s="4" t="s">
        <v>123</v>
      </c>
      <c r="F1" s="4" t="s">
        <v>60</v>
      </c>
      <c r="G1" s="4" t="s">
        <v>61</v>
      </c>
      <c r="H1" s="4" t="s">
        <v>62</v>
      </c>
    </row>
    <row r="2" spans="1:8" ht="17.25" thickBot="1" x14ac:dyDescent="0.35">
      <c r="A2" s="5" t="s">
        <v>0</v>
      </c>
      <c r="B2" s="5"/>
      <c r="C2" s="5" t="s">
        <v>14</v>
      </c>
      <c r="D2" s="5" t="s">
        <v>63</v>
      </c>
      <c r="E2" s="5" t="s">
        <v>0</v>
      </c>
      <c r="F2" s="5" t="s">
        <v>63</v>
      </c>
      <c r="G2" s="5" t="s">
        <v>63</v>
      </c>
      <c r="H2" s="5" t="s">
        <v>0</v>
      </c>
    </row>
    <row r="3" spans="1:8" ht="17.25" thickBot="1" x14ac:dyDescent="0.35">
      <c r="A3" s="6" t="s">
        <v>72</v>
      </c>
      <c r="B3" s="6" t="s">
        <v>64</v>
      </c>
      <c r="C3" s="6">
        <f>VLOOKUP(B3,Overview!$A$16:$B$20,2,FALSE)</f>
        <v>0</v>
      </c>
      <c r="D3" s="6">
        <v>0</v>
      </c>
      <c r="E3" s="6" t="s">
        <v>65</v>
      </c>
      <c r="F3" s="6">
        <v>100</v>
      </c>
      <c r="G3" s="6">
        <v>200</v>
      </c>
      <c r="H3" s="15">
        <v>1</v>
      </c>
    </row>
    <row r="4" spans="1:8" ht="17.25" thickBot="1" x14ac:dyDescent="0.35">
      <c r="A4" s="6" t="s">
        <v>35</v>
      </c>
      <c r="B4" s="6" t="s">
        <v>64</v>
      </c>
      <c r="C4" s="6">
        <f>VLOOKUP(B4,Overview!$A$16:$B$20,2,FALSE)</f>
        <v>0</v>
      </c>
      <c r="D4" s="6">
        <v>0</v>
      </c>
      <c r="E4" s="6" t="s">
        <v>65</v>
      </c>
      <c r="F4" s="6">
        <v>50</v>
      </c>
      <c r="G4" s="6">
        <v>100</v>
      </c>
      <c r="H4" s="14">
        <v>1</v>
      </c>
    </row>
    <row r="5" spans="1:8" ht="17.25" thickBot="1" x14ac:dyDescent="0.35">
      <c r="A5" s="6" t="s">
        <v>35</v>
      </c>
      <c r="B5" s="6" t="s">
        <v>64</v>
      </c>
      <c r="C5" s="6">
        <f>VLOOKUP(B5,Overview!$A$16:$B$20,2,FALSE)</f>
        <v>0</v>
      </c>
      <c r="D5" s="6">
        <v>25</v>
      </c>
      <c r="E5" s="6" t="s">
        <v>65</v>
      </c>
      <c r="F5" s="6">
        <v>1</v>
      </c>
      <c r="G5" s="6">
        <v>1</v>
      </c>
      <c r="H5" s="14">
        <v>0.35</v>
      </c>
    </row>
    <row r="6" spans="1:8" ht="17.25" thickBot="1" x14ac:dyDescent="0.35">
      <c r="A6" s="6" t="s">
        <v>35</v>
      </c>
      <c r="B6" s="6" t="s">
        <v>64</v>
      </c>
      <c r="C6" s="6">
        <f>VLOOKUP(B6,Overview!$A$16:$B$20,2,FALSE)</f>
        <v>0</v>
      </c>
      <c r="D6" s="6">
        <v>25</v>
      </c>
      <c r="E6" s="6" t="s">
        <v>83</v>
      </c>
      <c r="F6" s="6">
        <v>1</v>
      </c>
      <c r="G6" s="6">
        <v>1</v>
      </c>
      <c r="H6" s="14">
        <v>0.3</v>
      </c>
    </row>
    <row r="7" spans="1:8" ht="17.25" thickBot="1" x14ac:dyDescent="0.35">
      <c r="A7" s="6" t="s">
        <v>35</v>
      </c>
      <c r="B7" s="6" t="s">
        <v>64</v>
      </c>
      <c r="C7" s="6">
        <f>VLOOKUP(B7,Overview!$A$16:$B$20,2,FALSE)</f>
        <v>0</v>
      </c>
      <c r="D7" s="6">
        <v>50</v>
      </c>
      <c r="E7" s="6" t="s">
        <v>65</v>
      </c>
      <c r="F7" s="6">
        <v>1</v>
      </c>
      <c r="G7" s="6">
        <v>1</v>
      </c>
      <c r="H7" s="14">
        <v>0.2</v>
      </c>
    </row>
    <row r="8" spans="1:8" ht="17.25" thickBot="1" x14ac:dyDescent="0.35">
      <c r="A8" s="6" t="s">
        <v>35</v>
      </c>
      <c r="B8" s="6" t="s">
        <v>64</v>
      </c>
      <c r="C8" s="6">
        <f>VLOOKUP(B8,Overview!$A$16:$B$20,2,FALSE)</f>
        <v>0</v>
      </c>
      <c r="D8" s="6">
        <v>50</v>
      </c>
      <c r="E8" s="6" t="s">
        <v>83</v>
      </c>
      <c r="F8" s="6">
        <v>1</v>
      </c>
      <c r="G8" s="6">
        <v>1</v>
      </c>
      <c r="H8" s="14">
        <v>1</v>
      </c>
    </row>
    <row r="9" spans="1:8" ht="17.25" thickBot="1" x14ac:dyDescent="0.35">
      <c r="A9" s="6" t="s">
        <v>35</v>
      </c>
      <c r="B9" s="6" t="s">
        <v>64</v>
      </c>
      <c r="C9" s="6">
        <f>VLOOKUP(B9,Overview!$A$16:$B$20,2,FALSE)</f>
        <v>0</v>
      </c>
      <c r="D9" s="6">
        <v>100</v>
      </c>
      <c r="E9" s="6" t="s">
        <v>66</v>
      </c>
      <c r="F9" s="6">
        <v>1</v>
      </c>
      <c r="G9" s="6">
        <v>1</v>
      </c>
      <c r="H9" s="14">
        <v>1</v>
      </c>
    </row>
    <row r="10" spans="1:8" ht="17.25" thickBot="1" x14ac:dyDescent="0.35">
      <c r="A10" s="6" t="s">
        <v>35</v>
      </c>
      <c r="B10" s="6" t="s">
        <v>67</v>
      </c>
      <c r="C10" s="6">
        <f>VLOOKUP(B10,Overview!$A$16:$B$20,2,FALSE)</f>
        <v>2</v>
      </c>
      <c r="D10" s="6">
        <v>0</v>
      </c>
      <c r="E10" s="6" t="s">
        <v>65</v>
      </c>
      <c r="F10" s="6">
        <v>500</v>
      </c>
      <c r="G10" s="6">
        <v>800</v>
      </c>
      <c r="H10" s="14">
        <v>0.4</v>
      </c>
    </row>
    <row r="11" spans="1:8" ht="17.25" thickBot="1" x14ac:dyDescent="0.35">
      <c r="A11" s="6" t="s">
        <v>35</v>
      </c>
      <c r="B11" s="6" t="s">
        <v>67</v>
      </c>
      <c r="C11" s="6">
        <f>VLOOKUP(B11,Overview!$A$16:$B$20,2,FALSE)</f>
        <v>2</v>
      </c>
      <c r="D11" s="6">
        <v>0</v>
      </c>
      <c r="E11" s="6" t="s">
        <v>65</v>
      </c>
      <c r="F11" s="6">
        <v>200</v>
      </c>
      <c r="G11" s="6">
        <v>400</v>
      </c>
      <c r="H11" s="14">
        <v>0.35</v>
      </c>
    </row>
    <row r="12" spans="1:8" ht="17.25" thickBot="1" x14ac:dyDescent="0.35">
      <c r="A12" s="6" t="s">
        <v>35</v>
      </c>
      <c r="B12" s="6" t="s">
        <v>67</v>
      </c>
      <c r="C12" s="6">
        <f>VLOOKUP(B12,Overview!$A$16:$B$20,2,FALSE)</f>
        <v>2</v>
      </c>
      <c r="D12" s="6">
        <v>25</v>
      </c>
      <c r="E12" s="6" t="s">
        <v>65</v>
      </c>
      <c r="F12" s="6">
        <v>1</v>
      </c>
      <c r="G12" s="6">
        <v>2</v>
      </c>
      <c r="H12" s="14">
        <v>0.3</v>
      </c>
    </row>
    <row r="13" spans="1:8" ht="17.25" thickBot="1" x14ac:dyDescent="0.35">
      <c r="A13" s="6" t="s">
        <v>35</v>
      </c>
      <c r="B13" s="6" t="s">
        <v>67</v>
      </c>
      <c r="C13" s="6">
        <f>VLOOKUP(B13,Overview!$A$16:$B$20,2,FALSE)</f>
        <v>2</v>
      </c>
      <c r="D13" s="6">
        <v>25</v>
      </c>
      <c r="E13" s="6" t="s">
        <v>83</v>
      </c>
      <c r="F13" s="6">
        <v>1</v>
      </c>
      <c r="G13" s="6">
        <v>1</v>
      </c>
      <c r="H13" s="14">
        <v>0.2</v>
      </c>
    </row>
    <row r="14" spans="1:8" ht="17.25" thickBot="1" x14ac:dyDescent="0.35">
      <c r="A14" s="6" t="s">
        <v>35</v>
      </c>
      <c r="B14" s="6" t="s">
        <v>67</v>
      </c>
      <c r="C14" s="6">
        <f>VLOOKUP(B14,Overview!$A$16:$B$20,2,FALSE)</f>
        <v>2</v>
      </c>
      <c r="D14" s="6">
        <v>50</v>
      </c>
      <c r="E14" s="6" t="s">
        <v>65</v>
      </c>
      <c r="F14" s="6">
        <v>1</v>
      </c>
      <c r="G14" s="6">
        <v>1</v>
      </c>
      <c r="H14" s="14">
        <v>1</v>
      </c>
    </row>
    <row r="15" spans="1:8" ht="17.25" thickBot="1" x14ac:dyDescent="0.35">
      <c r="A15" s="6" t="s">
        <v>35</v>
      </c>
      <c r="B15" s="6" t="s">
        <v>67</v>
      </c>
      <c r="C15" s="6">
        <f>VLOOKUP(B15,Overview!$A$16:$B$20,2,FALSE)</f>
        <v>2</v>
      </c>
      <c r="D15" s="6">
        <v>50</v>
      </c>
      <c r="E15" s="6" t="s">
        <v>83</v>
      </c>
      <c r="F15" s="6">
        <v>1</v>
      </c>
      <c r="G15" s="6">
        <v>1</v>
      </c>
      <c r="H15" s="14">
        <v>1</v>
      </c>
    </row>
    <row r="16" spans="1:8" ht="17.25" thickBot="1" x14ac:dyDescent="0.35">
      <c r="A16" s="6" t="s">
        <v>35</v>
      </c>
      <c r="B16" s="6" t="s">
        <v>67</v>
      </c>
      <c r="C16" s="6">
        <f>VLOOKUP(B16,Overview!$A$16:$B$20,2,FALSE)</f>
        <v>2</v>
      </c>
      <c r="D16" s="6">
        <v>75</v>
      </c>
      <c r="E16" s="6" t="s">
        <v>68</v>
      </c>
      <c r="F16" s="6">
        <v>1</v>
      </c>
      <c r="G16" s="6">
        <v>1</v>
      </c>
      <c r="H16" s="14">
        <v>0.4</v>
      </c>
    </row>
    <row r="17" spans="1:8" ht="17.25" thickBot="1" x14ac:dyDescent="0.35">
      <c r="A17" s="6" t="s">
        <v>35</v>
      </c>
      <c r="B17" s="6" t="s">
        <v>67</v>
      </c>
      <c r="C17" s="6">
        <f>VLOOKUP(B17,Overview!$A$16:$B$20,2,FALSE)</f>
        <v>2</v>
      </c>
      <c r="D17" s="6">
        <v>100</v>
      </c>
      <c r="E17" s="6" t="s">
        <v>69</v>
      </c>
      <c r="F17" s="6">
        <v>1</v>
      </c>
      <c r="G17" s="6">
        <v>1</v>
      </c>
      <c r="H17" s="14">
        <v>0.35</v>
      </c>
    </row>
    <row r="18" spans="1:8" ht="17.25" thickBot="1" x14ac:dyDescent="0.35">
      <c r="A18" s="6" t="s">
        <v>35</v>
      </c>
      <c r="B18" s="6" t="s">
        <v>70</v>
      </c>
      <c r="C18" s="6">
        <f>VLOOKUP(B18,Overview!$A$16:$B$20,2,FALSE)</f>
        <v>4</v>
      </c>
      <c r="D18" s="6">
        <v>0</v>
      </c>
      <c r="E18" s="6" t="s">
        <v>65</v>
      </c>
      <c r="F18" s="6">
        <v>2000</v>
      </c>
      <c r="G18" s="6">
        <v>3000</v>
      </c>
      <c r="H18" s="14">
        <v>0.25</v>
      </c>
    </row>
    <row r="19" spans="1:8" ht="17.25" thickBot="1" x14ac:dyDescent="0.35">
      <c r="A19" s="6" t="s">
        <v>35</v>
      </c>
      <c r="B19" s="6" t="s">
        <v>70</v>
      </c>
      <c r="C19" s="6">
        <f>VLOOKUP(B19,Overview!$A$16:$B$20,2,FALSE)</f>
        <v>4</v>
      </c>
      <c r="D19" s="6">
        <v>0</v>
      </c>
      <c r="E19" s="6" t="s">
        <v>65</v>
      </c>
      <c r="F19" s="6">
        <v>1000</v>
      </c>
      <c r="G19" s="6">
        <v>1500</v>
      </c>
      <c r="H19" s="14">
        <v>0.2</v>
      </c>
    </row>
    <row r="20" spans="1:8" ht="17.25" thickBot="1" x14ac:dyDescent="0.35">
      <c r="A20" s="6" t="s">
        <v>35</v>
      </c>
      <c r="B20" s="6" t="s">
        <v>70</v>
      </c>
      <c r="C20" s="6">
        <f>VLOOKUP(B20,Overview!$A$16:$B$20,2,FALSE)</f>
        <v>4</v>
      </c>
      <c r="D20" s="6">
        <v>25</v>
      </c>
      <c r="E20" s="6" t="s">
        <v>65</v>
      </c>
      <c r="F20" s="6">
        <v>2</v>
      </c>
      <c r="G20" s="6">
        <v>3</v>
      </c>
      <c r="H20" s="14">
        <v>0.15</v>
      </c>
    </row>
    <row r="21" spans="1:8" ht="17.25" thickBot="1" x14ac:dyDescent="0.35">
      <c r="A21" s="6" t="s">
        <v>35</v>
      </c>
      <c r="B21" s="6" t="s">
        <v>70</v>
      </c>
      <c r="C21" s="6">
        <f>VLOOKUP(B21,Overview!$A$16:$B$20,2,FALSE)</f>
        <v>4</v>
      </c>
      <c r="D21" s="6">
        <v>50</v>
      </c>
      <c r="E21" s="6" t="s">
        <v>65</v>
      </c>
      <c r="F21" s="6">
        <v>1</v>
      </c>
      <c r="G21" s="6">
        <v>1</v>
      </c>
      <c r="H21" s="14">
        <v>1</v>
      </c>
    </row>
    <row r="22" spans="1:8" ht="17.25" thickBot="1" x14ac:dyDescent="0.35">
      <c r="A22" s="6" t="s">
        <v>35</v>
      </c>
      <c r="B22" s="6" t="s">
        <v>70</v>
      </c>
      <c r="C22" s="6">
        <f>VLOOKUP(B22,Overview!$A$16:$B$20,2,FALSE)</f>
        <v>4</v>
      </c>
      <c r="D22" s="6">
        <v>75</v>
      </c>
      <c r="E22" s="6" t="s">
        <v>68</v>
      </c>
      <c r="F22" s="6">
        <v>1</v>
      </c>
      <c r="G22" s="6">
        <v>1</v>
      </c>
      <c r="H22" s="14">
        <v>1</v>
      </c>
    </row>
    <row r="23" spans="1:8" ht="17.25" thickBot="1" x14ac:dyDescent="0.35">
      <c r="A23" s="6" t="s">
        <v>35</v>
      </c>
      <c r="B23" s="6" t="s">
        <v>70</v>
      </c>
      <c r="C23" s="6">
        <f>VLOOKUP(B23,Overview!$A$16:$B$20,2,FALSE)</f>
        <v>4</v>
      </c>
      <c r="D23" s="6">
        <v>90</v>
      </c>
      <c r="E23" s="6" t="s">
        <v>69</v>
      </c>
      <c r="F23" s="6">
        <v>1</v>
      </c>
      <c r="G23" s="6">
        <v>1</v>
      </c>
      <c r="H23" s="14">
        <v>0.35</v>
      </c>
    </row>
    <row r="24" spans="1:8" ht="17.25" thickBot="1" x14ac:dyDescent="0.35">
      <c r="A24" s="6" t="s">
        <v>35</v>
      </c>
      <c r="B24" s="6" t="s">
        <v>70</v>
      </c>
      <c r="C24" s="6">
        <f>VLOOKUP(B24,Overview!$A$16:$B$20,2,FALSE)</f>
        <v>4</v>
      </c>
      <c r="D24" s="6">
        <v>100</v>
      </c>
      <c r="E24" s="6" t="s">
        <v>71</v>
      </c>
      <c r="F24" s="6">
        <v>1</v>
      </c>
      <c r="G24" s="6">
        <v>1</v>
      </c>
      <c r="H24" s="14">
        <v>0.3</v>
      </c>
    </row>
    <row r="25" spans="1:8" ht="17.25" thickBot="1" x14ac:dyDescent="0.35">
      <c r="A25" s="6" t="s">
        <v>40</v>
      </c>
      <c r="B25" s="6" t="s">
        <v>64</v>
      </c>
      <c r="C25" s="6">
        <f>VLOOKUP(B25,Overview!$A$16:$B$20,2,FALSE)</f>
        <v>0</v>
      </c>
      <c r="D25" s="6">
        <v>0</v>
      </c>
      <c r="E25" s="6" t="s">
        <v>65</v>
      </c>
      <c r="F25" s="6">
        <v>100</v>
      </c>
      <c r="G25" s="6">
        <v>200</v>
      </c>
      <c r="H25" s="14">
        <v>0.2</v>
      </c>
    </row>
    <row r="26" spans="1:8" ht="17.25" thickBot="1" x14ac:dyDescent="0.35">
      <c r="A26" s="6" t="s">
        <v>40</v>
      </c>
      <c r="B26" s="6" t="s">
        <v>64</v>
      </c>
      <c r="C26" s="6">
        <f>VLOOKUP(B26,Overview!$A$16:$B$20,2,FALSE)</f>
        <v>0</v>
      </c>
      <c r="D26" s="6">
        <v>0</v>
      </c>
      <c r="E26" s="6" t="s">
        <v>65</v>
      </c>
      <c r="F26" s="6">
        <v>50</v>
      </c>
      <c r="G26" s="6">
        <v>100</v>
      </c>
      <c r="H26" s="14">
        <v>1</v>
      </c>
    </row>
    <row r="27" spans="1:8" ht="17.25" thickBot="1" x14ac:dyDescent="0.35">
      <c r="A27" s="6" t="s">
        <v>40</v>
      </c>
      <c r="B27" s="6" t="s">
        <v>64</v>
      </c>
      <c r="C27" s="6">
        <f>VLOOKUP(B27,Overview!$A$16:$B$20,2,FALSE)</f>
        <v>0</v>
      </c>
      <c r="D27" s="6">
        <v>25</v>
      </c>
      <c r="E27" s="6" t="s">
        <v>65</v>
      </c>
      <c r="F27" s="6">
        <v>1</v>
      </c>
      <c r="G27" s="6">
        <v>1</v>
      </c>
      <c r="H27" s="14">
        <v>1</v>
      </c>
    </row>
    <row r="28" spans="1:8" ht="17.25" thickBot="1" x14ac:dyDescent="0.35">
      <c r="A28" s="6" t="s">
        <v>40</v>
      </c>
      <c r="B28" s="6" t="s">
        <v>64</v>
      </c>
      <c r="C28" s="6">
        <f>VLOOKUP(B28,Overview!$A$16:$B$20,2,FALSE)</f>
        <v>0</v>
      </c>
      <c r="D28" s="6">
        <v>50</v>
      </c>
      <c r="E28" s="6" t="s">
        <v>65</v>
      </c>
      <c r="F28" s="6">
        <v>1</v>
      </c>
      <c r="G28" s="6">
        <v>1</v>
      </c>
      <c r="H28" s="14">
        <v>0.4</v>
      </c>
    </row>
    <row r="29" spans="1:8" ht="17.25" thickBot="1" x14ac:dyDescent="0.35">
      <c r="A29" s="6" t="s">
        <v>40</v>
      </c>
      <c r="B29" s="6" t="s">
        <v>64</v>
      </c>
      <c r="C29" s="6">
        <f>VLOOKUP(B29,Overview!$A$16:$B$20,2,FALSE)</f>
        <v>0</v>
      </c>
      <c r="D29" s="6">
        <v>100</v>
      </c>
      <c r="E29" s="6" t="s">
        <v>66</v>
      </c>
      <c r="F29" s="6">
        <v>1</v>
      </c>
      <c r="G29" s="6">
        <v>1</v>
      </c>
      <c r="H29" s="14">
        <v>0.35</v>
      </c>
    </row>
    <row r="30" spans="1:8" ht="17.25" thickBot="1" x14ac:dyDescent="0.35">
      <c r="A30" s="6" t="s">
        <v>40</v>
      </c>
      <c r="B30" s="6" t="s">
        <v>67</v>
      </c>
      <c r="C30" s="6">
        <f>VLOOKUP(B30,Overview!$A$16:$B$20,2,FALSE)</f>
        <v>2</v>
      </c>
      <c r="D30" s="6">
        <v>0</v>
      </c>
      <c r="E30" s="6" t="s">
        <v>65</v>
      </c>
      <c r="F30" s="6">
        <v>500</v>
      </c>
      <c r="G30" s="6">
        <v>800</v>
      </c>
      <c r="H30" s="14">
        <v>0.3</v>
      </c>
    </row>
    <row r="31" spans="1:8" ht="17.25" thickBot="1" x14ac:dyDescent="0.35">
      <c r="A31" s="6" t="s">
        <v>40</v>
      </c>
      <c r="B31" s="6" t="s">
        <v>67</v>
      </c>
      <c r="C31" s="6">
        <f>VLOOKUP(B31,Overview!$A$16:$B$20,2,FALSE)</f>
        <v>2</v>
      </c>
      <c r="D31" s="6">
        <v>0</v>
      </c>
      <c r="E31" s="6" t="s">
        <v>65</v>
      </c>
      <c r="F31" s="6">
        <v>200</v>
      </c>
      <c r="G31" s="6">
        <v>400</v>
      </c>
      <c r="H31" s="14">
        <v>0.2</v>
      </c>
    </row>
    <row r="32" spans="1:8" ht="17.25" thickBot="1" x14ac:dyDescent="0.35">
      <c r="A32" s="6" t="s">
        <v>40</v>
      </c>
      <c r="B32" s="6" t="s">
        <v>67</v>
      </c>
      <c r="C32" s="6">
        <f>VLOOKUP(B32,Overview!$A$16:$B$20,2,FALSE)</f>
        <v>2</v>
      </c>
      <c r="D32" s="6">
        <v>25</v>
      </c>
      <c r="E32" s="6" t="s">
        <v>65</v>
      </c>
      <c r="F32" s="6">
        <v>1</v>
      </c>
      <c r="G32" s="6">
        <v>2</v>
      </c>
      <c r="H32" s="14">
        <v>1</v>
      </c>
    </row>
    <row r="33" spans="1:8" ht="17.25" thickBot="1" x14ac:dyDescent="0.35">
      <c r="A33" s="6" t="s">
        <v>40</v>
      </c>
      <c r="B33" s="6" t="s">
        <v>67</v>
      </c>
      <c r="C33" s="6">
        <f>VLOOKUP(B33,Overview!$A$16:$B$20,2,FALSE)</f>
        <v>2</v>
      </c>
      <c r="D33" s="6">
        <v>50</v>
      </c>
      <c r="E33" s="6" t="s">
        <v>65</v>
      </c>
      <c r="F33" s="6">
        <v>1</v>
      </c>
      <c r="G33" s="6">
        <v>1</v>
      </c>
      <c r="H33" s="14">
        <v>1</v>
      </c>
    </row>
    <row r="34" spans="1:8" ht="17.25" thickBot="1" x14ac:dyDescent="0.35">
      <c r="A34" s="6" t="s">
        <v>40</v>
      </c>
      <c r="B34" s="6" t="s">
        <v>67</v>
      </c>
      <c r="C34" s="6">
        <f>VLOOKUP(B34,Overview!$A$16:$B$20,2,FALSE)</f>
        <v>2</v>
      </c>
      <c r="D34" s="6">
        <v>75</v>
      </c>
      <c r="E34" s="6" t="s">
        <v>68</v>
      </c>
      <c r="F34" s="6">
        <v>1</v>
      </c>
      <c r="G34" s="6">
        <v>1</v>
      </c>
      <c r="H34" s="14">
        <v>0.4</v>
      </c>
    </row>
    <row r="35" spans="1:8" ht="17.25" thickBot="1" x14ac:dyDescent="0.35">
      <c r="A35" s="6" t="s">
        <v>40</v>
      </c>
      <c r="B35" s="6" t="s">
        <v>67</v>
      </c>
      <c r="C35" s="6">
        <f>VLOOKUP(B35,Overview!$A$16:$B$20,2,FALSE)</f>
        <v>2</v>
      </c>
      <c r="D35" s="6">
        <v>100</v>
      </c>
      <c r="E35" s="6" t="s">
        <v>69</v>
      </c>
      <c r="F35" s="6">
        <v>1</v>
      </c>
      <c r="G35" s="6">
        <v>1</v>
      </c>
      <c r="H35" s="14">
        <v>0.35</v>
      </c>
    </row>
    <row r="36" spans="1:8" ht="17.25" thickBot="1" x14ac:dyDescent="0.35">
      <c r="A36" s="6" t="s">
        <v>40</v>
      </c>
      <c r="B36" s="6" t="s">
        <v>70</v>
      </c>
      <c r="C36" s="6">
        <f>VLOOKUP(B36,Overview!$A$16:$B$20,2,FALSE)</f>
        <v>4</v>
      </c>
      <c r="D36" s="6">
        <v>0</v>
      </c>
      <c r="E36" s="6" t="s">
        <v>65</v>
      </c>
      <c r="F36" s="6">
        <v>2000</v>
      </c>
      <c r="G36" s="6">
        <v>3000</v>
      </c>
      <c r="H36" s="14">
        <v>0.25</v>
      </c>
    </row>
    <row r="37" spans="1:8" ht="17.25" thickBot="1" x14ac:dyDescent="0.35">
      <c r="A37" s="6" t="s">
        <v>40</v>
      </c>
      <c r="B37" s="6" t="s">
        <v>70</v>
      </c>
      <c r="C37" s="6">
        <f>VLOOKUP(B37,Overview!$A$16:$B$20,2,FALSE)</f>
        <v>4</v>
      </c>
      <c r="D37" s="6">
        <v>0</v>
      </c>
      <c r="E37" s="6" t="s">
        <v>65</v>
      </c>
      <c r="F37" s="6">
        <v>1000</v>
      </c>
      <c r="G37" s="6">
        <v>1500</v>
      </c>
      <c r="H37" s="14">
        <v>0.2</v>
      </c>
    </row>
    <row r="38" spans="1:8" ht="17.25" thickBot="1" x14ac:dyDescent="0.35">
      <c r="A38" s="6" t="s">
        <v>40</v>
      </c>
      <c r="B38" s="6" t="s">
        <v>70</v>
      </c>
      <c r="C38" s="6">
        <f>VLOOKUP(B38,Overview!$A$16:$B$20,2,FALSE)</f>
        <v>4</v>
      </c>
      <c r="D38" s="6">
        <v>25</v>
      </c>
      <c r="E38" s="6" t="s">
        <v>65</v>
      </c>
      <c r="F38" s="6">
        <v>2</v>
      </c>
      <c r="G38" s="6">
        <v>3</v>
      </c>
      <c r="H38" s="14">
        <v>0.15</v>
      </c>
    </row>
    <row r="39" spans="1:8" ht="17.25" thickBot="1" x14ac:dyDescent="0.35">
      <c r="A39" s="6" t="s">
        <v>40</v>
      </c>
      <c r="B39" s="6" t="s">
        <v>70</v>
      </c>
      <c r="C39" s="6">
        <f>VLOOKUP(B39,Overview!$A$16:$B$20,2,FALSE)</f>
        <v>4</v>
      </c>
      <c r="D39" s="6">
        <v>50</v>
      </c>
      <c r="E39" s="6" t="s">
        <v>65</v>
      </c>
      <c r="F39" s="6">
        <v>1</v>
      </c>
      <c r="G39" s="6">
        <v>1</v>
      </c>
      <c r="H39" s="14">
        <v>1</v>
      </c>
    </row>
    <row r="40" spans="1:8" ht="17.25" thickBot="1" x14ac:dyDescent="0.35">
      <c r="A40" s="6" t="s">
        <v>40</v>
      </c>
      <c r="B40" s="6" t="s">
        <v>70</v>
      </c>
      <c r="C40" s="6">
        <f>VLOOKUP(B40,Overview!$A$16:$B$20,2,FALSE)</f>
        <v>4</v>
      </c>
      <c r="D40" s="6">
        <v>75</v>
      </c>
      <c r="E40" s="6" t="s">
        <v>68</v>
      </c>
      <c r="F40" s="6">
        <v>1</v>
      </c>
      <c r="G40" s="6">
        <v>1</v>
      </c>
      <c r="H40" s="14">
        <v>1</v>
      </c>
    </row>
    <row r="41" spans="1:8" ht="17.25" thickBot="1" x14ac:dyDescent="0.35">
      <c r="A41" s="6" t="s">
        <v>40</v>
      </c>
      <c r="B41" s="6" t="s">
        <v>70</v>
      </c>
      <c r="C41" s="6">
        <f>VLOOKUP(B41,Overview!$A$16:$B$20,2,FALSE)</f>
        <v>4</v>
      </c>
      <c r="D41" s="6">
        <v>90</v>
      </c>
      <c r="E41" s="6" t="s">
        <v>69</v>
      </c>
      <c r="F41" s="6">
        <v>1</v>
      </c>
      <c r="G41" s="6">
        <v>1</v>
      </c>
      <c r="H41" s="14">
        <v>0.35</v>
      </c>
    </row>
    <row r="42" spans="1:8" ht="17.25" thickBot="1" x14ac:dyDescent="0.35">
      <c r="A42" s="6" t="s">
        <v>40</v>
      </c>
      <c r="B42" s="6" t="s">
        <v>70</v>
      </c>
      <c r="C42" s="6">
        <f>VLOOKUP(B42,Overview!$A$16:$B$20,2,FALSE)</f>
        <v>4</v>
      </c>
      <c r="D42" s="6">
        <v>100</v>
      </c>
      <c r="E42" s="6" t="s">
        <v>71</v>
      </c>
      <c r="F42" s="6">
        <v>1</v>
      </c>
      <c r="G42" s="6">
        <v>1</v>
      </c>
      <c r="H42" s="14">
        <v>0.3</v>
      </c>
    </row>
    <row r="43" spans="1:8" ht="17.25" thickBot="1" x14ac:dyDescent="0.35">
      <c r="A43" s="6" t="s">
        <v>50</v>
      </c>
      <c r="B43" s="6" t="s">
        <v>64</v>
      </c>
      <c r="C43" s="6">
        <f>VLOOKUP(B43,Overview!$A$16:$B$20,2,FALSE)</f>
        <v>0</v>
      </c>
      <c r="D43" s="6">
        <v>0</v>
      </c>
      <c r="E43" s="6" t="s">
        <v>65</v>
      </c>
      <c r="F43" s="6">
        <v>100</v>
      </c>
      <c r="G43" s="6">
        <v>200</v>
      </c>
      <c r="H43" s="14">
        <v>0.2</v>
      </c>
    </row>
    <row r="44" spans="1:8" ht="17.25" thickBot="1" x14ac:dyDescent="0.35">
      <c r="A44" s="6" t="s">
        <v>50</v>
      </c>
      <c r="B44" s="6" t="s">
        <v>64</v>
      </c>
      <c r="C44" s="6">
        <f>VLOOKUP(B44,Overview!$A$16:$B$20,2,FALSE)</f>
        <v>0</v>
      </c>
      <c r="D44" s="6">
        <v>0</v>
      </c>
      <c r="E44" s="6" t="s">
        <v>65</v>
      </c>
      <c r="F44" s="6">
        <v>50</v>
      </c>
      <c r="G44" s="6">
        <v>100</v>
      </c>
      <c r="H44" s="14">
        <v>1</v>
      </c>
    </row>
    <row r="45" spans="1:8" ht="17.25" thickBot="1" x14ac:dyDescent="0.35">
      <c r="A45" s="6" t="s">
        <v>50</v>
      </c>
      <c r="B45" s="6" t="s">
        <v>64</v>
      </c>
      <c r="C45" s="6">
        <f>VLOOKUP(B45,Overview!$A$16:$B$20,2,FALSE)</f>
        <v>0</v>
      </c>
      <c r="D45" s="6">
        <v>25</v>
      </c>
      <c r="E45" s="6" t="s">
        <v>65</v>
      </c>
      <c r="F45" s="6">
        <v>1</v>
      </c>
      <c r="G45" s="6">
        <v>1</v>
      </c>
      <c r="H45" s="14">
        <v>1</v>
      </c>
    </row>
    <row r="46" spans="1:8" ht="17.25" thickBot="1" x14ac:dyDescent="0.35">
      <c r="A46" s="6" t="s">
        <v>50</v>
      </c>
      <c r="B46" s="6" t="s">
        <v>64</v>
      </c>
      <c r="C46" s="6">
        <f>VLOOKUP(B46,Overview!$A$16:$B$20,2,FALSE)</f>
        <v>0</v>
      </c>
      <c r="D46" s="6">
        <v>50</v>
      </c>
      <c r="E46" s="6" t="s">
        <v>65</v>
      </c>
      <c r="F46" s="6">
        <v>1</v>
      </c>
      <c r="G46" s="6">
        <v>1</v>
      </c>
      <c r="H46" s="14">
        <v>0.4</v>
      </c>
    </row>
    <row r="47" spans="1:8" ht="17.25" thickBot="1" x14ac:dyDescent="0.35">
      <c r="A47" s="6" t="s">
        <v>50</v>
      </c>
      <c r="B47" s="6" t="s">
        <v>64</v>
      </c>
      <c r="C47" s="6">
        <f>VLOOKUP(B47,Overview!$A$16:$B$20,2,FALSE)</f>
        <v>0</v>
      </c>
      <c r="D47" s="6">
        <v>100</v>
      </c>
      <c r="E47" s="6" t="s">
        <v>66</v>
      </c>
      <c r="F47" s="6">
        <v>1</v>
      </c>
      <c r="G47" s="6">
        <v>1</v>
      </c>
      <c r="H47" s="14">
        <v>0.35</v>
      </c>
    </row>
    <row r="48" spans="1:8" ht="17.25" thickBot="1" x14ac:dyDescent="0.35">
      <c r="A48" s="6" t="s">
        <v>50</v>
      </c>
      <c r="B48" s="6" t="s">
        <v>67</v>
      </c>
      <c r="C48" s="6">
        <f>VLOOKUP(B48,Overview!$A$16:$B$20,2,FALSE)</f>
        <v>2</v>
      </c>
      <c r="D48" s="6">
        <v>0</v>
      </c>
      <c r="E48" s="6" t="s">
        <v>65</v>
      </c>
      <c r="F48" s="6">
        <v>500</v>
      </c>
      <c r="G48" s="6">
        <v>800</v>
      </c>
      <c r="H48" s="14">
        <v>0.3</v>
      </c>
    </row>
    <row r="49" spans="1:8" ht="17.25" thickBot="1" x14ac:dyDescent="0.35">
      <c r="A49" s="6" t="s">
        <v>50</v>
      </c>
      <c r="B49" s="6" t="s">
        <v>67</v>
      </c>
      <c r="C49" s="6">
        <f>VLOOKUP(B49,Overview!$A$16:$B$20,2,FALSE)</f>
        <v>2</v>
      </c>
      <c r="D49" s="6">
        <v>0</v>
      </c>
      <c r="E49" s="6" t="s">
        <v>65</v>
      </c>
      <c r="F49" s="6">
        <v>200</v>
      </c>
      <c r="G49" s="6">
        <v>400</v>
      </c>
      <c r="H49" s="14">
        <v>0.2</v>
      </c>
    </row>
    <row r="50" spans="1:8" ht="17.25" thickBot="1" x14ac:dyDescent="0.35">
      <c r="A50" s="6" t="s">
        <v>50</v>
      </c>
      <c r="B50" s="6" t="s">
        <v>67</v>
      </c>
      <c r="C50" s="6">
        <f>VLOOKUP(B50,Overview!$A$16:$B$20,2,FALSE)</f>
        <v>2</v>
      </c>
      <c r="D50" s="6">
        <v>25</v>
      </c>
      <c r="E50" s="6" t="s">
        <v>65</v>
      </c>
      <c r="F50" s="6">
        <v>1</v>
      </c>
      <c r="G50" s="6">
        <v>2</v>
      </c>
      <c r="H50" s="14">
        <v>1</v>
      </c>
    </row>
    <row r="51" spans="1:8" ht="17.25" thickBot="1" x14ac:dyDescent="0.35">
      <c r="A51" s="6" t="s">
        <v>50</v>
      </c>
      <c r="B51" s="6" t="s">
        <v>67</v>
      </c>
      <c r="C51" s="6">
        <f>VLOOKUP(B51,Overview!$A$16:$B$20,2,FALSE)</f>
        <v>2</v>
      </c>
      <c r="D51" s="6">
        <v>50</v>
      </c>
      <c r="E51" s="6" t="s">
        <v>65</v>
      </c>
      <c r="F51" s="6">
        <v>1</v>
      </c>
      <c r="G51" s="6">
        <v>1</v>
      </c>
      <c r="H51" s="14">
        <v>1</v>
      </c>
    </row>
    <row r="52" spans="1:8" ht="17.25" thickBot="1" x14ac:dyDescent="0.35">
      <c r="A52" s="6" t="s">
        <v>50</v>
      </c>
      <c r="B52" s="6" t="s">
        <v>67</v>
      </c>
      <c r="C52" s="6">
        <f>VLOOKUP(B52,Overview!$A$16:$B$20,2,FALSE)</f>
        <v>2</v>
      </c>
      <c r="D52" s="6">
        <v>75</v>
      </c>
      <c r="E52" s="6" t="s">
        <v>68</v>
      </c>
      <c r="F52" s="6">
        <v>1</v>
      </c>
      <c r="G52" s="6">
        <v>1</v>
      </c>
      <c r="H52" s="14">
        <v>0.4</v>
      </c>
    </row>
    <row r="53" spans="1:8" ht="17.25" thickBot="1" x14ac:dyDescent="0.35">
      <c r="A53" s="6" t="s">
        <v>50</v>
      </c>
      <c r="B53" s="6" t="s">
        <v>67</v>
      </c>
      <c r="C53" s="6">
        <f>VLOOKUP(B53,Overview!$A$16:$B$20,2,FALSE)</f>
        <v>2</v>
      </c>
      <c r="D53" s="6">
        <v>100</v>
      </c>
      <c r="E53" s="6" t="s">
        <v>69</v>
      </c>
      <c r="F53" s="6">
        <v>1</v>
      </c>
      <c r="G53" s="6">
        <v>1</v>
      </c>
      <c r="H53" s="14">
        <v>0.35</v>
      </c>
    </row>
    <row r="54" spans="1:8" ht="17.25" thickBot="1" x14ac:dyDescent="0.35">
      <c r="A54" s="6" t="s">
        <v>50</v>
      </c>
      <c r="B54" s="6" t="s">
        <v>70</v>
      </c>
      <c r="C54" s="6">
        <f>VLOOKUP(B54,Overview!$A$16:$B$20,2,FALSE)</f>
        <v>4</v>
      </c>
      <c r="D54" s="6">
        <v>0</v>
      </c>
      <c r="E54" s="6" t="s">
        <v>65</v>
      </c>
      <c r="F54" s="6">
        <v>2000</v>
      </c>
      <c r="G54" s="6">
        <v>3000</v>
      </c>
      <c r="H54" s="14">
        <v>0.25</v>
      </c>
    </row>
    <row r="55" spans="1:8" ht="17.25" thickBot="1" x14ac:dyDescent="0.35">
      <c r="A55" s="6" t="s">
        <v>50</v>
      </c>
      <c r="B55" s="6" t="s">
        <v>70</v>
      </c>
      <c r="C55" s="6">
        <f>VLOOKUP(B55,Overview!$A$16:$B$20,2,FALSE)</f>
        <v>4</v>
      </c>
      <c r="D55" s="6">
        <v>0</v>
      </c>
      <c r="E55" s="6" t="s">
        <v>65</v>
      </c>
      <c r="F55" s="6">
        <v>1000</v>
      </c>
      <c r="G55" s="6">
        <v>1500</v>
      </c>
      <c r="H55" s="14">
        <v>0.2</v>
      </c>
    </row>
    <row r="56" spans="1:8" ht="17.25" thickBot="1" x14ac:dyDescent="0.35">
      <c r="A56" s="6" t="s">
        <v>50</v>
      </c>
      <c r="B56" s="6" t="s">
        <v>70</v>
      </c>
      <c r="C56" s="6">
        <f>VLOOKUP(B56,Overview!$A$16:$B$20,2,FALSE)</f>
        <v>4</v>
      </c>
      <c r="D56" s="6">
        <v>25</v>
      </c>
      <c r="E56" s="6" t="s">
        <v>65</v>
      </c>
      <c r="F56" s="6">
        <v>2</v>
      </c>
      <c r="G56" s="6">
        <v>3</v>
      </c>
      <c r="H56" s="14">
        <v>0.15</v>
      </c>
    </row>
    <row r="57" spans="1:8" ht="17.25" thickBot="1" x14ac:dyDescent="0.35">
      <c r="A57" s="6" t="s">
        <v>50</v>
      </c>
      <c r="B57" s="6" t="s">
        <v>70</v>
      </c>
      <c r="C57" s="6">
        <f>VLOOKUP(B57,Overview!$A$16:$B$20,2,FALSE)</f>
        <v>4</v>
      </c>
      <c r="D57" s="6">
        <v>50</v>
      </c>
      <c r="E57" s="6" t="s">
        <v>65</v>
      </c>
      <c r="F57" s="6">
        <v>1</v>
      </c>
      <c r="G57" s="6">
        <v>1</v>
      </c>
      <c r="H57" s="14">
        <v>1</v>
      </c>
    </row>
    <row r="58" spans="1:8" ht="17.25" thickBot="1" x14ac:dyDescent="0.35">
      <c r="A58" s="6" t="s">
        <v>50</v>
      </c>
      <c r="B58" s="6" t="s">
        <v>70</v>
      </c>
      <c r="C58" s="6">
        <f>VLOOKUP(B58,Overview!$A$16:$B$20,2,FALSE)</f>
        <v>4</v>
      </c>
      <c r="D58" s="6">
        <v>75</v>
      </c>
      <c r="E58" s="6" t="s">
        <v>68</v>
      </c>
      <c r="F58" s="6">
        <v>1</v>
      </c>
      <c r="G58" s="6">
        <v>1</v>
      </c>
      <c r="H58" s="14">
        <v>1</v>
      </c>
    </row>
    <row r="59" spans="1:8" ht="17.25" thickBot="1" x14ac:dyDescent="0.35">
      <c r="A59" s="6" t="s">
        <v>50</v>
      </c>
      <c r="B59" s="6" t="s">
        <v>70</v>
      </c>
      <c r="C59" s="6">
        <f>VLOOKUP(B59,Overview!$A$16:$B$20,2,FALSE)</f>
        <v>4</v>
      </c>
      <c r="D59" s="6">
        <v>90</v>
      </c>
      <c r="E59" s="6" t="s">
        <v>69</v>
      </c>
      <c r="F59" s="6">
        <v>1</v>
      </c>
      <c r="G59" s="6">
        <v>1</v>
      </c>
      <c r="H59" s="14">
        <v>0.35</v>
      </c>
    </row>
    <row r="60" spans="1:8" ht="17.25" thickBot="1" x14ac:dyDescent="0.35">
      <c r="A60" s="6" t="s">
        <v>50</v>
      </c>
      <c r="B60" s="6" t="s">
        <v>70</v>
      </c>
      <c r="C60" s="6">
        <f>VLOOKUP(B60,Overview!$A$16:$B$20,2,FALSE)</f>
        <v>4</v>
      </c>
      <c r="D60" s="6">
        <v>100</v>
      </c>
      <c r="E60" s="6" t="s">
        <v>71</v>
      </c>
      <c r="F60" s="6">
        <v>1</v>
      </c>
      <c r="G60" s="6">
        <v>1</v>
      </c>
      <c r="H60" s="14">
        <v>0.3</v>
      </c>
    </row>
    <row r="61" spans="1:8" ht="17.25" thickBot="1" x14ac:dyDescent="0.35">
      <c r="A61" s="6" t="s">
        <v>45</v>
      </c>
      <c r="B61" s="6" t="s">
        <v>64</v>
      </c>
      <c r="C61" s="6">
        <f>VLOOKUP(B61,Overview!$A$16:$B$20,2,FALSE)</f>
        <v>0</v>
      </c>
      <c r="D61" s="6">
        <v>0</v>
      </c>
      <c r="E61" s="6" t="s">
        <v>65</v>
      </c>
      <c r="F61" s="6">
        <v>100</v>
      </c>
      <c r="G61" s="6">
        <v>200</v>
      </c>
      <c r="H61" s="14">
        <v>0.2</v>
      </c>
    </row>
    <row r="62" spans="1:8" ht="17.25" thickBot="1" x14ac:dyDescent="0.35">
      <c r="A62" s="6" t="s">
        <v>45</v>
      </c>
      <c r="B62" s="6" t="s">
        <v>64</v>
      </c>
      <c r="C62" s="6">
        <f>VLOOKUP(B62,Overview!$A$16:$B$20,2,FALSE)</f>
        <v>0</v>
      </c>
      <c r="D62" s="6">
        <v>0</v>
      </c>
      <c r="E62" s="6" t="s">
        <v>65</v>
      </c>
      <c r="F62" s="6">
        <v>50</v>
      </c>
      <c r="G62" s="6">
        <v>100</v>
      </c>
      <c r="H62" s="14">
        <v>1</v>
      </c>
    </row>
    <row r="63" spans="1:8" ht="17.25" thickBot="1" x14ac:dyDescent="0.35">
      <c r="A63" s="6" t="s">
        <v>45</v>
      </c>
      <c r="B63" s="6" t="s">
        <v>64</v>
      </c>
      <c r="C63" s="6">
        <f>VLOOKUP(B63,Overview!$A$16:$B$20,2,FALSE)</f>
        <v>0</v>
      </c>
      <c r="D63" s="6">
        <v>25</v>
      </c>
      <c r="E63" s="6" t="s">
        <v>65</v>
      </c>
      <c r="F63" s="6">
        <v>1</v>
      </c>
      <c r="G63" s="6">
        <v>1</v>
      </c>
      <c r="H63" s="14">
        <v>1</v>
      </c>
    </row>
    <row r="64" spans="1:8" ht="17.25" thickBot="1" x14ac:dyDescent="0.35">
      <c r="A64" s="6" t="s">
        <v>45</v>
      </c>
      <c r="B64" s="6" t="s">
        <v>64</v>
      </c>
      <c r="C64" s="6">
        <f>VLOOKUP(B64,Overview!$A$16:$B$20,2,FALSE)</f>
        <v>0</v>
      </c>
      <c r="D64" s="6">
        <v>50</v>
      </c>
      <c r="E64" s="6" t="s">
        <v>65</v>
      </c>
      <c r="F64" s="6">
        <v>1</v>
      </c>
      <c r="G64" s="6">
        <v>1</v>
      </c>
      <c r="H64" s="14">
        <v>0.4</v>
      </c>
    </row>
    <row r="65" spans="1:8" ht="17.25" thickBot="1" x14ac:dyDescent="0.35">
      <c r="A65" s="6" t="s">
        <v>45</v>
      </c>
      <c r="B65" s="6" t="s">
        <v>64</v>
      </c>
      <c r="C65" s="6">
        <f>VLOOKUP(B65,Overview!$A$16:$B$20,2,FALSE)</f>
        <v>0</v>
      </c>
      <c r="D65" s="6">
        <v>100</v>
      </c>
      <c r="E65" s="6" t="s">
        <v>66</v>
      </c>
      <c r="F65" s="6">
        <v>1</v>
      </c>
      <c r="G65" s="6">
        <v>1</v>
      </c>
      <c r="H65" s="14">
        <v>0.35</v>
      </c>
    </row>
    <row r="66" spans="1:8" ht="17.25" thickBot="1" x14ac:dyDescent="0.35">
      <c r="A66" s="6" t="s">
        <v>45</v>
      </c>
      <c r="B66" s="6" t="s">
        <v>67</v>
      </c>
      <c r="C66" s="6">
        <f>VLOOKUP(B66,Overview!$A$16:$B$20,2,FALSE)</f>
        <v>2</v>
      </c>
      <c r="D66" s="6">
        <v>0</v>
      </c>
      <c r="E66" s="6" t="s">
        <v>65</v>
      </c>
      <c r="F66" s="6">
        <v>500</v>
      </c>
      <c r="G66" s="6">
        <v>800</v>
      </c>
      <c r="H66" s="14">
        <v>0.3</v>
      </c>
    </row>
    <row r="67" spans="1:8" ht="17.25" thickBot="1" x14ac:dyDescent="0.35">
      <c r="A67" s="6" t="s">
        <v>45</v>
      </c>
      <c r="B67" s="6" t="s">
        <v>67</v>
      </c>
      <c r="C67" s="6">
        <f>VLOOKUP(B67,Overview!$A$16:$B$20,2,FALSE)</f>
        <v>2</v>
      </c>
      <c r="D67" s="6">
        <v>0</v>
      </c>
      <c r="E67" s="6" t="s">
        <v>65</v>
      </c>
      <c r="F67" s="6">
        <v>200</v>
      </c>
      <c r="G67" s="6">
        <v>400</v>
      </c>
      <c r="H67" s="14">
        <v>0.2</v>
      </c>
    </row>
    <row r="68" spans="1:8" ht="17.25" thickBot="1" x14ac:dyDescent="0.35">
      <c r="A68" s="6" t="s">
        <v>45</v>
      </c>
      <c r="B68" s="6" t="s">
        <v>67</v>
      </c>
      <c r="C68" s="6">
        <f>VLOOKUP(B68,Overview!$A$16:$B$20,2,FALSE)</f>
        <v>2</v>
      </c>
      <c r="D68" s="6">
        <v>25</v>
      </c>
      <c r="E68" s="6" t="s">
        <v>65</v>
      </c>
      <c r="F68" s="6">
        <v>1</v>
      </c>
      <c r="G68" s="6">
        <v>2</v>
      </c>
      <c r="H68" s="14">
        <v>1</v>
      </c>
    </row>
    <row r="69" spans="1:8" ht="17.25" thickBot="1" x14ac:dyDescent="0.35">
      <c r="A69" s="6" t="s">
        <v>45</v>
      </c>
      <c r="B69" s="6" t="s">
        <v>67</v>
      </c>
      <c r="C69" s="6">
        <f>VLOOKUP(B69,Overview!$A$16:$B$20,2,FALSE)</f>
        <v>2</v>
      </c>
      <c r="D69" s="6">
        <v>50</v>
      </c>
      <c r="E69" s="6" t="s">
        <v>65</v>
      </c>
      <c r="F69" s="6">
        <v>1</v>
      </c>
      <c r="G69" s="6">
        <v>1</v>
      </c>
      <c r="H69" s="14">
        <v>1</v>
      </c>
    </row>
    <row r="70" spans="1:8" ht="17.25" thickBot="1" x14ac:dyDescent="0.35">
      <c r="A70" s="6" t="s">
        <v>45</v>
      </c>
      <c r="B70" s="6" t="s">
        <v>67</v>
      </c>
      <c r="C70" s="6">
        <f>VLOOKUP(B70,Overview!$A$16:$B$20,2,FALSE)</f>
        <v>2</v>
      </c>
      <c r="D70" s="6">
        <v>75</v>
      </c>
      <c r="E70" s="6" t="s">
        <v>68</v>
      </c>
      <c r="F70" s="6">
        <v>1</v>
      </c>
      <c r="G70" s="6">
        <v>1</v>
      </c>
      <c r="H70" s="14">
        <v>0.4</v>
      </c>
    </row>
    <row r="71" spans="1:8" ht="17.25" thickBot="1" x14ac:dyDescent="0.35">
      <c r="A71" s="6" t="s">
        <v>45</v>
      </c>
      <c r="B71" s="6" t="s">
        <v>67</v>
      </c>
      <c r="C71" s="6">
        <f>VLOOKUP(B71,Overview!$A$16:$B$20,2,FALSE)</f>
        <v>2</v>
      </c>
      <c r="D71" s="6">
        <v>100</v>
      </c>
      <c r="E71" s="6" t="s">
        <v>69</v>
      </c>
      <c r="F71" s="6">
        <v>1</v>
      </c>
      <c r="G71" s="6">
        <v>1</v>
      </c>
      <c r="H71" s="14">
        <v>0.35</v>
      </c>
    </row>
    <row r="72" spans="1:8" ht="17.25" thickBot="1" x14ac:dyDescent="0.35">
      <c r="A72" s="6" t="s">
        <v>45</v>
      </c>
      <c r="B72" s="6" t="s">
        <v>70</v>
      </c>
      <c r="C72" s="6">
        <f>VLOOKUP(B72,Overview!$A$16:$B$20,2,FALSE)</f>
        <v>4</v>
      </c>
      <c r="D72" s="6">
        <v>0</v>
      </c>
      <c r="E72" s="6" t="s">
        <v>65</v>
      </c>
      <c r="F72" s="6">
        <v>2000</v>
      </c>
      <c r="G72" s="6">
        <v>3000</v>
      </c>
      <c r="H72" s="14">
        <v>0.25</v>
      </c>
    </row>
    <row r="73" spans="1:8" ht="17.25" thickBot="1" x14ac:dyDescent="0.35">
      <c r="A73" s="6" t="s">
        <v>45</v>
      </c>
      <c r="B73" s="6" t="s">
        <v>70</v>
      </c>
      <c r="C73" s="6">
        <f>VLOOKUP(B73,Overview!$A$16:$B$20,2,FALSE)</f>
        <v>4</v>
      </c>
      <c r="D73" s="6">
        <v>0</v>
      </c>
      <c r="E73" s="6" t="s">
        <v>65</v>
      </c>
      <c r="F73" s="6">
        <v>1000</v>
      </c>
      <c r="G73" s="6">
        <v>1500</v>
      </c>
      <c r="H73" s="14">
        <v>0.2</v>
      </c>
    </row>
    <row r="74" spans="1:8" ht="17.25" thickBot="1" x14ac:dyDescent="0.35">
      <c r="A74" s="6" t="s">
        <v>45</v>
      </c>
      <c r="B74" s="6" t="s">
        <v>70</v>
      </c>
      <c r="C74" s="6">
        <f>VLOOKUP(B74,Overview!$A$16:$B$20,2,FALSE)</f>
        <v>4</v>
      </c>
      <c r="D74" s="6">
        <v>25</v>
      </c>
      <c r="E74" s="6" t="s">
        <v>65</v>
      </c>
      <c r="F74" s="6">
        <v>2</v>
      </c>
      <c r="G74" s="6">
        <v>3</v>
      </c>
      <c r="H74" s="14">
        <v>0.15</v>
      </c>
    </row>
    <row r="75" spans="1:8" ht="17.25" thickBot="1" x14ac:dyDescent="0.35">
      <c r="A75" s="6" t="s">
        <v>45</v>
      </c>
      <c r="B75" s="6" t="s">
        <v>70</v>
      </c>
      <c r="C75" s="6">
        <f>VLOOKUP(B75,Overview!$A$16:$B$20,2,FALSE)</f>
        <v>4</v>
      </c>
      <c r="D75" s="6">
        <v>50</v>
      </c>
      <c r="E75" s="6" t="s">
        <v>65</v>
      </c>
      <c r="F75" s="6">
        <v>1</v>
      </c>
      <c r="G75" s="6">
        <v>1</v>
      </c>
      <c r="H75" s="14">
        <v>1</v>
      </c>
    </row>
    <row r="76" spans="1:8" ht="17.25" thickBot="1" x14ac:dyDescent="0.35">
      <c r="A76" s="6" t="s">
        <v>45</v>
      </c>
      <c r="B76" s="6" t="s">
        <v>70</v>
      </c>
      <c r="C76" s="6">
        <f>VLOOKUP(B76,Overview!$A$16:$B$20,2,FALSE)</f>
        <v>4</v>
      </c>
      <c r="D76" s="6">
        <v>75</v>
      </c>
      <c r="E76" s="6" t="s">
        <v>68</v>
      </c>
      <c r="F76" s="6">
        <v>1</v>
      </c>
      <c r="G76" s="6">
        <v>1</v>
      </c>
      <c r="H76" s="14">
        <v>1</v>
      </c>
    </row>
    <row r="77" spans="1:8" ht="17.25" thickBot="1" x14ac:dyDescent="0.35">
      <c r="A77" s="6" t="s">
        <v>45</v>
      </c>
      <c r="B77" s="6" t="s">
        <v>70</v>
      </c>
      <c r="C77" s="6">
        <f>VLOOKUP(B77,Overview!$A$16:$B$20,2,FALSE)</f>
        <v>4</v>
      </c>
      <c r="D77" s="6">
        <v>90</v>
      </c>
      <c r="E77" s="6" t="s">
        <v>69</v>
      </c>
      <c r="F77" s="6">
        <v>1</v>
      </c>
      <c r="G77" s="6">
        <v>1</v>
      </c>
      <c r="H77" s="14">
        <v>0.35</v>
      </c>
    </row>
    <row r="78" spans="1:8" ht="17.25" thickBot="1" x14ac:dyDescent="0.35">
      <c r="A78" s="6" t="s">
        <v>45</v>
      </c>
      <c r="B78" s="6" t="s">
        <v>70</v>
      </c>
      <c r="C78" s="6">
        <f>VLOOKUP(B78,Overview!$A$16:$B$20,2,FALSE)</f>
        <v>4</v>
      </c>
      <c r="D78" s="6">
        <v>100</v>
      </c>
      <c r="E78" s="6" t="s">
        <v>71</v>
      </c>
      <c r="F78" s="6">
        <v>1</v>
      </c>
      <c r="G78" s="6">
        <v>1</v>
      </c>
      <c r="H78" s="14">
        <v>0.3</v>
      </c>
    </row>
    <row r="79" spans="1:8" ht="17.25" thickBot="1" x14ac:dyDescent="0.35">
      <c r="A79" s="6" t="s">
        <v>55</v>
      </c>
      <c r="B79" s="6" t="s">
        <v>64</v>
      </c>
      <c r="C79" s="6">
        <f>VLOOKUP(B79,Overview!$A$16:$B$20,2,FALSE)</f>
        <v>0</v>
      </c>
      <c r="D79" s="6">
        <v>0</v>
      </c>
      <c r="E79" s="6" t="s">
        <v>65</v>
      </c>
      <c r="F79" s="6">
        <v>100</v>
      </c>
      <c r="G79" s="6">
        <v>200</v>
      </c>
      <c r="H79" s="14">
        <v>0.2</v>
      </c>
    </row>
    <row r="80" spans="1:8" ht="17.25" thickBot="1" x14ac:dyDescent="0.35">
      <c r="A80" s="6" t="s">
        <v>55</v>
      </c>
      <c r="B80" s="6" t="s">
        <v>64</v>
      </c>
      <c r="C80" s="6">
        <f>VLOOKUP(B80,Overview!$A$16:$B$20,2,FALSE)</f>
        <v>0</v>
      </c>
      <c r="D80" s="6">
        <v>0</v>
      </c>
      <c r="E80" s="6" t="s">
        <v>65</v>
      </c>
      <c r="F80" s="6">
        <v>50</v>
      </c>
      <c r="G80" s="6">
        <v>100</v>
      </c>
      <c r="H80" s="14">
        <v>1</v>
      </c>
    </row>
    <row r="81" spans="1:8" ht="17.25" thickBot="1" x14ac:dyDescent="0.35">
      <c r="A81" s="6" t="s">
        <v>55</v>
      </c>
      <c r="B81" s="6" t="s">
        <v>64</v>
      </c>
      <c r="C81" s="6">
        <f>VLOOKUP(B81,Overview!$A$16:$B$20,2,FALSE)</f>
        <v>0</v>
      </c>
      <c r="D81" s="6">
        <v>25</v>
      </c>
      <c r="E81" s="6" t="s">
        <v>65</v>
      </c>
      <c r="F81" s="6">
        <v>1</v>
      </c>
      <c r="G81" s="6">
        <v>1</v>
      </c>
      <c r="H81" s="14">
        <v>1</v>
      </c>
    </row>
    <row r="82" spans="1:8" ht="17.25" thickBot="1" x14ac:dyDescent="0.35">
      <c r="A82" s="6" t="s">
        <v>55</v>
      </c>
      <c r="B82" s="6" t="s">
        <v>64</v>
      </c>
      <c r="C82" s="6">
        <f>VLOOKUP(B82,Overview!$A$16:$B$20,2,FALSE)</f>
        <v>0</v>
      </c>
      <c r="D82" s="6">
        <v>50</v>
      </c>
      <c r="E82" s="6" t="s">
        <v>65</v>
      </c>
      <c r="F82" s="6">
        <v>1</v>
      </c>
      <c r="G82" s="6">
        <v>1</v>
      </c>
      <c r="H82" s="14">
        <v>0.4</v>
      </c>
    </row>
    <row r="83" spans="1:8" ht="17.25" thickBot="1" x14ac:dyDescent="0.35">
      <c r="A83" s="6" t="s">
        <v>55</v>
      </c>
      <c r="B83" s="6" t="s">
        <v>64</v>
      </c>
      <c r="C83" s="6">
        <f>VLOOKUP(B83,Overview!$A$16:$B$20,2,FALSE)</f>
        <v>0</v>
      </c>
      <c r="D83" s="6">
        <v>100</v>
      </c>
      <c r="E83" s="6" t="s">
        <v>66</v>
      </c>
      <c r="F83" s="6">
        <v>1</v>
      </c>
      <c r="G83" s="6">
        <v>1</v>
      </c>
      <c r="H83" s="14">
        <v>0.35</v>
      </c>
    </row>
    <row r="84" spans="1:8" ht="17.25" thickBot="1" x14ac:dyDescent="0.35">
      <c r="A84" s="6" t="s">
        <v>55</v>
      </c>
      <c r="B84" s="6" t="s">
        <v>67</v>
      </c>
      <c r="C84" s="6">
        <f>VLOOKUP(B84,Overview!$A$16:$B$20,2,FALSE)</f>
        <v>2</v>
      </c>
      <c r="D84" s="6">
        <v>0</v>
      </c>
      <c r="E84" s="6" t="s">
        <v>65</v>
      </c>
      <c r="F84" s="6">
        <v>500</v>
      </c>
      <c r="G84" s="6">
        <v>800</v>
      </c>
      <c r="H84" s="14">
        <v>0.3</v>
      </c>
    </row>
    <row r="85" spans="1:8" ht="17.25" thickBot="1" x14ac:dyDescent="0.35">
      <c r="A85" s="6" t="s">
        <v>55</v>
      </c>
      <c r="B85" s="6" t="s">
        <v>67</v>
      </c>
      <c r="C85" s="6">
        <f>VLOOKUP(B85,Overview!$A$16:$B$20,2,FALSE)</f>
        <v>2</v>
      </c>
      <c r="D85" s="6">
        <v>0</v>
      </c>
      <c r="E85" s="6" t="s">
        <v>65</v>
      </c>
      <c r="F85" s="6">
        <v>200</v>
      </c>
      <c r="G85" s="6">
        <v>400</v>
      </c>
      <c r="H85" s="14">
        <v>0.2</v>
      </c>
    </row>
    <row r="86" spans="1:8" ht="17.25" thickBot="1" x14ac:dyDescent="0.35">
      <c r="A86" s="6" t="s">
        <v>55</v>
      </c>
      <c r="B86" s="6" t="s">
        <v>67</v>
      </c>
      <c r="C86" s="6">
        <f>VLOOKUP(B86,Overview!$A$16:$B$20,2,FALSE)</f>
        <v>2</v>
      </c>
      <c r="D86" s="6">
        <v>25</v>
      </c>
      <c r="E86" s="6" t="s">
        <v>65</v>
      </c>
      <c r="F86" s="6">
        <v>1</v>
      </c>
      <c r="G86" s="6">
        <v>2</v>
      </c>
      <c r="H86" s="14">
        <v>1</v>
      </c>
    </row>
    <row r="87" spans="1:8" ht="17.25" thickBot="1" x14ac:dyDescent="0.35">
      <c r="A87" s="6" t="s">
        <v>55</v>
      </c>
      <c r="B87" s="6" t="s">
        <v>67</v>
      </c>
      <c r="C87" s="6">
        <f>VLOOKUP(B87,Overview!$A$16:$B$20,2,FALSE)</f>
        <v>2</v>
      </c>
      <c r="D87" s="6">
        <v>50</v>
      </c>
      <c r="E87" s="6" t="s">
        <v>65</v>
      </c>
      <c r="F87" s="6">
        <v>1</v>
      </c>
      <c r="G87" s="6">
        <v>1</v>
      </c>
      <c r="H87" s="14">
        <v>1</v>
      </c>
    </row>
    <row r="88" spans="1:8" ht="17.25" thickBot="1" x14ac:dyDescent="0.35">
      <c r="A88" s="6" t="s">
        <v>55</v>
      </c>
      <c r="B88" s="6" t="s">
        <v>67</v>
      </c>
      <c r="C88" s="6">
        <f>VLOOKUP(B88,Overview!$A$16:$B$20,2,FALSE)</f>
        <v>2</v>
      </c>
      <c r="D88" s="6">
        <v>75</v>
      </c>
      <c r="E88" s="6" t="s">
        <v>68</v>
      </c>
      <c r="F88" s="6">
        <v>1</v>
      </c>
      <c r="G88" s="6">
        <v>1</v>
      </c>
      <c r="H88" s="14">
        <v>0.4</v>
      </c>
    </row>
    <row r="89" spans="1:8" ht="17.25" thickBot="1" x14ac:dyDescent="0.35">
      <c r="A89" s="6" t="s">
        <v>55</v>
      </c>
      <c r="B89" s="6" t="s">
        <v>67</v>
      </c>
      <c r="C89" s="6">
        <f>VLOOKUP(B89,Overview!$A$16:$B$20,2,FALSE)</f>
        <v>2</v>
      </c>
      <c r="D89" s="6">
        <v>100</v>
      </c>
      <c r="E89" s="6" t="s">
        <v>69</v>
      </c>
      <c r="F89" s="6">
        <v>1</v>
      </c>
      <c r="G89" s="6">
        <v>1</v>
      </c>
      <c r="H89" s="14">
        <v>0.35</v>
      </c>
    </row>
    <row r="90" spans="1:8" ht="17.25" thickBot="1" x14ac:dyDescent="0.35">
      <c r="A90" s="6" t="s">
        <v>55</v>
      </c>
      <c r="B90" s="6" t="s">
        <v>70</v>
      </c>
      <c r="C90" s="6">
        <f>VLOOKUP(B90,Overview!$A$16:$B$20,2,FALSE)</f>
        <v>4</v>
      </c>
      <c r="D90" s="6">
        <v>0</v>
      </c>
      <c r="E90" s="6" t="s">
        <v>65</v>
      </c>
      <c r="F90" s="6">
        <v>2000</v>
      </c>
      <c r="G90" s="6">
        <v>3000</v>
      </c>
      <c r="H90" s="14">
        <v>0.25</v>
      </c>
    </row>
    <row r="91" spans="1:8" ht="17.25" thickBot="1" x14ac:dyDescent="0.35">
      <c r="A91" s="6" t="s">
        <v>55</v>
      </c>
      <c r="B91" s="6" t="s">
        <v>70</v>
      </c>
      <c r="C91" s="6">
        <f>VLOOKUP(B91,Overview!$A$16:$B$20,2,FALSE)</f>
        <v>4</v>
      </c>
      <c r="D91" s="6">
        <v>0</v>
      </c>
      <c r="E91" s="6" t="s">
        <v>65</v>
      </c>
      <c r="F91" s="6">
        <v>1000</v>
      </c>
      <c r="G91" s="6">
        <v>1500</v>
      </c>
      <c r="H91" s="14">
        <v>0.2</v>
      </c>
    </row>
    <row r="92" spans="1:8" ht="17.25" thickBot="1" x14ac:dyDescent="0.35">
      <c r="A92" s="6" t="s">
        <v>55</v>
      </c>
      <c r="B92" s="6" t="s">
        <v>70</v>
      </c>
      <c r="C92" s="6">
        <f>VLOOKUP(B92,Overview!$A$16:$B$20,2,FALSE)</f>
        <v>4</v>
      </c>
      <c r="D92" s="6">
        <v>25</v>
      </c>
      <c r="E92" s="6" t="s">
        <v>65</v>
      </c>
      <c r="F92" s="6">
        <v>2</v>
      </c>
      <c r="G92" s="6">
        <v>3</v>
      </c>
      <c r="H92" s="14">
        <v>0.15</v>
      </c>
    </row>
    <row r="93" spans="1:8" ht="17.25" thickBot="1" x14ac:dyDescent="0.35">
      <c r="A93" s="6" t="s">
        <v>55</v>
      </c>
      <c r="B93" s="6" t="s">
        <v>70</v>
      </c>
      <c r="C93" s="6">
        <f>VLOOKUP(B93,Overview!$A$16:$B$20,2,FALSE)</f>
        <v>4</v>
      </c>
      <c r="D93" s="6">
        <v>50</v>
      </c>
      <c r="E93" s="6" t="s">
        <v>65</v>
      </c>
      <c r="F93" s="6">
        <v>1</v>
      </c>
      <c r="G93" s="6">
        <v>1</v>
      </c>
      <c r="H93" s="6">
        <v>35</v>
      </c>
    </row>
    <row r="94" spans="1:8" ht="17.25" thickBot="1" x14ac:dyDescent="0.35">
      <c r="A94" s="6" t="s">
        <v>55</v>
      </c>
      <c r="B94" s="6" t="s">
        <v>70</v>
      </c>
      <c r="C94" s="6">
        <f>VLOOKUP(B94,Overview!$A$16:$B$20,2,FALSE)</f>
        <v>4</v>
      </c>
      <c r="D94" s="6">
        <v>75</v>
      </c>
      <c r="E94" s="6" t="s">
        <v>68</v>
      </c>
      <c r="F94" s="6">
        <v>1</v>
      </c>
      <c r="G94" s="6">
        <v>1</v>
      </c>
      <c r="H94" s="6">
        <v>25</v>
      </c>
    </row>
    <row r="95" spans="1:8" ht="17.25" thickBot="1" x14ac:dyDescent="0.35">
      <c r="A95" s="6" t="s">
        <v>55</v>
      </c>
      <c r="B95" s="6" t="s">
        <v>70</v>
      </c>
      <c r="C95" s="6">
        <f>VLOOKUP(B95,Overview!$A$16:$B$20,2,FALSE)</f>
        <v>4</v>
      </c>
      <c r="D95" s="6">
        <v>90</v>
      </c>
      <c r="E95" s="6" t="s">
        <v>69</v>
      </c>
      <c r="F95" s="6">
        <v>1</v>
      </c>
      <c r="G95" s="6">
        <v>1</v>
      </c>
      <c r="H95" s="6">
        <v>20</v>
      </c>
    </row>
    <row r="96" spans="1:8" ht="17.25" thickBot="1" x14ac:dyDescent="0.35">
      <c r="A96" s="6" t="s">
        <v>55</v>
      </c>
      <c r="B96" s="6" t="s">
        <v>70</v>
      </c>
      <c r="C96" s="6">
        <f>VLOOKUP(B96,Overview!$A$16:$B$20,2,FALSE)</f>
        <v>4</v>
      </c>
      <c r="D96" s="6">
        <v>100</v>
      </c>
      <c r="E96" s="6" t="s">
        <v>71</v>
      </c>
      <c r="F96" s="6">
        <v>1</v>
      </c>
      <c r="G96" s="6">
        <v>1</v>
      </c>
      <c r="H96" s="6">
        <v>15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6302-B302-44BC-BDF2-498BD94CAC4F}">
  <dimension ref="A1:C12"/>
  <sheetViews>
    <sheetView workbookViewId="0">
      <selection activeCell="L10" sqref="L10"/>
    </sheetView>
  </sheetViews>
  <sheetFormatPr defaultRowHeight="16.5" x14ac:dyDescent="0.3"/>
  <cols>
    <col min="1" max="1" width="9.5" bestFit="1" customWidth="1"/>
    <col min="2" max="3" width="10.125" bestFit="1" customWidth="1"/>
  </cols>
  <sheetData>
    <row r="1" spans="1:3" ht="17.25" thickBot="1" x14ac:dyDescent="0.35">
      <c r="A1" s="4" t="s">
        <v>99</v>
      </c>
      <c r="B1" s="4" t="s">
        <v>100</v>
      </c>
      <c r="C1" s="4" t="s">
        <v>101</v>
      </c>
    </row>
    <row r="2" spans="1:3" ht="17.25" thickBot="1" x14ac:dyDescent="0.35">
      <c r="A2" s="5" t="s">
        <v>63</v>
      </c>
      <c r="B2" s="5" t="s">
        <v>63</v>
      </c>
      <c r="C2" s="5" t="s">
        <v>63</v>
      </c>
    </row>
    <row r="3" spans="1:3" ht="17.25" thickBot="1" x14ac:dyDescent="0.35">
      <c r="A3" s="6">
        <v>1</v>
      </c>
      <c r="B3" s="6">
        <v>0</v>
      </c>
      <c r="C3" s="6">
        <v>0</v>
      </c>
    </row>
    <row r="4" spans="1:3" ht="17.25" thickBot="1" x14ac:dyDescent="0.35">
      <c r="A4" s="6">
        <v>2</v>
      </c>
      <c r="B4" s="6">
        <v>1200</v>
      </c>
      <c r="C4" s="6">
        <v>1200</v>
      </c>
    </row>
    <row r="5" spans="1:3" ht="17.25" thickBot="1" x14ac:dyDescent="0.35">
      <c r="A5" s="6">
        <v>3</v>
      </c>
      <c r="B5" s="6">
        <v>2400</v>
      </c>
      <c r="C5" s="6">
        <v>3600</v>
      </c>
    </row>
    <row r="6" spans="1:3" ht="17.25" thickBot="1" x14ac:dyDescent="0.35">
      <c r="A6" s="6">
        <v>4</v>
      </c>
      <c r="B6" s="6">
        <v>4800</v>
      </c>
      <c r="C6" s="6">
        <v>8400</v>
      </c>
    </row>
    <row r="7" spans="1:3" ht="17.25" thickBot="1" x14ac:dyDescent="0.35">
      <c r="A7" s="6">
        <v>5</v>
      </c>
      <c r="B7" s="6">
        <v>8400</v>
      </c>
      <c r="C7" s="6">
        <v>16800</v>
      </c>
    </row>
    <row r="8" spans="1:3" ht="17.25" thickBot="1" x14ac:dyDescent="0.35">
      <c r="A8" s="6">
        <v>6</v>
      </c>
      <c r="B8" s="6">
        <v>13200</v>
      </c>
      <c r="C8" s="6">
        <v>30000</v>
      </c>
    </row>
    <row r="9" spans="1:3" ht="17.25" thickBot="1" x14ac:dyDescent="0.35">
      <c r="A9" s="6">
        <v>7</v>
      </c>
      <c r="B9" s="6">
        <v>18000</v>
      </c>
      <c r="C9" s="6">
        <v>48000</v>
      </c>
    </row>
    <row r="10" spans="1:3" ht="17.25" thickBot="1" x14ac:dyDescent="0.35">
      <c r="A10" s="6">
        <v>8</v>
      </c>
      <c r="B10" s="6">
        <v>22800</v>
      </c>
      <c r="C10" s="6">
        <v>70800</v>
      </c>
    </row>
    <row r="11" spans="1:3" ht="17.25" thickBot="1" x14ac:dyDescent="0.35">
      <c r="A11" s="6">
        <v>9</v>
      </c>
      <c r="B11" s="6">
        <v>31200</v>
      </c>
      <c r="C11" s="6">
        <v>102000</v>
      </c>
    </row>
    <row r="12" spans="1:3" ht="17.25" thickBot="1" x14ac:dyDescent="0.35">
      <c r="A12" s="6">
        <v>10</v>
      </c>
      <c r="B12" s="6">
        <v>42000</v>
      </c>
      <c r="C12" s="6">
        <v>144000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Overview</vt:lpstr>
      <vt:lpstr>s_building</vt:lpstr>
      <vt:lpstr>s_building_level</vt:lpstr>
      <vt:lpstr>s_palace_effect</vt:lpstr>
      <vt:lpstr>s_farm_effect</vt:lpstr>
      <vt:lpstr>s_market_effect</vt:lpstr>
      <vt:lpstr>s_gate_effect</vt:lpstr>
      <vt:lpstr>s_office_effect</vt:lpstr>
      <vt:lpstr>s_merchant_effect</vt:lpstr>
      <vt:lpstr>s_office_mission</vt:lpstr>
      <vt:lpstr>s_office_mission_grade</vt:lpstr>
      <vt:lpstr>s_office_mission_reward_pool</vt:lpstr>
      <vt:lpstr>s_office_level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2026-09-18T04:23:53Z</dcterms:modified>
</cp:coreProperties>
</file>