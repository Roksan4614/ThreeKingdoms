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B3EC190E-C4A0-4DCF-A3C7-2C055C0A014A}" xr6:coauthVersionLast="47" xr6:coauthVersionMax="47" xr10:uidLastSave="{00000000-0000-0000-0000-000000000000}"/>
  <bookViews>
    <workbookView xWindow="1245" yWindow="1065" windowWidth="21600" windowHeight="11295" activeTab="1" xr2:uid="{00000000-000D-0000-FFFF-FFFF00000000}"/>
  </bookViews>
  <sheets>
    <sheet name="Overview" sheetId="1" r:id="rId1"/>
    <sheet name="Castle" sheetId="4" r:id="rId2"/>
    <sheet name="CastleRise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3" i="3" l="1"/>
  <c r="L3" i="3" s="1"/>
  <c r="A5" i="3"/>
  <c r="A4" i="3"/>
  <c r="B5" i="3"/>
  <c r="B4" i="3"/>
</calcChain>
</file>

<file path=xl/sharedStrings.xml><?xml version="1.0" encoding="utf-8"?>
<sst xmlns="http://schemas.openxmlformats.org/spreadsheetml/2006/main" count="50" uniqueCount="36">
  <si>
    <t>string</t>
    <phoneticPr fontId="1" type="noConversion"/>
  </si>
  <si>
    <t>key</t>
    <phoneticPr fontId="1" type="noConversion"/>
  </si>
  <si>
    <t>ClassType</t>
    <phoneticPr fontId="1" type="noConversion"/>
  </si>
  <si>
    <t>지휘관</t>
    <phoneticPr fontId="1" type="noConversion"/>
  </si>
  <si>
    <t>용장</t>
    <phoneticPr fontId="1" type="noConversion"/>
  </si>
  <si>
    <t>선봉장</t>
    <phoneticPr fontId="1" type="noConversion"/>
  </si>
  <si>
    <t>추격자</t>
    <phoneticPr fontId="1" type="noConversion"/>
  </si>
  <si>
    <t>궁장</t>
    <phoneticPr fontId="1" type="noConversion"/>
  </si>
  <si>
    <t>책사</t>
    <phoneticPr fontId="1" type="noConversion"/>
  </si>
  <si>
    <t>RegionType</t>
    <phoneticPr fontId="1" type="noConversion"/>
  </si>
  <si>
    <t>위</t>
    <phoneticPr fontId="1" type="noConversion"/>
  </si>
  <si>
    <t>촉</t>
    <phoneticPr fontId="1" type="noConversion"/>
  </si>
  <si>
    <t>오</t>
    <phoneticPr fontId="1" type="noConversion"/>
  </si>
  <si>
    <t>중립</t>
    <phoneticPr fontId="1" type="noConversion"/>
  </si>
  <si>
    <t>int</t>
    <phoneticPr fontId="1" type="noConversion"/>
  </si>
  <si>
    <t>level</t>
    <phoneticPr fontId="1" type="noConversion"/>
  </si>
  <si>
    <t>value_01</t>
    <phoneticPr fontId="1" type="noConversion"/>
  </si>
  <si>
    <t>value_02</t>
    <phoneticPr fontId="1" type="noConversion"/>
  </si>
  <si>
    <t>count_batch</t>
    <phoneticPr fontId="1" type="noConversion"/>
  </si>
  <si>
    <t>max_amount</t>
    <phoneticPr fontId="1" type="noConversion"/>
  </si>
  <si>
    <t>rate_per_second</t>
    <phoneticPr fontId="1" type="noConversion"/>
  </si>
  <si>
    <t>upgrade_duration</t>
    <phoneticPr fontId="1" type="noConversion"/>
  </si>
  <si>
    <t>NONE</t>
    <phoneticPr fontId="1" type="noConversion"/>
  </si>
  <si>
    <t>stat_01</t>
    <phoneticPr fontId="1" type="noConversion"/>
  </si>
  <si>
    <t>stat_02</t>
    <phoneticPr fontId="1" type="noConversion"/>
  </si>
  <si>
    <t>Palace</t>
    <phoneticPr fontId="1" type="noConversion"/>
  </si>
  <si>
    <t>Charisma</t>
  </si>
  <si>
    <t>Market</t>
  </si>
  <si>
    <t>Farm</t>
  </si>
  <si>
    <t>Office</t>
  </si>
  <si>
    <t>Merchant</t>
  </si>
  <si>
    <t>Gate</t>
  </si>
  <si>
    <t>Intellect</t>
  </si>
  <si>
    <t>Politics</t>
  </si>
  <si>
    <t>Leadership</t>
  </si>
  <si>
    <t>Strength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</si>
</sst>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7"/>
  <sheetViews>
    <sheetView workbookViewId="0">
      <selection activeCell="E2" sqref="E2"/>
    </sheetView>
  </sheetViews>
  <sheetFormatPr defaultRowHeight="16.5" x14ac:dyDescent="0.3"/>
  <sheetData>
    <row r="1" spans="1:5" x14ac:dyDescent="0.3">
      <c r="A1" t="s">
        <v>2</v>
      </c>
      <c r="D1" t="s">
        <v>9</v>
      </c>
    </row>
    <row r="2" spans="1:5" x14ac:dyDescent="0.3">
      <c r="A2">
        <v>0</v>
      </c>
      <c r="B2" t="s">
        <v>3</v>
      </c>
      <c r="D2">
        <v>0</v>
      </c>
      <c r="E2" t="s">
        <v>10</v>
      </c>
    </row>
    <row r="3" spans="1:5" x14ac:dyDescent="0.3">
      <c r="A3">
        <v>1</v>
      </c>
      <c r="B3" t="s">
        <v>4</v>
      </c>
      <c r="D3">
        <v>1</v>
      </c>
      <c r="E3" t="s">
        <v>11</v>
      </c>
    </row>
    <row r="4" spans="1:5" x14ac:dyDescent="0.3">
      <c r="A4">
        <v>2</v>
      </c>
      <c r="B4" t="s">
        <v>5</v>
      </c>
      <c r="D4">
        <v>2</v>
      </c>
      <c r="E4" t="s">
        <v>12</v>
      </c>
    </row>
    <row r="5" spans="1:5" x14ac:dyDescent="0.3">
      <c r="A5">
        <v>3</v>
      </c>
      <c r="B5" t="s">
        <v>6</v>
      </c>
      <c r="D5">
        <v>3</v>
      </c>
      <c r="E5" t="s">
        <v>13</v>
      </c>
    </row>
    <row r="6" spans="1:5" x14ac:dyDescent="0.3">
      <c r="A6">
        <v>4</v>
      </c>
      <c r="B6" t="s">
        <v>7</v>
      </c>
    </row>
    <row r="7" spans="1:5" x14ac:dyDescent="0.3">
      <c r="A7">
        <v>5</v>
      </c>
      <c r="B7" t="s">
        <v>8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72808-C815-44D5-8DB4-2688868DC90E}">
  <dimension ref="A1:C8"/>
  <sheetViews>
    <sheetView tabSelected="1" workbookViewId="0">
      <selection activeCell="B9" sqref="B9"/>
    </sheetView>
  </sheetViews>
  <sheetFormatPr defaultRowHeight="16.5" x14ac:dyDescent="0.3"/>
  <cols>
    <col min="1" max="1" width="9.625" bestFit="1" customWidth="1"/>
    <col min="2" max="3" width="10.625" bestFit="1" customWidth="1"/>
  </cols>
  <sheetData>
    <row r="1" spans="1:3" x14ac:dyDescent="0.3">
      <c r="A1" s="1" t="s">
        <v>1</v>
      </c>
      <c r="B1" s="1" t="s">
        <v>23</v>
      </c>
      <c r="C1" s="1" t="s">
        <v>24</v>
      </c>
    </row>
    <row r="2" spans="1:3" x14ac:dyDescent="0.3">
      <c r="A2" s="1" t="s">
        <v>0</v>
      </c>
      <c r="B2" s="2" t="s">
        <v>0</v>
      </c>
      <c r="C2" s="2" t="s">
        <v>0</v>
      </c>
    </row>
    <row r="3" spans="1:3" x14ac:dyDescent="0.3">
      <c r="A3" t="s">
        <v>25</v>
      </c>
      <c r="B3" s="3" t="s">
        <v>26</v>
      </c>
      <c r="C3" s="3"/>
    </row>
    <row r="4" spans="1:3" x14ac:dyDescent="0.3">
      <c r="A4" s="3" t="s">
        <v>27</v>
      </c>
      <c r="B4" s="3" t="s">
        <v>32</v>
      </c>
      <c r="C4" s="3" t="s">
        <v>33</v>
      </c>
    </row>
    <row r="5" spans="1:3" x14ac:dyDescent="0.3">
      <c r="A5" s="3" t="s">
        <v>28</v>
      </c>
      <c r="B5" t="s">
        <v>35</v>
      </c>
      <c r="C5" s="3" t="s">
        <v>33</v>
      </c>
    </row>
    <row r="6" spans="1:3" x14ac:dyDescent="0.3">
      <c r="A6" t="s">
        <v>29</v>
      </c>
    </row>
    <row r="7" spans="1:3" x14ac:dyDescent="0.3">
      <c r="A7" t="s">
        <v>30</v>
      </c>
      <c r="B7" t="s">
        <v>32</v>
      </c>
      <c r="C7" s="3" t="s">
        <v>34</v>
      </c>
    </row>
    <row r="8" spans="1:3" x14ac:dyDescent="0.3">
      <c r="A8" t="s">
        <v>31</v>
      </c>
      <c r="B8" t="s">
        <v>35</v>
      </c>
      <c r="C8" t="s">
        <v>34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9"/>
  <sheetViews>
    <sheetView workbookViewId="0">
      <pane xSplit="1" ySplit="2" topLeftCell="D3" activePane="bottomRight" state="frozen"/>
      <selection pane="topRight" activeCell="C1" sqref="C1"/>
      <selection pane="bottomLeft" activeCell="A3" sqref="A3"/>
      <selection pane="bottomRight" activeCell="K6" sqref="K6"/>
    </sheetView>
  </sheetViews>
  <sheetFormatPr defaultRowHeight="16.5" x14ac:dyDescent="0.3"/>
  <cols>
    <col min="1" max="1" width="11" bestFit="1" customWidth="1"/>
    <col min="2" max="2" width="6.625" style="3" bestFit="1" customWidth="1"/>
    <col min="3" max="3" width="11.375" style="3" bestFit="1" customWidth="1"/>
    <col min="4" max="4" width="24.75" bestFit="1" customWidth="1"/>
    <col min="5" max="5" width="12.625" bestFit="1" customWidth="1"/>
    <col min="6" max="6" width="18" bestFit="1" customWidth="1"/>
    <col min="7" max="7" width="13.375" bestFit="1" customWidth="1"/>
    <col min="8" max="8" width="16.375" bestFit="1" customWidth="1"/>
  </cols>
  <sheetData>
    <row r="1" spans="1:12" x14ac:dyDescent="0.3">
      <c r="A1" s="1" t="s">
        <v>1</v>
      </c>
      <c r="B1" s="1" t="s">
        <v>15</v>
      </c>
      <c r="C1" s="1" t="s">
        <v>16</v>
      </c>
      <c r="D1" s="1" t="s">
        <v>17</v>
      </c>
      <c r="E1" s="1" t="s">
        <v>18</v>
      </c>
      <c r="F1" s="1" t="s">
        <v>21</v>
      </c>
      <c r="G1" s="1" t="s">
        <v>19</v>
      </c>
      <c r="H1" s="1" t="s">
        <v>20</v>
      </c>
    </row>
    <row r="2" spans="1:12" x14ac:dyDescent="0.3">
      <c r="A2" s="1" t="s">
        <v>0</v>
      </c>
      <c r="B2" s="2" t="s">
        <v>0</v>
      </c>
      <c r="C2" s="2" t="s">
        <v>0</v>
      </c>
      <c r="D2" s="2" t="s">
        <v>0</v>
      </c>
      <c r="E2" s="2" t="s">
        <v>14</v>
      </c>
      <c r="F2" s="2" t="s">
        <v>14</v>
      </c>
      <c r="G2" s="2" t="s">
        <v>14</v>
      </c>
      <c r="H2" s="2" t="s">
        <v>14</v>
      </c>
      <c r="K2">
        <v>70</v>
      </c>
      <c r="L2">
        <v>80</v>
      </c>
    </row>
    <row r="3" spans="1:12" x14ac:dyDescent="0.3">
      <c r="A3" t="s">
        <v>22</v>
      </c>
      <c r="B3" s="3">
        <v>1</v>
      </c>
      <c r="C3" s="3">
        <v>80</v>
      </c>
      <c r="D3">
        <v>80</v>
      </c>
      <c r="E3">
        <v>1</v>
      </c>
      <c r="G3">
        <v>1000</v>
      </c>
      <c r="H3">
        <v>2</v>
      </c>
      <c r="J3">
        <v>2</v>
      </c>
      <c r="K3">
        <f>K2/L2</f>
        <v>0.875</v>
      </c>
      <c r="L3">
        <f>J3+J3*K3</f>
        <v>3.75</v>
      </c>
    </row>
    <row r="4" spans="1:12" x14ac:dyDescent="0.3">
      <c r="A4" s="3" t="str">
        <f>A3</f>
        <v>NONE</v>
      </c>
      <c r="B4" s="3">
        <f>B3+1</f>
        <v>2</v>
      </c>
      <c r="C4" s="3">
        <v>160</v>
      </c>
      <c r="D4">
        <v>160</v>
      </c>
      <c r="E4">
        <v>1</v>
      </c>
      <c r="F4" s="3">
        <v>60</v>
      </c>
      <c r="G4">
        <v>2000</v>
      </c>
      <c r="H4">
        <v>3</v>
      </c>
    </row>
    <row r="5" spans="1:12" x14ac:dyDescent="0.3">
      <c r="A5" s="3" t="str">
        <f>A4</f>
        <v>NONE</v>
      </c>
      <c r="B5" s="3">
        <f>B4+1</f>
        <v>3</v>
      </c>
      <c r="C5" s="3">
        <v>240</v>
      </c>
      <c r="D5">
        <v>240</v>
      </c>
      <c r="E5">
        <v>1</v>
      </c>
      <c r="F5" s="3">
        <v>120</v>
      </c>
      <c r="G5">
        <v>3000</v>
      </c>
      <c r="H5">
        <v>4</v>
      </c>
    </row>
    <row r="6" spans="1:12" x14ac:dyDescent="0.3">
      <c r="A6" s="3"/>
    </row>
    <row r="7" spans="1:12" x14ac:dyDescent="0.3">
      <c r="A7" s="3"/>
    </row>
    <row r="8" spans="1:12" x14ac:dyDescent="0.3">
      <c r="A8" s="3"/>
    </row>
    <row r="9" spans="1:12" x14ac:dyDescent="0.3">
      <c r="A9" s="3"/>
    </row>
  </sheetData>
  <sortState xmlns:xlrd2="http://schemas.microsoft.com/office/spreadsheetml/2017/richdata2" ref="A3:A41">
    <sortCondition ref="A3"/>
  </sortState>
  <phoneticPr fontId="1" type="noConversion"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Overview</vt:lpstr>
      <vt:lpstr>Castle</vt:lpstr>
      <vt:lpstr>CastleRise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2026-05-08T07:30:14Z</dcterms:modified>
</cp:coreProperties>
</file>