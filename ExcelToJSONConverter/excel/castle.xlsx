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25158BB-2BBF-4668-8A4B-B3066C87B63A}" xr6:coauthVersionLast="47" xr6:coauthVersionMax="47" xr10:uidLastSave="{00000000-0000-0000-0000-000000000000}"/>
  <bookViews>
    <workbookView xWindow="-28920" yWindow="1395" windowWidth="29040" windowHeight="16440" activeTab="6" xr2:uid="{00000000-000D-0000-FFFF-FFFF00000000}"/>
  </bookViews>
  <sheets>
    <sheet name="Overview" sheetId="1" r:id="rId1"/>
    <sheet name="Castle" sheetId="4" r:id="rId2"/>
    <sheet name="CastleRise" sheetId="3" r:id="rId3"/>
    <sheet name="CastleMission" sheetId="5" r:id="rId4"/>
    <sheet name="CastleMissionGrade" sheetId="8" r:id="rId5"/>
    <sheet name="CastleMissionReward" sheetId="6" r:id="rId6"/>
    <sheet name="CastleOfficeLevel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10" i="1"/>
  <c r="B5" i="8"/>
  <c r="B4" i="8"/>
  <c r="B3" i="8"/>
  <c r="F95" i="6" l="1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96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K3" i="3" l="1"/>
  <c r="L3" i="3" s="1"/>
  <c r="A5" i="3"/>
  <c r="A4" i="3"/>
  <c r="B5" i="3"/>
  <c r="B4" i="3"/>
</calcChain>
</file>

<file path=xl/sharedStrings.xml><?xml version="1.0" encoding="utf-8"?>
<sst xmlns="http://schemas.openxmlformats.org/spreadsheetml/2006/main" count="441" uniqueCount="114">
  <si>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</si>
  <si>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</si>
  <si>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</si>
  <si>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</si>
  <si>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</si>
  <si>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</si>
  <si>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</si>
  <si>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</si>
  <si>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</si>
  <si>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</si>
  <si>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</si>
  <si>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</si>
  <si>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</si>
  <si>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</si>
  <si>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</si>
  <si>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</si>
  <si>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value_01</t>
    <phoneticPr fontId="1" type="noConversion"/>
  </si>
  <si>
    <t>value_02</t>
    <phoneticPr fontId="1" type="noConversion"/>
  </si>
  <si>
    <t>count_batch</t>
    <phoneticPr fontId="1" type="noConversion"/>
  </si>
  <si>
    <t>max_amount</t>
    <phoneticPr fontId="1" type="noConversion"/>
  </si>
  <si>
    <t>rate_per_second</t>
    <phoneticPr fontId="1" type="noConversion"/>
  </si>
  <si>
    <t>upgrade_duration</t>
    <phoneticPr fontId="1" type="noConversion"/>
  </si>
  <si>
    <t>NONE</t>
    <phoneticPr fontId="1" type="noConversion"/>
  </si>
  <si>
    <t>stat_01</t>
    <phoneticPr fontId="1" type="noConversion"/>
  </si>
  <si>
    <t>stat_02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</si>
  <si>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</si>
  <si>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</si>
  <si>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</si>
  <si>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</si>
  <si>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</si>
  <si>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</si>
  <si>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</si>
  <si>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</si>
  <si>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</si>
  <si>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</si>
  <si>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</si>
  <si>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</si>
  <si>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</si>
  <si>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</si>
  <si>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</si>
  <si>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</si>
  <si>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</si>
  <si>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</si>
  <si>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</si>
  <si>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</si>
  <si>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</si>
  <si>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</si>
  <si>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</si>
  <si>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</si>
  <si>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</si>
  <si>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</si>
  <si>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</si>
  <si>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</si>
  <si>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</si>
  <si>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</si>
  <si>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</si>
  <si>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</si>
  <si>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</si>
  <si>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</si>
  <si>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</si>
  <si>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</si>
  <si>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</si>
  <si>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</si>
  <si>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</si>
  <si>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</si>
  <si>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</si>
  <si>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</si>
  <si>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</si>
  <si>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</si>
  <si>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</si>
  <si>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</si>
  <si>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</si>
  <si>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</si>
  <si>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</si>
  <si>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</si>
  <si>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</si>
  <si>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</si>
  <si>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</si>
  <si>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</si>
  <si>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</si>
  <si>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</si>
  <si>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</si>
  <si>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</si>
  <si>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</si>
  <si>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</si>
  <si>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</si>
  <si>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</si>
  <si>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</si>
  <si>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</si>
  <si>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</si>
  <si>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</si>
  <si>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</si>
  <si>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</si>
  <si>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</si>
  <si>
    <t>gold</t>
  </si>
  <si>
    <t>time_stone</t>
  </si>
  <si>
    <t>bundle_normal</t>
  </si>
  <si>
    <t>bundle_general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</si>
  <si>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</si>
  <si>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</si>
  <si>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</si>
  <si>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</si>
  <si>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</si>
  <si>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</si>
  <si>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treasure_piece_random_box</t>
  </si>
  <si>
    <t>#reward_key</t>
    <phoneticPr fontId="1" type="noConversion"/>
  </si>
  <si>
    <t>#key</t>
    <phoneticPr fontId="1" type="noConversion"/>
  </si>
  <si>
    <t>duration_seconds</t>
  </si>
  <si>
    <t>mission_xp</t>
  </si>
  <si>
    <t>req_stat_value</t>
  </si>
  <si>
    <t>level</t>
  </si>
  <si>
    <t>req_xp</t>
  </si>
  <si>
    <t>accum_xp</t>
  </si>
  <si>
    <t>upgrade_seconds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</si>
</sst>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opLeftCell="A4" workbookViewId="0">
      <selection activeCell="G11" sqref="G11"/>
    </sheetView>
  </sheetViews>
  <sheetFormatPr defaultRowHeight="16.5" x14ac:dyDescent="0.3"/>
  <cols>
    <col min="6" max="6" width="33" bestFit="1" customWidth="1"/>
  </cols>
  <sheetData>
    <row r="1" spans="1:7" x14ac:dyDescent="0.3">
      <c r="A1" t="s">
        <v>2</v>
      </c>
      <c r="D1" t="s">
        <v>9</v>
      </c>
    </row>
    <row r="2" spans="1:7" x14ac:dyDescent="0.3">
      <c r="A2">
        <v>0</v>
      </c>
      <c r="B2" t="s">
        <v>3</v>
      </c>
      <c r="D2">
        <v>0</v>
      </c>
      <c r="E2" t="s">
        <v>10</v>
      </c>
    </row>
    <row r="3" spans="1:7" x14ac:dyDescent="0.3">
      <c r="A3">
        <v>1</v>
      </c>
      <c r="B3" t="s">
        <v>4</v>
      </c>
      <c r="D3">
        <v>1</v>
      </c>
      <c r="E3" t="s">
        <v>11</v>
      </c>
    </row>
    <row r="4" spans="1:7" x14ac:dyDescent="0.3">
      <c r="A4">
        <v>2</v>
      </c>
      <c r="B4" t="s">
        <v>5</v>
      </c>
      <c r="D4">
        <v>2</v>
      </c>
      <c r="E4" t="s">
        <v>12</v>
      </c>
    </row>
    <row r="5" spans="1:7" x14ac:dyDescent="0.3">
      <c r="A5">
        <v>3</v>
      </c>
      <c r="B5" t="s">
        <v>6</v>
      </c>
      <c r="D5">
        <v>3</v>
      </c>
      <c r="E5" t="s">
        <v>13</v>
      </c>
    </row>
    <row r="6" spans="1:7" x14ac:dyDescent="0.3">
      <c r="A6">
        <v>4</v>
      </c>
      <c r="B6" t="s">
        <v>7</v>
      </c>
    </row>
    <row r="7" spans="1:7" x14ac:dyDescent="0.3">
      <c r="A7">
        <v>5</v>
      </c>
      <c r="B7" t="s">
        <v>8</v>
      </c>
    </row>
    <row r="9" spans="1:7" x14ac:dyDescent="0.3">
      <c r="A9" t="s">
        <v>82</v>
      </c>
      <c r="B9">
        <v>0</v>
      </c>
      <c r="F9" t="s">
        <v>75</v>
      </c>
      <c r="G9">
        <v>1</v>
      </c>
    </row>
    <row r="10" spans="1:7" x14ac:dyDescent="0.3">
      <c r="A10" t="s">
        <v>83</v>
      </c>
      <c r="B10">
        <v>1</v>
      </c>
      <c r="F10" t="s">
        <v>94</v>
      </c>
      <c r="G10">
        <f>G9+1</f>
        <v>2</v>
      </c>
    </row>
    <row r="11" spans="1:7" x14ac:dyDescent="0.3">
      <c r="A11" t="s">
        <v>84</v>
      </c>
      <c r="B11">
        <v>2</v>
      </c>
      <c r="F11" t="s">
        <v>95</v>
      </c>
      <c r="G11">
        <f t="shared" ref="G11:G24" si="0">G10+1</f>
        <v>3</v>
      </c>
    </row>
    <row r="12" spans="1:7" x14ac:dyDescent="0.3">
      <c r="A12" t="s">
        <v>85</v>
      </c>
      <c r="B12">
        <v>3</v>
      </c>
      <c r="F12" t="s">
        <v>96</v>
      </c>
      <c r="G12">
        <f t="shared" si="0"/>
        <v>4</v>
      </c>
    </row>
    <row r="13" spans="1:7" x14ac:dyDescent="0.3">
      <c r="A13" t="s">
        <v>86</v>
      </c>
      <c r="B13">
        <v>4</v>
      </c>
      <c r="F13" t="s">
        <v>76</v>
      </c>
      <c r="G13">
        <f t="shared" si="0"/>
        <v>5</v>
      </c>
    </row>
    <row r="14" spans="1:7" x14ac:dyDescent="0.3">
      <c r="F14" t="s">
        <v>97</v>
      </c>
      <c r="G14">
        <f t="shared" si="0"/>
        <v>6</v>
      </c>
    </row>
    <row r="15" spans="1:7" x14ac:dyDescent="0.3">
      <c r="F15" t="s">
        <v>78</v>
      </c>
      <c r="G15">
        <f t="shared" si="0"/>
        <v>7</v>
      </c>
    </row>
    <row r="16" spans="1:7" x14ac:dyDescent="0.3">
      <c r="A16" t="s">
        <v>87</v>
      </c>
      <c r="B16">
        <v>0</v>
      </c>
      <c r="F16" t="s">
        <v>98</v>
      </c>
      <c r="G16">
        <f t="shared" si="0"/>
        <v>8</v>
      </c>
    </row>
    <row r="17" spans="1:7" x14ac:dyDescent="0.3">
      <c r="A17" t="s">
        <v>91</v>
      </c>
      <c r="B17">
        <v>1</v>
      </c>
      <c r="F17" t="s">
        <v>99</v>
      </c>
      <c r="G17">
        <f t="shared" si="0"/>
        <v>9</v>
      </c>
    </row>
    <row r="18" spans="1:7" x14ac:dyDescent="0.3">
      <c r="A18" t="s">
        <v>88</v>
      </c>
      <c r="B18">
        <v>2</v>
      </c>
      <c r="F18" t="s">
        <v>100</v>
      </c>
      <c r="G18">
        <f t="shared" si="0"/>
        <v>10</v>
      </c>
    </row>
    <row r="19" spans="1:7" x14ac:dyDescent="0.3">
      <c r="A19" t="s">
        <v>90</v>
      </c>
      <c r="B19">
        <v>3</v>
      </c>
      <c r="F19" t="s">
        <v>101</v>
      </c>
      <c r="G19">
        <f t="shared" si="0"/>
        <v>11</v>
      </c>
    </row>
    <row r="20" spans="1:7" x14ac:dyDescent="0.3">
      <c r="A20" t="s">
        <v>89</v>
      </c>
      <c r="B20">
        <v>4</v>
      </c>
      <c r="F20" t="s">
        <v>102</v>
      </c>
      <c r="G20">
        <f t="shared" si="0"/>
        <v>12</v>
      </c>
    </row>
    <row r="21" spans="1:7" x14ac:dyDescent="0.3">
      <c r="F21" t="s">
        <v>103</v>
      </c>
      <c r="G21">
        <f t="shared" si="0"/>
        <v>13</v>
      </c>
    </row>
    <row r="22" spans="1:7" x14ac:dyDescent="0.3">
      <c r="F22" t="s">
        <v>81</v>
      </c>
      <c r="G22">
        <f t="shared" si="0"/>
        <v>14</v>
      </c>
    </row>
    <row r="23" spans="1:7" x14ac:dyDescent="0.3">
      <c r="F23" t="s">
        <v>79</v>
      </c>
      <c r="G23">
        <f t="shared" si="0"/>
        <v>15</v>
      </c>
    </row>
    <row r="24" spans="1:7" x14ac:dyDescent="0.3">
      <c r="F24" t="s">
        <v>104</v>
      </c>
      <c r="G24">
        <f t="shared" si="0"/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B9" sqref="B9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23</v>
      </c>
      <c r="C1" s="1" t="s">
        <v>24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25</v>
      </c>
      <c r="B3" s="3" t="s">
        <v>26</v>
      </c>
      <c r="C3" s="3"/>
    </row>
    <row r="4" spans="1:3" x14ac:dyDescent="0.3">
      <c r="A4" s="3" t="s">
        <v>27</v>
      </c>
      <c r="B4" s="3" t="s">
        <v>32</v>
      </c>
      <c r="C4" s="3" t="s">
        <v>33</v>
      </c>
    </row>
    <row r="5" spans="1:3" x14ac:dyDescent="0.3">
      <c r="A5" s="3" t="s">
        <v>28</v>
      </c>
      <c r="B5" t="s">
        <v>35</v>
      </c>
      <c r="C5" s="3" t="s">
        <v>33</v>
      </c>
    </row>
    <row r="6" spans="1:3" x14ac:dyDescent="0.3">
      <c r="A6" t="s">
        <v>29</v>
      </c>
    </row>
    <row r="7" spans="1:3" x14ac:dyDescent="0.3">
      <c r="A7" t="s">
        <v>30</v>
      </c>
      <c r="B7" t="s">
        <v>32</v>
      </c>
      <c r="C7" s="3" t="s">
        <v>34</v>
      </c>
    </row>
    <row r="8" spans="1:3" x14ac:dyDescent="0.3">
      <c r="A8" t="s">
        <v>31</v>
      </c>
      <c r="B8" t="s">
        <v>35</v>
      </c>
      <c r="C8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xSplit="1" ySplit="2" topLeftCell="D3" activePane="bottomRight" state="frozen"/>
      <selection pane="topRight" activeCell="C1" sqref="C1"/>
      <selection pane="bottomLeft" activeCell="A3" sqref="A3"/>
      <selection pane="bottomRight" activeCell="K6" sqref="K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1.375" style="3" bestFit="1" customWidth="1"/>
    <col min="4" max="4" width="24.75" bestFit="1" customWidth="1"/>
    <col min="5" max="5" width="12.625" bestFit="1" customWidth="1"/>
    <col min="6" max="6" width="18" bestFit="1" customWidth="1"/>
    <col min="7" max="7" width="13.375" bestFit="1" customWidth="1"/>
    <col min="8" max="8" width="16.375" bestFit="1" customWidth="1"/>
  </cols>
  <sheetData>
    <row r="1" spans="1:12" x14ac:dyDescent="0.3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21</v>
      </c>
      <c r="G1" s="1" t="s">
        <v>19</v>
      </c>
      <c r="H1" s="1" t="s">
        <v>20</v>
      </c>
    </row>
    <row r="2" spans="1:12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  <c r="G2" s="2" t="s">
        <v>14</v>
      </c>
      <c r="H2" s="2" t="s">
        <v>14</v>
      </c>
      <c r="K2">
        <v>70</v>
      </c>
      <c r="L2">
        <v>80</v>
      </c>
    </row>
    <row r="3" spans="1:12" x14ac:dyDescent="0.3">
      <c r="A3" t="s">
        <v>22</v>
      </c>
      <c r="B3" s="3">
        <v>1</v>
      </c>
      <c r="C3" s="3">
        <v>80</v>
      </c>
      <c r="D3">
        <v>80</v>
      </c>
      <c r="E3">
        <v>1</v>
      </c>
      <c r="G3">
        <v>1000</v>
      </c>
      <c r="H3">
        <v>2</v>
      </c>
      <c r="J3">
        <v>2</v>
      </c>
      <c r="K3">
        <f>K2/L2</f>
        <v>0.875</v>
      </c>
      <c r="L3">
        <f>J3+J3*K3</f>
        <v>3.75</v>
      </c>
    </row>
    <row r="4" spans="1:12" x14ac:dyDescent="0.3">
      <c r="A4" s="3" t="str">
        <f>A3</f>
        <v>NONE</v>
      </c>
      <c r="B4" s="3">
        <f>B3+1</f>
        <v>2</v>
      </c>
      <c r="C4" s="3">
        <v>160</v>
      </c>
      <c r="D4">
        <v>160</v>
      </c>
      <c r="E4">
        <v>1</v>
      </c>
      <c r="F4" s="3">
        <v>60</v>
      </c>
      <c r="G4">
        <v>2000</v>
      </c>
      <c r="H4">
        <v>3</v>
      </c>
    </row>
    <row r="5" spans="1:12" x14ac:dyDescent="0.3">
      <c r="A5" s="3" t="str">
        <f>A4</f>
        <v>NONE</v>
      </c>
      <c r="B5" s="3">
        <f>B4+1</f>
        <v>3</v>
      </c>
      <c r="C5" s="3">
        <v>240</v>
      </c>
      <c r="D5">
        <v>240</v>
      </c>
      <c r="E5">
        <v>1</v>
      </c>
      <c r="F5" s="3">
        <v>120</v>
      </c>
      <c r="G5">
        <v>3000</v>
      </c>
      <c r="H5">
        <v>4</v>
      </c>
    </row>
    <row r="6" spans="1:12" x14ac:dyDescent="0.3">
      <c r="A6" s="3"/>
    </row>
    <row r="7" spans="1:12" x14ac:dyDescent="0.3">
      <c r="A7" s="3"/>
    </row>
    <row r="8" spans="1:12" x14ac:dyDescent="0.3">
      <c r="A8" s="3"/>
    </row>
    <row r="9" spans="1:12" x14ac:dyDescent="0.3">
      <c r="A9" s="3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C16" sqref="C16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36</v>
      </c>
      <c r="B1" s="4" t="s">
        <v>37</v>
      </c>
      <c r="C1" s="4" t="s">
        <v>38</v>
      </c>
      <c r="D1" s="4" t="s">
        <v>39</v>
      </c>
    </row>
    <row r="2" spans="1:4" ht="17.25" thickBot="1" x14ac:dyDescent="0.35">
      <c r="A2" s="5" t="s">
        <v>0</v>
      </c>
      <c r="B2" s="5" t="s">
        <v>40</v>
      </c>
      <c r="C2" s="5" t="s">
        <v>0</v>
      </c>
      <c r="D2" s="5" t="s">
        <v>0</v>
      </c>
    </row>
    <row r="3" spans="1:4" ht="17.25" thickBot="1" x14ac:dyDescent="0.35">
      <c r="A3" s="6" t="s">
        <v>41</v>
      </c>
      <c r="B3" s="6" t="s">
        <v>42</v>
      </c>
      <c r="C3" s="6">
        <v>0</v>
      </c>
      <c r="D3" s="6"/>
    </row>
    <row r="4" spans="1:4" ht="17.25" thickBot="1" x14ac:dyDescent="0.35">
      <c r="A4" s="6" t="s">
        <v>44</v>
      </c>
      <c r="B4" s="6" t="s">
        <v>45</v>
      </c>
      <c r="C4" s="6">
        <v>0</v>
      </c>
      <c r="D4" s="6"/>
    </row>
    <row r="5" spans="1:4" ht="17.25" thickBot="1" x14ac:dyDescent="0.35">
      <c r="A5" s="6" t="s">
        <v>46</v>
      </c>
      <c r="B5" s="6" t="s">
        <v>47</v>
      </c>
      <c r="C5" s="6">
        <v>1</v>
      </c>
      <c r="D5" s="7"/>
    </row>
    <row r="6" spans="1:4" ht="17.25" thickBot="1" x14ac:dyDescent="0.35">
      <c r="A6" s="6" t="s">
        <v>49</v>
      </c>
      <c r="B6" s="6" t="s">
        <v>50</v>
      </c>
      <c r="C6" s="6">
        <v>1</v>
      </c>
      <c r="D6" s="7"/>
    </row>
    <row r="7" spans="1:4" ht="17.25" thickBot="1" x14ac:dyDescent="0.35">
      <c r="A7" s="6" t="s">
        <v>51</v>
      </c>
      <c r="B7" s="6" t="s">
        <v>52</v>
      </c>
      <c r="C7" s="6">
        <v>3</v>
      </c>
      <c r="D7" s="7"/>
    </row>
    <row r="8" spans="1:4" ht="17.25" thickBot="1" x14ac:dyDescent="0.35">
      <c r="A8" s="6" t="s">
        <v>54</v>
      </c>
      <c r="B8" s="6" t="s">
        <v>55</v>
      </c>
      <c r="C8" s="6">
        <v>3</v>
      </c>
      <c r="D8" s="7"/>
    </row>
    <row r="9" spans="1:4" ht="17.25" thickBot="1" x14ac:dyDescent="0.35">
      <c r="A9" s="6" t="s">
        <v>56</v>
      </c>
      <c r="B9" s="6" t="s">
        <v>57</v>
      </c>
      <c r="C9" s="6">
        <v>2</v>
      </c>
      <c r="D9" s="7"/>
    </row>
    <row r="10" spans="1:4" ht="17.25" thickBot="1" x14ac:dyDescent="0.35">
      <c r="A10" s="6" t="s">
        <v>59</v>
      </c>
      <c r="B10" s="6" t="s">
        <v>60</v>
      </c>
      <c r="C10" s="6">
        <v>2</v>
      </c>
      <c r="D10" s="7"/>
    </row>
    <row r="11" spans="1:4" ht="17.25" thickBot="1" x14ac:dyDescent="0.35">
      <c r="A11" s="6" t="s">
        <v>61</v>
      </c>
      <c r="B11" s="6" t="s">
        <v>62</v>
      </c>
      <c r="C11" s="6">
        <v>4</v>
      </c>
      <c r="D11" s="7"/>
    </row>
    <row r="12" spans="1:4" ht="17.25" thickBot="1" x14ac:dyDescent="0.35">
      <c r="A12" s="6" t="s">
        <v>64</v>
      </c>
      <c r="B12" s="6" t="s">
        <v>65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E5"/>
  <sheetViews>
    <sheetView workbookViewId="0">
      <selection activeCell="Q12" sqref="Q12"/>
    </sheetView>
  </sheetViews>
  <sheetFormatPr defaultRowHeight="16.5" x14ac:dyDescent="0.3"/>
  <cols>
    <col min="1" max="1" width="7.875" bestFit="1" customWidth="1"/>
    <col min="2" max="2" width="4.25" bestFit="1" customWidth="1"/>
    <col min="3" max="3" width="16" bestFit="1" customWidth="1"/>
    <col min="4" max="4" width="10.375" bestFit="1" customWidth="1"/>
    <col min="5" max="5" width="13.375" bestFit="1" customWidth="1"/>
  </cols>
  <sheetData>
    <row r="1" spans="1:5" x14ac:dyDescent="0.3">
      <c r="A1" s="8" t="s">
        <v>106</v>
      </c>
      <c r="B1" s="8" t="s">
        <v>1</v>
      </c>
      <c r="C1" s="8" t="s">
        <v>107</v>
      </c>
      <c r="D1" s="8" t="s">
        <v>108</v>
      </c>
      <c r="E1" s="8" t="s">
        <v>109</v>
      </c>
    </row>
    <row r="2" spans="1:5" x14ac:dyDescent="0.3">
      <c r="A2" s="8" t="s">
        <v>0</v>
      </c>
      <c r="B2" s="8" t="s">
        <v>14</v>
      </c>
      <c r="C2" s="8" t="s">
        <v>73</v>
      </c>
      <c r="D2" s="8" t="s">
        <v>73</v>
      </c>
      <c r="E2" s="8" t="s">
        <v>73</v>
      </c>
    </row>
    <row r="3" spans="1:5" x14ac:dyDescent="0.3">
      <c r="A3" s="9" t="s">
        <v>87</v>
      </c>
      <c r="B3" s="10">
        <f>VLOOKUP(A3,Overview!$A$16:$B$20,2,FALSE)</f>
        <v>0</v>
      </c>
      <c r="C3" s="10">
        <v>3600</v>
      </c>
      <c r="D3" s="10">
        <v>10</v>
      </c>
      <c r="E3" s="10">
        <v>100</v>
      </c>
    </row>
    <row r="4" spans="1:5" x14ac:dyDescent="0.3">
      <c r="A4" s="9" t="s">
        <v>88</v>
      </c>
      <c r="B4" s="10">
        <f>VLOOKUP(A4,Overview!$A$16:$B$20,2,FALSE)</f>
        <v>2</v>
      </c>
      <c r="C4" s="10">
        <v>21600</v>
      </c>
      <c r="D4" s="10">
        <v>60</v>
      </c>
      <c r="E4" s="10">
        <v>300</v>
      </c>
    </row>
    <row r="5" spans="1:5" x14ac:dyDescent="0.3">
      <c r="A5" s="9" t="s">
        <v>89</v>
      </c>
      <c r="B5" s="10">
        <f>VLOOKUP(A5,Overview!$A$16:$B$20,2,FALSE)</f>
        <v>4</v>
      </c>
      <c r="C5" s="10">
        <v>86400</v>
      </c>
      <c r="D5" s="10">
        <v>240</v>
      </c>
      <c r="E5" s="10">
        <v>500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J96"/>
  <sheetViews>
    <sheetView workbookViewId="0">
      <selection activeCell="C3" sqref="C3"/>
    </sheetView>
  </sheetViews>
  <sheetFormatPr defaultColWidth="36" defaultRowHeight="16.5" x14ac:dyDescent="0.3"/>
  <cols>
    <col min="1" max="1" width="8.875" bestFit="1" customWidth="1"/>
    <col min="2" max="2" width="7" bestFit="1" customWidth="1"/>
    <col min="3" max="3" width="6.125" bestFit="1" customWidth="1"/>
    <col min="4" max="4" width="10" bestFit="1" customWidth="1"/>
    <col min="5" max="5" width="12.375" bestFit="1" customWidth="1"/>
    <col min="6" max="6" width="10.875" bestFit="1" customWidth="1"/>
    <col min="7" max="7" width="12.625" bestFit="1" customWidth="1"/>
    <col min="8" max="8" width="11.125" bestFit="1" customWidth="1"/>
    <col min="9" max="9" width="11.625" bestFit="1" customWidth="1"/>
    <col min="10" max="10" width="9.125" bestFit="1" customWidth="1"/>
  </cols>
  <sheetData>
    <row r="1" spans="1:10" ht="17.25" thickBot="1" x14ac:dyDescent="0.35">
      <c r="A1" s="4" t="s">
        <v>36</v>
      </c>
      <c r="B1" s="4" t="s">
        <v>92</v>
      </c>
      <c r="C1" s="4" t="s">
        <v>66</v>
      </c>
      <c r="D1" s="4" t="s">
        <v>67</v>
      </c>
      <c r="E1" s="4" t="s">
        <v>105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</row>
    <row r="2" spans="1:10" ht="17.25" thickBot="1" x14ac:dyDescent="0.35">
      <c r="A2" s="5" t="s">
        <v>0</v>
      </c>
      <c r="B2" s="5"/>
      <c r="C2" s="5" t="s">
        <v>14</v>
      </c>
      <c r="D2" s="5" t="s">
        <v>73</v>
      </c>
      <c r="E2" s="5" t="s">
        <v>0</v>
      </c>
      <c r="F2" s="5" t="s">
        <v>14</v>
      </c>
      <c r="G2" s="5" t="s">
        <v>0</v>
      </c>
      <c r="H2" s="5" t="s">
        <v>73</v>
      </c>
      <c r="I2" s="5" t="s">
        <v>73</v>
      </c>
      <c r="J2" s="5" t="s">
        <v>0</v>
      </c>
    </row>
    <row r="3" spans="1:10" ht="17.25" thickBot="1" x14ac:dyDescent="0.35">
      <c r="A3" s="6" t="s">
        <v>82</v>
      </c>
      <c r="B3" s="6" t="s">
        <v>74</v>
      </c>
      <c r="C3" s="6">
        <f>VLOOKUP(B3,Overview!$A$16:$B$20,2,FALSE)</f>
        <v>0</v>
      </c>
      <c r="D3" s="6">
        <v>0</v>
      </c>
      <c r="E3" s="6" t="s">
        <v>75</v>
      </c>
      <c r="F3" s="6">
        <f>VLOOKUP(E3,Overview!$F$9:$G$24,2,FALSE)</f>
        <v>1</v>
      </c>
      <c r="G3" s="7"/>
      <c r="H3" s="6">
        <v>100</v>
      </c>
      <c r="I3" s="6">
        <v>200</v>
      </c>
      <c r="J3" s="6">
        <v>100</v>
      </c>
    </row>
    <row r="4" spans="1:10" ht="17.25" thickBot="1" x14ac:dyDescent="0.35">
      <c r="A4" s="6" t="s">
        <v>43</v>
      </c>
      <c r="B4" s="6" t="s">
        <v>74</v>
      </c>
      <c r="C4" s="6">
        <f>VLOOKUP(B4,Overview!$A$16:$B$20,2,FALSE)</f>
        <v>0</v>
      </c>
      <c r="D4" s="6">
        <v>0</v>
      </c>
      <c r="E4" s="6" t="s">
        <v>75</v>
      </c>
      <c r="F4" s="6">
        <f>VLOOKUP(E4,Overview!$F$9:$G$24,2,FALSE)</f>
        <v>1</v>
      </c>
      <c r="G4" s="7"/>
      <c r="H4" s="6">
        <v>50</v>
      </c>
      <c r="I4" s="6">
        <v>100</v>
      </c>
      <c r="J4" s="6">
        <v>100</v>
      </c>
    </row>
    <row r="5" spans="1:10" ht="17.25" thickBot="1" x14ac:dyDescent="0.35">
      <c r="A5" s="6" t="s">
        <v>43</v>
      </c>
      <c r="B5" s="6" t="s">
        <v>74</v>
      </c>
      <c r="C5" s="6">
        <f>VLOOKUP(B5,Overview!$A$16:$B$20,2,FALSE)</f>
        <v>0</v>
      </c>
      <c r="D5" s="6">
        <v>25</v>
      </c>
      <c r="E5" s="6" t="s">
        <v>75</v>
      </c>
      <c r="F5" s="6">
        <f>VLOOKUP(E5,Overview!$F$9:$G$24,2,FALSE)</f>
        <v>1</v>
      </c>
      <c r="G5" s="7"/>
      <c r="H5" s="6">
        <v>1</v>
      </c>
      <c r="I5" s="6">
        <v>1</v>
      </c>
      <c r="J5" s="6">
        <v>35</v>
      </c>
    </row>
    <row r="6" spans="1:10" ht="17.25" thickBot="1" x14ac:dyDescent="0.35">
      <c r="A6" s="6" t="s">
        <v>43</v>
      </c>
      <c r="B6" s="6" t="s">
        <v>74</v>
      </c>
      <c r="C6" s="6">
        <f>VLOOKUP(B6,Overview!$A$16:$B$20,2,FALSE)</f>
        <v>0</v>
      </c>
      <c r="D6" s="6">
        <v>25</v>
      </c>
      <c r="E6" s="6" t="s">
        <v>93</v>
      </c>
      <c r="F6" s="6">
        <f>VLOOKUP(E6,Overview!$F$9:$G$24,2,FALSE)</f>
        <v>2</v>
      </c>
      <c r="G6" s="7"/>
      <c r="H6" s="6">
        <v>1</v>
      </c>
      <c r="I6" s="6">
        <v>1</v>
      </c>
      <c r="J6" s="6">
        <v>30</v>
      </c>
    </row>
    <row r="7" spans="1:10" ht="17.25" thickBot="1" x14ac:dyDescent="0.35">
      <c r="A7" s="6" t="s">
        <v>43</v>
      </c>
      <c r="B7" s="6" t="s">
        <v>74</v>
      </c>
      <c r="C7" s="6">
        <f>VLOOKUP(B7,Overview!$A$16:$B$20,2,FALSE)</f>
        <v>0</v>
      </c>
      <c r="D7" s="6">
        <v>50</v>
      </c>
      <c r="E7" s="6" t="s">
        <v>75</v>
      </c>
      <c r="F7" s="6">
        <f>VLOOKUP(E7,Overview!$F$9:$G$24,2,FALSE)</f>
        <v>1</v>
      </c>
      <c r="G7" s="7"/>
      <c r="H7" s="6">
        <v>1</v>
      </c>
      <c r="I7" s="6">
        <v>1</v>
      </c>
      <c r="J7" s="6">
        <v>30</v>
      </c>
    </row>
    <row r="8" spans="1:10" ht="17.25" thickBot="1" x14ac:dyDescent="0.35">
      <c r="A8" s="6" t="s">
        <v>43</v>
      </c>
      <c r="B8" s="6" t="s">
        <v>74</v>
      </c>
      <c r="C8" s="6">
        <f>VLOOKUP(B8,Overview!$A$16:$B$20,2,FALSE)</f>
        <v>0</v>
      </c>
      <c r="D8" s="6">
        <v>50</v>
      </c>
      <c r="E8" s="6" t="s">
        <v>93</v>
      </c>
      <c r="F8" s="6">
        <f>VLOOKUP(E8,Overview!$F$9:$G$24,2,FALSE)</f>
        <v>2</v>
      </c>
      <c r="G8" s="7"/>
      <c r="H8" s="6">
        <v>1</v>
      </c>
      <c r="I8" s="6">
        <v>1</v>
      </c>
      <c r="J8" s="6">
        <v>30</v>
      </c>
    </row>
    <row r="9" spans="1:10" ht="17.25" thickBot="1" x14ac:dyDescent="0.35">
      <c r="A9" s="6" t="s">
        <v>43</v>
      </c>
      <c r="B9" s="6" t="s">
        <v>74</v>
      </c>
      <c r="C9" s="6">
        <f>VLOOKUP(B9,Overview!$A$16:$B$20,2,FALSE)</f>
        <v>0</v>
      </c>
      <c r="D9" s="6">
        <v>100</v>
      </c>
      <c r="E9" s="6" t="s">
        <v>76</v>
      </c>
      <c r="F9" s="6">
        <f>VLOOKUP(E9,Overview!$F$9:$G$24,2,FALSE)</f>
        <v>5</v>
      </c>
      <c r="G9" s="6" t="s">
        <v>75</v>
      </c>
      <c r="H9" s="6">
        <v>1</v>
      </c>
      <c r="I9" s="6">
        <v>1</v>
      </c>
      <c r="J9" s="6">
        <v>20</v>
      </c>
    </row>
    <row r="10" spans="1:10" ht="17.25" thickBot="1" x14ac:dyDescent="0.35">
      <c r="A10" s="6" t="s">
        <v>43</v>
      </c>
      <c r="B10" s="6" t="s">
        <v>77</v>
      </c>
      <c r="C10" s="6">
        <f>VLOOKUP(B10,Overview!$A$16:$B$20,2,FALSE)</f>
        <v>2</v>
      </c>
      <c r="D10" s="6">
        <v>0</v>
      </c>
      <c r="E10" s="6" t="s">
        <v>75</v>
      </c>
      <c r="F10" s="6">
        <f>VLOOKUP(E10,Overview!$F$9:$G$24,2,FALSE)</f>
        <v>1</v>
      </c>
      <c r="G10" s="7"/>
      <c r="H10" s="6">
        <v>500</v>
      </c>
      <c r="I10" s="6">
        <v>800</v>
      </c>
      <c r="J10" s="6">
        <v>100</v>
      </c>
    </row>
    <row r="11" spans="1:10" ht="17.25" thickBot="1" x14ac:dyDescent="0.35">
      <c r="A11" s="6" t="s">
        <v>43</v>
      </c>
      <c r="B11" s="6" t="s">
        <v>77</v>
      </c>
      <c r="C11" s="6">
        <f>VLOOKUP(B11,Overview!$A$16:$B$20,2,FALSE)</f>
        <v>2</v>
      </c>
      <c r="D11" s="6">
        <v>0</v>
      </c>
      <c r="E11" s="6" t="s">
        <v>75</v>
      </c>
      <c r="F11" s="6">
        <f>VLOOKUP(E11,Overview!$F$9:$G$24,2,FALSE)</f>
        <v>1</v>
      </c>
      <c r="G11" s="7"/>
      <c r="H11" s="6">
        <v>200</v>
      </c>
      <c r="I11" s="6">
        <v>400</v>
      </c>
      <c r="J11" s="6">
        <v>100</v>
      </c>
    </row>
    <row r="12" spans="1:10" ht="17.25" thickBot="1" x14ac:dyDescent="0.35">
      <c r="A12" s="6" t="s">
        <v>43</v>
      </c>
      <c r="B12" s="6" t="s">
        <v>77</v>
      </c>
      <c r="C12" s="6">
        <f>VLOOKUP(B12,Overview!$A$16:$B$20,2,FALSE)</f>
        <v>2</v>
      </c>
      <c r="D12" s="6">
        <v>25</v>
      </c>
      <c r="E12" s="6" t="s">
        <v>75</v>
      </c>
      <c r="F12" s="6">
        <f>VLOOKUP(E12,Overview!$F$9:$G$24,2,FALSE)</f>
        <v>1</v>
      </c>
      <c r="G12" s="7"/>
      <c r="H12" s="6">
        <v>1</v>
      </c>
      <c r="I12" s="6">
        <v>2</v>
      </c>
      <c r="J12" s="6">
        <v>40</v>
      </c>
    </row>
    <row r="13" spans="1:10" ht="17.25" thickBot="1" x14ac:dyDescent="0.35">
      <c r="A13" s="6" t="s">
        <v>43</v>
      </c>
      <c r="B13" s="6" t="s">
        <v>77</v>
      </c>
      <c r="C13" s="6">
        <f>VLOOKUP(B13,Overview!$A$16:$B$20,2,FALSE)</f>
        <v>2</v>
      </c>
      <c r="D13" s="6">
        <v>25</v>
      </c>
      <c r="E13" s="6" t="s">
        <v>93</v>
      </c>
      <c r="F13" s="6">
        <f>VLOOKUP(E13,Overview!$F$9:$G$24,2,FALSE)</f>
        <v>2</v>
      </c>
      <c r="G13" s="7"/>
      <c r="H13" s="6">
        <v>1</v>
      </c>
      <c r="I13" s="6">
        <v>1</v>
      </c>
      <c r="J13" s="6">
        <v>35</v>
      </c>
    </row>
    <row r="14" spans="1:10" ht="17.25" thickBot="1" x14ac:dyDescent="0.35">
      <c r="A14" s="6" t="s">
        <v>43</v>
      </c>
      <c r="B14" s="6" t="s">
        <v>77</v>
      </c>
      <c r="C14" s="6">
        <f>VLOOKUP(B14,Overview!$A$16:$B$20,2,FALSE)</f>
        <v>2</v>
      </c>
      <c r="D14" s="6">
        <v>50</v>
      </c>
      <c r="E14" s="6" t="s">
        <v>75</v>
      </c>
      <c r="F14" s="6">
        <f>VLOOKUP(E14,Overview!$F$9:$G$24,2,FALSE)</f>
        <v>1</v>
      </c>
      <c r="G14" s="7"/>
      <c r="H14" s="6">
        <v>1</v>
      </c>
      <c r="I14" s="6">
        <v>1</v>
      </c>
      <c r="J14" s="6">
        <v>35</v>
      </c>
    </row>
    <row r="15" spans="1:10" ht="17.25" thickBot="1" x14ac:dyDescent="0.35">
      <c r="A15" s="6" t="s">
        <v>43</v>
      </c>
      <c r="B15" s="6" t="s">
        <v>77</v>
      </c>
      <c r="C15" s="6">
        <f>VLOOKUP(B15,Overview!$A$16:$B$20,2,FALSE)</f>
        <v>2</v>
      </c>
      <c r="D15" s="6">
        <v>50</v>
      </c>
      <c r="E15" s="6" t="s">
        <v>93</v>
      </c>
      <c r="F15" s="6">
        <f>VLOOKUP(E15,Overview!$F$9:$G$24,2,FALSE)</f>
        <v>2</v>
      </c>
      <c r="G15" s="6"/>
      <c r="H15" s="6">
        <v>1</v>
      </c>
      <c r="I15" s="6">
        <v>1</v>
      </c>
      <c r="J15" s="6">
        <v>30</v>
      </c>
    </row>
    <row r="16" spans="1:10" ht="17.25" thickBot="1" x14ac:dyDescent="0.35">
      <c r="A16" s="6" t="s">
        <v>43</v>
      </c>
      <c r="B16" s="6" t="s">
        <v>77</v>
      </c>
      <c r="C16" s="6">
        <f>VLOOKUP(B16,Overview!$A$16:$B$20,2,FALSE)</f>
        <v>2</v>
      </c>
      <c r="D16" s="6">
        <v>75</v>
      </c>
      <c r="E16" s="6" t="s">
        <v>78</v>
      </c>
      <c r="F16" s="6">
        <f>VLOOKUP(E16,Overview!$F$9:$G$24,2,FALSE)</f>
        <v>7</v>
      </c>
      <c r="G16" s="6" t="s">
        <v>75</v>
      </c>
      <c r="H16" s="6">
        <v>1</v>
      </c>
      <c r="I16" s="6">
        <v>1</v>
      </c>
      <c r="J16" s="6">
        <v>30</v>
      </c>
    </row>
    <row r="17" spans="1:10" ht="17.25" thickBot="1" x14ac:dyDescent="0.35">
      <c r="A17" s="6" t="s">
        <v>43</v>
      </c>
      <c r="B17" s="6" t="s">
        <v>77</v>
      </c>
      <c r="C17" s="6">
        <f>VLOOKUP(B17,Overview!$A$16:$B$20,2,FALSE)</f>
        <v>2</v>
      </c>
      <c r="D17" s="6">
        <v>100</v>
      </c>
      <c r="E17" s="6" t="s">
        <v>79</v>
      </c>
      <c r="F17" s="6">
        <f>VLOOKUP(E17,Overview!$F$9:$G$24,2,FALSE)</f>
        <v>15</v>
      </c>
      <c r="G17" s="7"/>
      <c r="H17" s="6">
        <v>1</v>
      </c>
      <c r="I17" s="6">
        <v>1</v>
      </c>
      <c r="J17" s="6">
        <v>20</v>
      </c>
    </row>
    <row r="18" spans="1:10" ht="17.25" thickBot="1" x14ac:dyDescent="0.35">
      <c r="A18" s="6" t="s">
        <v>43</v>
      </c>
      <c r="B18" s="6" t="s">
        <v>80</v>
      </c>
      <c r="C18" s="6">
        <f>VLOOKUP(B18,Overview!$A$16:$B$20,2,FALSE)</f>
        <v>4</v>
      </c>
      <c r="D18" s="6">
        <v>0</v>
      </c>
      <c r="E18" s="6" t="s">
        <v>75</v>
      </c>
      <c r="F18" s="6">
        <f>VLOOKUP(E18,Overview!$F$9:$G$24,2,FALSE)</f>
        <v>1</v>
      </c>
      <c r="G18" s="7"/>
      <c r="H18" s="6">
        <v>2000</v>
      </c>
      <c r="I18" s="6">
        <v>3000</v>
      </c>
      <c r="J18" s="6">
        <v>100</v>
      </c>
    </row>
    <row r="19" spans="1:10" ht="17.25" thickBot="1" x14ac:dyDescent="0.35">
      <c r="A19" s="6" t="s">
        <v>43</v>
      </c>
      <c r="B19" s="6" t="s">
        <v>80</v>
      </c>
      <c r="C19" s="6">
        <f>VLOOKUP(B19,Overview!$A$16:$B$20,2,FALSE)</f>
        <v>4</v>
      </c>
      <c r="D19" s="6">
        <v>0</v>
      </c>
      <c r="E19" s="6" t="s">
        <v>75</v>
      </c>
      <c r="F19" s="6">
        <f>VLOOKUP(E19,Overview!$F$9:$G$24,2,FALSE)</f>
        <v>1</v>
      </c>
      <c r="G19" s="7"/>
      <c r="H19" s="6">
        <v>1000</v>
      </c>
      <c r="I19" s="6">
        <v>1500</v>
      </c>
      <c r="J19" s="6">
        <v>100</v>
      </c>
    </row>
    <row r="20" spans="1:10" ht="17.25" thickBot="1" x14ac:dyDescent="0.35">
      <c r="A20" s="6" t="s">
        <v>43</v>
      </c>
      <c r="B20" s="6" t="s">
        <v>80</v>
      </c>
      <c r="C20" s="6">
        <f>VLOOKUP(B20,Overview!$A$16:$B$20,2,FALSE)</f>
        <v>4</v>
      </c>
      <c r="D20" s="6">
        <v>25</v>
      </c>
      <c r="E20" s="6" t="s">
        <v>75</v>
      </c>
      <c r="F20" s="6">
        <f>VLOOKUP(E20,Overview!$F$9:$G$24,2,FALSE)</f>
        <v>1</v>
      </c>
      <c r="G20" s="7"/>
      <c r="H20" s="6">
        <v>2</v>
      </c>
      <c r="I20" s="6">
        <v>3</v>
      </c>
      <c r="J20" s="6">
        <v>40</v>
      </c>
    </row>
    <row r="21" spans="1:10" ht="17.25" thickBot="1" x14ac:dyDescent="0.35">
      <c r="A21" s="6" t="s">
        <v>43</v>
      </c>
      <c r="B21" s="6" t="s">
        <v>80</v>
      </c>
      <c r="C21" s="6">
        <f>VLOOKUP(B21,Overview!$A$16:$B$20,2,FALSE)</f>
        <v>4</v>
      </c>
      <c r="D21" s="6">
        <v>50</v>
      </c>
      <c r="E21" s="6" t="s">
        <v>75</v>
      </c>
      <c r="F21" s="6">
        <f>VLOOKUP(E21,Overview!$F$9:$G$24,2,FALSE)</f>
        <v>1</v>
      </c>
      <c r="G21" s="7"/>
      <c r="H21" s="6">
        <v>1</v>
      </c>
      <c r="I21" s="6">
        <v>1</v>
      </c>
      <c r="J21" s="6">
        <v>35</v>
      </c>
    </row>
    <row r="22" spans="1:10" ht="17.25" thickBot="1" x14ac:dyDescent="0.35">
      <c r="A22" s="6" t="s">
        <v>43</v>
      </c>
      <c r="B22" s="6" t="s">
        <v>80</v>
      </c>
      <c r="C22" s="6">
        <f>VLOOKUP(B22,Overview!$A$16:$B$20,2,FALSE)</f>
        <v>4</v>
      </c>
      <c r="D22" s="6">
        <v>75</v>
      </c>
      <c r="E22" s="6" t="s">
        <v>78</v>
      </c>
      <c r="F22" s="6">
        <f>VLOOKUP(E22,Overview!$F$9:$G$24,2,FALSE)</f>
        <v>7</v>
      </c>
      <c r="G22" s="6" t="s">
        <v>75</v>
      </c>
      <c r="H22" s="6">
        <v>1</v>
      </c>
      <c r="I22" s="6">
        <v>1</v>
      </c>
      <c r="J22" s="6">
        <v>25</v>
      </c>
    </row>
    <row r="23" spans="1:10" ht="17.25" thickBot="1" x14ac:dyDescent="0.35">
      <c r="A23" s="6" t="s">
        <v>43</v>
      </c>
      <c r="B23" s="6" t="s">
        <v>80</v>
      </c>
      <c r="C23" s="6">
        <f>VLOOKUP(B23,Overview!$A$16:$B$20,2,FALSE)</f>
        <v>4</v>
      </c>
      <c r="D23" s="6">
        <v>90</v>
      </c>
      <c r="E23" s="6" t="s">
        <v>79</v>
      </c>
      <c r="F23" s="6">
        <f>VLOOKUP(E23,Overview!$F$9:$G$24,2,FALSE)</f>
        <v>15</v>
      </c>
      <c r="G23" s="7"/>
      <c r="H23" s="6">
        <v>1</v>
      </c>
      <c r="I23" s="6">
        <v>1</v>
      </c>
      <c r="J23" s="6">
        <v>20</v>
      </c>
    </row>
    <row r="24" spans="1:10" ht="17.25" thickBot="1" x14ac:dyDescent="0.35">
      <c r="A24" s="6" t="s">
        <v>43</v>
      </c>
      <c r="B24" s="6" t="s">
        <v>80</v>
      </c>
      <c r="C24" s="6">
        <f>VLOOKUP(B24,Overview!$A$16:$B$20,2,FALSE)</f>
        <v>4</v>
      </c>
      <c r="D24" s="6">
        <v>100</v>
      </c>
      <c r="E24" s="6" t="s">
        <v>81</v>
      </c>
      <c r="F24" s="6">
        <f>VLOOKUP(E24,Overview!$F$9:$G$24,2,FALSE)</f>
        <v>14</v>
      </c>
      <c r="G24" s="7"/>
      <c r="H24" s="6">
        <v>1</v>
      </c>
      <c r="I24" s="6">
        <v>1</v>
      </c>
      <c r="J24" s="6">
        <v>15</v>
      </c>
    </row>
    <row r="25" spans="1:10" ht="17.25" thickBot="1" x14ac:dyDescent="0.35">
      <c r="A25" s="6" t="s">
        <v>48</v>
      </c>
      <c r="B25" s="6" t="s">
        <v>74</v>
      </c>
      <c r="C25" s="6">
        <f>VLOOKUP(B25,Overview!$A$16:$B$20,2,FALSE)</f>
        <v>0</v>
      </c>
      <c r="D25" s="6">
        <v>0</v>
      </c>
      <c r="E25" s="6" t="s">
        <v>75</v>
      </c>
      <c r="F25" s="6">
        <f>VLOOKUP(E25,Overview!$F$9:$G$24,2,FALSE)</f>
        <v>1</v>
      </c>
      <c r="G25" s="7"/>
      <c r="H25" s="6">
        <v>100</v>
      </c>
      <c r="I25" s="6">
        <v>200</v>
      </c>
      <c r="J25" s="6">
        <v>100</v>
      </c>
    </row>
    <row r="26" spans="1:10" ht="17.25" thickBot="1" x14ac:dyDescent="0.35">
      <c r="A26" s="6" t="s">
        <v>48</v>
      </c>
      <c r="B26" s="6" t="s">
        <v>74</v>
      </c>
      <c r="C26" s="6">
        <f>VLOOKUP(B26,Overview!$A$16:$B$20,2,FALSE)</f>
        <v>0</v>
      </c>
      <c r="D26" s="6">
        <v>0</v>
      </c>
      <c r="E26" s="6" t="s">
        <v>75</v>
      </c>
      <c r="F26" s="6">
        <f>VLOOKUP(E26,Overview!$F$9:$G$24,2,FALSE)</f>
        <v>1</v>
      </c>
      <c r="G26" s="7"/>
      <c r="H26" s="6">
        <v>50</v>
      </c>
      <c r="I26" s="6">
        <v>100</v>
      </c>
      <c r="J26" s="6">
        <v>100</v>
      </c>
    </row>
    <row r="27" spans="1:10" ht="17.25" thickBot="1" x14ac:dyDescent="0.35">
      <c r="A27" s="6" t="s">
        <v>48</v>
      </c>
      <c r="B27" s="6" t="s">
        <v>74</v>
      </c>
      <c r="C27" s="6">
        <f>VLOOKUP(B27,Overview!$A$16:$B$20,2,FALSE)</f>
        <v>0</v>
      </c>
      <c r="D27" s="6">
        <v>25</v>
      </c>
      <c r="E27" s="6" t="s">
        <v>75</v>
      </c>
      <c r="F27" s="6">
        <f>VLOOKUP(E27,Overview!$F$9:$G$24,2,FALSE)</f>
        <v>1</v>
      </c>
      <c r="G27" s="7"/>
      <c r="H27" s="6">
        <v>1</v>
      </c>
      <c r="I27" s="6">
        <v>1</v>
      </c>
      <c r="J27" s="6">
        <v>35</v>
      </c>
    </row>
    <row r="28" spans="1:10" ht="17.25" thickBot="1" x14ac:dyDescent="0.35">
      <c r="A28" s="6" t="s">
        <v>48</v>
      </c>
      <c r="B28" s="6" t="s">
        <v>74</v>
      </c>
      <c r="C28" s="6">
        <f>VLOOKUP(B28,Overview!$A$16:$B$20,2,FALSE)</f>
        <v>0</v>
      </c>
      <c r="D28" s="6">
        <v>50</v>
      </c>
      <c r="E28" s="6" t="s">
        <v>75</v>
      </c>
      <c r="F28" s="6">
        <f>VLOOKUP(E28,Overview!$F$9:$G$24,2,FALSE)</f>
        <v>1</v>
      </c>
      <c r="G28" s="7"/>
      <c r="H28" s="6">
        <v>1</v>
      </c>
      <c r="I28" s="6">
        <v>1</v>
      </c>
      <c r="J28" s="6">
        <v>30</v>
      </c>
    </row>
    <row r="29" spans="1:10" ht="17.25" thickBot="1" x14ac:dyDescent="0.35">
      <c r="A29" s="6" t="s">
        <v>48</v>
      </c>
      <c r="B29" s="6" t="s">
        <v>74</v>
      </c>
      <c r="C29" s="6">
        <f>VLOOKUP(B29,Overview!$A$16:$B$20,2,FALSE)</f>
        <v>0</v>
      </c>
      <c r="D29" s="6">
        <v>100</v>
      </c>
      <c r="E29" s="6" t="s">
        <v>76</v>
      </c>
      <c r="F29" s="6">
        <f>VLOOKUP(E29,Overview!$F$9:$G$24,2,FALSE)</f>
        <v>5</v>
      </c>
      <c r="G29" s="6" t="s">
        <v>75</v>
      </c>
      <c r="H29" s="6">
        <v>1</v>
      </c>
      <c r="I29" s="6">
        <v>1</v>
      </c>
      <c r="J29" s="6">
        <v>20</v>
      </c>
    </row>
    <row r="30" spans="1:10" ht="17.25" thickBot="1" x14ac:dyDescent="0.35">
      <c r="A30" s="6" t="s">
        <v>48</v>
      </c>
      <c r="B30" s="6" t="s">
        <v>77</v>
      </c>
      <c r="C30" s="6">
        <f>VLOOKUP(B30,Overview!$A$16:$B$20,2,FALSE)</f>
        <v>2</v>
      </c>
      <c r="D30" s="6">
        <v>0</v>
      </c>
      <c r="E30" s="6" t="s">
        <v>75</v>
      </c>
      <c r="F30" s="6">
        <f>VLOOKUP(E30,Overview!$F$9:$G$24,2,FALSE)</f>
        <v>1</v>
      </c>
      <c r="G30" s="7"/>
      <c r="H30" s="6">
        <v>500</v>
      </c>
      <c r="I30" s="6">
        <v>800</v>
      </c>
      <c r="J30" s="6">
        <v>100</v>
      </c>
    </row>
    <row r="31" spans="1:10" ht="17.25" thickBot="1" x14ac:dyDescent="0.35">
      <c r="A31" s="6" t="s">
        <v>48</v>
      </c>
      <c r="B31" s="6" t="s">
        <v>77</v>
      </c>
      <c r="C31" s="6">
        <f>VLOOKUP(B31,Overview!$A$16:$B$20,2,FALSE)</f>
        <v>2</v>
      </c>
      <c r="D31" s="6">
        <v>0</v>
      </c>
      <c r="E31" s="6" t="s">
        <v>75</v>
      </c>
      <c r="F31" s="6">
        <f>VLOOKUP(E31,Overview!$F$9:$G$24,2,FALSE)</f>
        <v>1</v>
      </c>
      <c r="G31" s="7"/>
      <c r="H31" s="6">
        <v>200</v>
      </c>
      <c r="I31" s="6">
        <v>400</v>
      </c>
      <c r="J31" s="6">
        <v>100</v>
      </c>
    </row>
    <row r="32" spans="1:10" ht="17.25" thickBot="1" x14ac:dyDescent="0.35">
      <c r="A32" s="6" t="s">
        <v>48</v>
      </c>
      <c r="B32" s="6" t="s">
        <v>77</v>
      </c>
      <c r="C32" s="6">
        <f>VLOOKUP(B32,Overview!$A$16:$B$20,2,FALSE)</f>
        <v>2</v>
      </c>
      <c r="D32" s="6">
        <v>25</v>
      </c>
      <c r="E32" s="6" t="s">
        <v>75</v>
      </c>
      <c r="F32" s="6">
        <f>VLOOKUP(E32,Overview!$F$9:$G$24,2,FALSE)</f>
        <v>1</v>
      </c>
      <c r="G32" s="7"/>
      <c r="H32" s="6">
        <v>1</v>
      </c>
      <c r="I32" s="6">
        <v>2</v>
      </c>
      <c r="J32" s="6">
        <v>40</v>
      </c>
    </row>
    <row r="33" spans="1:10" ht="17.25" thickBot="1" x14ac:dyDescent="0.35">
      <c r="A33" s="6" t="s">
        <v>48</v>
      </c>
      <c r="B33" s="6" t="s">
        <v>77</v>
      </c>
      <c r="C33" s="6">
        <f>VLOOKUP(B33,Overview!$A$16:$B$20,2,FALSE)</f>
        <v>2</v>
      </c>
      <c r="D33" s="6">
        <v>50</v>
      </c>
      <c r="E33" s="6" t="s">
        <v>75</v>
      </c>
      <c r="F33" s="6">
        <f>VLOOKUP(E33,Overview!$F$9:$G$24,2,FALSE)</f>
        <v>1</v>
      </c>
      <c r="G33" s="7"/>
      <c r="H33" s="6">
        <v>1</v>
      </c>
      <c r="I33" s="6">
        <v>1</v>
      </c>
      <c r="J33" s="6">
        <v>35</v>
      </c>
    </row>
    <row r="34" spans="1:10" ht="17.25" thickBot="1" x14ac:dyDescent="0.35">
      <c r="A34" s="6" t="s">
        <v>48</v>
      </c>
      <c r="B34" s="6" t="s">
        <v>77</v>
      </c>
      <c r="C34" s="6">
        <f>VLOOKUP(B34,Overview!$A$16:$B$20,2,FALSE)</f>
        <v>2</v>
      </c>
      <c r="D34" s="6">
        <v>75</v>
      </c>
      <c r="E34" s="6" t="s">
        <v>78</v>
      </c>
      <c r="F34" s="6">
        <f>VLOOKUP(E34,Overview!$F$9:$G$24,2,FALSE)</f>
        <v>7</v>
      </c>
      <c r="G34" s="6" t="s">
        <v>75</v>
      </c>
      <c r="H34" s="6">
        <v>1</v>
      </c>
      <c r="I34" s="6">
        <v>1</v>
      </c>
      <c r="J34" s="6">
        <v>30</v>
      </c>
    </row>
    <row r="35" spans="1:10" ht="17.25" thickBot="1" x14ac:dyDescent="0.35">
      <c r="A35" s="6" t="s">
        <v>48</v>
      </c>
      <c r="B35" s="6" t="s">
        <v>77</v>
      </c>
      <c r="C35" s="6">
        <f>VLOOKUP(B35,Overview!$A$16:$B$20,2,FALSE)</f>
        <v>2</v>
      </c>
      <c r="D35" s="6">
        <v>100</v>
      </c>
      <c r="E35" s="6" t="s">
        <v>79</v>
      </c>
      <c r="F35" s="6">
        <f>VLOOKUP(E35,Overview!$F$9:$G$24,2,FALSE)</f>
        <v>15</v>
      </c>
      <c r="G35" s="7"/>
      <c r="H35" s="6">
        <v>1</v>
      </c>
      <c r="I35" s="6">
        <v>1</v>
      </c>
      <c r="J35" s="6">
        <v>20</v>
      </c>
    </row>
    <row r="36" spans="1:10" ht="17.25" thickBot="1" x14ac:dyDescent="0.35">
      <c r="A36" s="6" t="s">
        <v>48</v>
      </c>
      <c r="B36" s="6" t="s">
        <v>80</v>
      </c>
      <c r="C36" s="6">
        <f>VLOOKUP(B36,Overview!$A$16:$B$20,2,FALSE)</f>
        <v>4</v>
      </c>
      <c r="D36" s="6">
        <v>0</v>
      </c>
      <c r="E36" s="6" t="s">
        <v>75</v>
      </c>
      <c r="F36" s="6">
        <f>VLOOKUP(E36,Overview!$F$9:$G$24,2,FALSE)</f>
        <v>1</v>
      </c>
      <c r="G36" s="7"/>
      <c r="H36" s="6">
        <v>2000</v>
      </c>
      <c r="I36" s="6">
        <v>3000</v>
      </c>
      <c r="J36" s="6">
        <v>100</v>
      </c>
    </row>
    <row r="37" spans="1:10" ht="17.25" thickBot="1" x14ac:dyDescent="0.35">
      <c r="A37" s="6" t="s">
        <v>48</v>
      </c>
      <c r="B37" s="6" t="s">
        <v>80</v>
      </c>
      <c r="C37" s="6">
        <f>VLOOKUP(B37,Overview!$A$16:$B$20,2,FALSE)</f>
        <v>4</v>
      </c>
      <c r="D37" s="6">
        <v>0</v>
      </c>
      <c r="E37" s="6" t="s">
        <v>75</v>
      </c>
      <c r="F37" s="6">
        <f>VLOOKUP(E37,Overview!$F$9:$G$24,2,FALSE)</f>
        <v>1</v>
      </c>
      <c r="G37" s="7"/>
      <c r="H37" s="6">
        <v>1000</v>
      </c>
      <c r="I37" s="6">
        <v>1500</v>
      </c>
      <c r="J37" s="6">
        <v>100</v>
      </c>
    </row>
    <row r="38" spans="1:10" ht="17.25" thickBot="1" x14ac:dyDescent="0.35">
      <c r="A38" s="6" t="s">
        <v>48</v>
      </c>
      <c r="B38" s="6" t="s">
        <v>80</v>
      </c>
      <c r="C38" s="6">
        <f>VLOOKUP(B38,Overview!$A$16:$B$20,2,FALSE)</f>
        <v>4</v>
      </c>
      <c r="D38" s="6">
        <v>25</v>
      </c>
      <c r="E38" s="6" t="s">
        <v>75</v>
      </c>
      <c r="F38" s="6">
        <f>VLOOKUP(E38,Overview!$F$9:$G$24,2,FALSE)</f>
        <v>1</v>
      </c>
      <c r="G38" s="7"/>
      <c r="H38" s="6">
        <v>2</v>
      </c>
      <c r="I38" s="6">
        <v>3</v>
      </c>
      <c r="J38" s="6">
        <v>40</v>
      </c>
    </row>
    <row r="39" spans="1:10" ht="17.25" thickBot="1" x14ac:dyDescent="0.35">
      <c r="A39" s="6" t="s">
        <v>48</v>
      </c>
      <c r="B39" s="6" t="s">
        <v>80</v>
      </c>
      <c r="C39" s="6">
        <f>VLOOKUP(B39,Overview!$A$16:$B$20,2,FALSE)</f>
        <v>4</v>
      </c>
      <c r="D39" s="6">
        <v>50</v>
      </c>
      <c r="E39" s="6" t="s">
        <v>75</v>
      </c>
      <c r="F39" s="6">
        <f>VLOOKUP(E39,Overview!$F$9:$G$24,2,FALSE)</f>
        <v>1</v>
      </c>
      <c r="G39" s="7"/>
      <c r="H39" s="6">
        <v>1</v>
      </c>
      <c r="I39" s="6">
        <v>1</v>
      </c>
      <c r="J39" s="6">
        <v>35</v>
      </c>
    </row>
    <row r="40" spans="1:10" ht="17.25" thickBot="1" x14ac:dyDescent="0.35">
      <c r="A40" s="6" t="s">
        <v>48</v>
      </c>
      <c r="B40" s="6" t="s">
        <v>80</v>
      </c>
      <c r="C40" s="6">
        <f>VLOOKUP(B40,Overview!$A$16:$B$20,2,FALSE)</f>
        <v>4</v>
      </c>
      <c r="D40" s="6">
        <v>75</v>
      </c>
      <c r="E40" s="6" t="s">
        <v>78</v>
      </c>
      <c r="F40" s="6">
        <f>VLOOKUP(E40,Overview!$F$9:$G$24,2,FALSE)</f>
        <v>7</v>
      </c>
      <c r="G40" s="6" t="s">
        <v>75</v>
      </c>
      <c r="H40" s="6">
        <v>1</v>
      </c>
      <c r="I40" s="6">
        <v>1</v>
      </c>
      <c r="J40" s="6">
        <v>25</v>
      </c>
    </row>
    <row r="41" spans="1:10" ht="17.25" thickBot="1" x14ac:dyDescent="0.35">
      <c r="A41" s="6" t="s">
        <v>48</v>
      </c>
      <c r="B41" s="6" t="s">
        <v>80</v>
      </c>
      <c r="C41" s="6">
        <f>VLOOKUP(B41,Overview!$A$16:$B$20,2,FALSE)</f>
        <v>4</v>
      </c>
      <c r="D41" s="6">
        <v>90</v>
      </c>
      <c r="E41" s="6" t="s">
        <v>79</v>
      </c>
      <c r="F41" s="6">
        <f>VLOOKUP(E41,Overview!$F$9:$G$24,2,FALSE)</f>
        <v>15</v>
      </c>
      <c r="G41" s="7"/>
      <c r="H41" s="6">
        <v>1</v>
      </c>
      <c r="I41" s="6">
        <v>1</v>
      </c>
      <c r="J41" s="6">
        <v>20</v>
      </c>
    </row>
    <row r="42" spans="1:10" ht="17.25" thickBot="1" x14ac:dyDescent="0.35">
      <c r="A42" s="6" t="s">
        <v>48</v>
      </c>
      <c r="B42" s="6" t="s">
        <v>80</v>
      </c>
      <c r="C42" s="6">
        <f>VLOOKUP(B42,Overview!$A$16:$B$20,2,FALSE)</f>
        <v>4</v>
      </c>
      <c r="D42" s="6">
        <v>100</v>
      </c>
      <c r="E42" s="6" t="s">
        <v>81</v>
      </c>
      <c r="F42" s="6">
        <f>VLOOKUP(E42,Overview!$F$9:$G$24,2,FALSE)</f>
        <v>14</v>
      </c>
      <c r="G42" s="7"/>
      <c r="H42" s="6">
        <v>1</v>
      </c>
      <c r="I42" s="6">
        <v>1</v>
      </c>
      <c r="J42" s="6">
        <v>15</v>
      </c>
    </row>
    <row r="43" spans="1:10" ht="17.25" thickBot="1" x14ac:dyDescent="0.35">
      <c r="A43" s="6" t="s">
        <v>58</v>
      </c>
      <c r="B43" s="6" t="s">
        <v>74</v>
      </c>
      <c r="C43" s="6">
        <f>VLOOKUP(B43,Overview!$A$16:$B$20,2,FALSE)</f>
        <v>0</v>
      </c>
      <c r="D43" s="6">
        <v>0</v>
      </c>
      <c r="E43" s="6" t="s">
        <v>75</v>
      </c>
      <c r="F43" s="6">
        <f>VLOOKUP(E43,Overview!$F$9:$G$24,2,FALSE)</f>
        <v>1</v>
      </c>
      <c r="G43" s="7"/>
      <c r="H43" s="6">
        <v>100</v>
      </c>
      <c r="I43" s="6">
        <v>200</v>
      </c>
      <c r="J43" s="6">
        <v>100</v>
      </c>
    </row>
    <row r="44" spans="1:10" ht="17.25" thickBot="1" x14ac:dyDescent="0.35">
      <c r="A44" s="6" t="s">
        <v>58</v>
      </c>
      <c r="B44" s="6" t="s">
        <v>74</v>
      </c>
      <c r="C44" s="6">
        <f>VLOOKUP(B44,Overview!$A$16:$B$20,2,FALSE)</f>
        <v>0</v>
      </c>
      <c r="D44" s="6">
        <v>0</v>
      </c>
      <c r="E44" s="6" t="s">
        <v>75</v>
      </c>
      <c r="F44" s="6">
        <f>VLOOKUP(E44,Overview!$F$9:$G$24,2,FALSE)</f>
        <v>1</v>
      </c>
      <c r="G44" s="7"/>
      <c r="H44" s="6">
        <v>50</v>
      </c>
      <c r="I44" s="6">
        <v>100</v>
      </c>
      <c r="J44" s="6">
        <v>100</v>
      </c>
    </row>
    <row r="45" spans="1:10" ht="17.25" thickBot="1" x14ac:dyDescent="0.35">
      <c r="A45" s="6" t="s">
        <v>58</v>
      </c>
      <c r="B45" s="6" t="s">
        <v>74</v>
      </c>
      <c r="C45" s="6">
        <f>VLOOKUP(B45,Overview!$A$16:$B$20,2,FALSE)</f>
        <v>0</v>
      </c>
      <c r="D45" s="6">
        <v>25</v>
      </c>
      <c r="E45" s="6" t="s">
        <v>75</v>
      </c>
      <c r="F45" s="6">
        <f>VLOOKUP(E45,Overview!$F$9:$G$24,2,FALSE)</f>
        <v>1</v>
      </c>
      <c r="G45" s="7"/>
      <c r="H45" s="6">
        <v>1</v>
      </c>
      <c r="I45" s="6">
        <v>1</v>
      </c>
      <c r="J45" s="6">
        <v>35</v>
      </c>
    </row>
    <row r="46" spans="1:10" ht="17.25" thickBot="1" x14ac:dyDescent="0.35">
      <c r="A46" s="6" t="s">
        <v>58</v>
      </c>
      <c r="B46" s="6" t="s">
        <v>74</v>
      </c>
      <c r="C46" s="6">
        <f>VLOOKUP(B46,Overview!$A$16:$B$20,2,FALSE)</f>
        <v>0</v>
      </c>
      <c r="D46" s="6">
        <v>50</v>
      </c>
      <c r="E46" s="6" t="s">
        <v>75</v>
      </c>
      <c r="F46" s="6">
        <f>VLOOKUP(E46,Overview!$F$9:$G$24,2,FALSE)</f>
        <v>1</v>
      </c>
      <c r="G46" s="7"/>
      <c r="H46" s="6">
        <v>1</v>
      </c>
      <c r="I46" s="6">
        <v>1</v>
      </c>
      <c r="J46" s="6">
        <v>30</v>
      </c>
    </row>
    <row r="47" spans="1:10" ht="17.25" thickBot="1" x14ac:dyDescent="0.35">
      <c r="A47" s="6" t="s">
        <v>58</v>
      </c>
      <c r="B47" s="6" t="s">
        <v>74</v>
      </c>
      <c r="C47" s="6">
        <f>VLOOKUP(B47,Overview!$A$16:$B$20,2,FALSE)</f>
        <v>0</v>
      </c>
      <c r="D47" s="6">
        <v>100</v>
      </c>
      <c r="E47" s="6" t="s">
        <v>76</v>
      </c>
      <c r="F47" s="6">
        <f>VLOOKUP(E47,Overview!$F$9:$G$24,2,FALSE)</f>
        <v>5</v>
      </c>
      <c r="G47" s="6" t="s">
        <v>75</v>
      </c>
      <c r="H47" s="6">
        <v>1</v>
      </c>
      <c r="I47" s="6">
        <v>1</v>
      </c>
      <c r="J47" s="6">
        <v>20</v>
      </c>
    </row>
    <row r="48" spans="1:10" ht="17.25" thickBot="1" x14ac:dyDescent="0.35">
      <c r="A48" s="6" t="s">
        <v>58</v>
      </c>
      <c r="B48" s="6" t="s">
        <v>77</v>
      </c>
      <c r="C48" s="6">
        <f>VLOOKUP(B48,Overview!$A$16:$B$20,2,FALSE)</f>
        <v>2</v>
      </c>
      <c r="D48" s="6">
        <v>0</v>
      </c>
      <c r="E48" s="6" t="s">
        <v>75</v>
      </c>
      <c r="F48" s="6">
        <f>VLOOKUP(E48,Overview!$F$9:$G$24,2,FALSE)</f>
        <v>1</v>
      </c>
      <c r="G48" s="7"/>
      <c r="H48" s="6">
        <v>500</v>
      </c>
      <c r="I48" s="6">
        <v>800</v>
      </c>
      <c r="J48" s="6">
        <v>100</v>
      </c>
    </row>
    <row r="49" spans="1:10" ht="17.25" thickBot="1" x14ac:dyDescent="0.35">
      <c r="A49" s="6" t="s">
        <v>58</v>
      </c>
      <c r="B49" s="6" t="s">
        <v>77</v>
      </c>
      <c r="C49" s="6">
        <f>VLOOKUP(B49,Overview!$A$16:$B$20,2,FALSE)</f>
        <v>2</v>
      </c>
      <c r="D49" s="6">
        <v>0</v>
      </c>
      <c r="E49" s="6" t="s">
        <v>75</v>
      </c>
      <c r="F49" s="6">
        <f>VLOOKUP(E49,Overview!$F$9:$G$24,2,FALSE)</f>
        <v>1</v>
      </c>
      <c r="G49" s="7"/>
      <c r="H49" s="6">
        <v>200</v>
      </c>
      <c r="I49" s="6">
        <v>400</v>
      </c>
      <c r="J49" s="6">
        <v>100</v>
      </c>
    </row>
    <row r="50" spans="1:10" ht="17.25" thickBot="1" x14ac:dyDescent="0.35">
      <c r="A50" s="6" t="s">
        <v>58</v>
      </c>
      <c r="B50" s="6" t="s">
        <v>77</v>
      </c>
      <c r="C50" s="6">
        <f>VLOOKUP(B50,Overview!$A$16:$B$20,2,FALSE)</f>
        <v>2</v>
      </c>
      <c r="D50" s="6">
        <v>25</v>
      </c>
      <c r="E50" s="6" t="s">
        <v>75</v>
      </c>
      <c r="F50" s="6">
        <f>VLOOKUP(E50,Overview!$F$9:$G$24,2,FALSE)</f>
        <v>1</v>
      </c>
      <c r="G50" s="7"/>
      <c r="H50" s="6">
        <v>1</v>
      </c>
      <c r="I50" s="6">
        <v>2</v>
      </c>
      <c r="J50" s="6">
        <v>40</v>
      </c>
    </row>
    <row r="51" spans="1:10" ht="17.25" thickBot="1" x14ac:dyDescent="0.35">
      <c r="A51" s="6" t="s">
        <v>58</v>
      </c>
      <c r="B51" s="6" t="s">
        <v>77</v>
      </c>
      <c r="C51" s="6">
        <f>VLOOKUP(B51,Overview!$A$16:$B$20,2,FALSE)</f>
        <v>2</v>
      </c>
      <c r="D51" s="6">
        <v>50</v>
      </c>
      <c r="E51" s="6" t="s">
        <v>75</v>
      </c>
      <c r="F51" s="6">
        <f>VLOOKUP(E51,Overview!$F$9:$G$24,2,FALSE)</f>
        <v>1</v>
      </c>
      <c r="G51" s="7"/>
      <c r="H51" s="6">
        <v>1</v>
      </c>
      <c r="I51" s="6">
        <v>1</v>
      </c>
      <c r="J51" s="6">
        <v>35</v>
      </c>
    </row>
    <row r="52" spans="1:10" ht="17.25" thickBot="1" x14ac:dyDescent="0.35">
      <c r="A52" s="6" t="s">
        <v>58</v>
      </c>
      <c r="B52" s="6" t="s">
        <v>77</v>
      </c>
      <c r="C52" s="6">
        <f>VLOOKUP(B52,Overview!$A$16:$B$20,2,FALSE)</f>
        <v>2</v>
      </c>
      <c r="D52" s="6">
        <v>75</v>
      </c>
      <c r="E52" s="6" t="s">
        <v>78</v>
      </c>
      <c r="F52" s="6">
        <f>VLOOKUP(E52,Overview!$F$9:$G$24,2,FALSE)</f>
        <v>7</v>
      </c>
      <c r="G52" s="6" t="s">
        <v>75</v>
      </c>
      <c r="H52" s="6">
        <v>1</v>
      </c>
      <c r="I52" s="6">
        <v>1</v>
      </c>
      <c r="J52" s="6">
        <v>30</v>
      </c>
    </row>
    <row r="53" spans="1:10" ht="17.25" thickBot="1" x14ac:dyDescent="0.35">
      <c r="A53" s="6" t="s">
        <v>58</v>
      </c>
      <c r="B53" s="6" t="s">
        <v>77</v>
      </c>
      <c r="C53" s="6">
        <f>VLOOKUP(B53,Overview!$A$16:$B$20,2,FALSE)</f>
        <v>2</v>
      </c>
      <c r="D53" s="6">
        <v>100</v>
      </c>
      <c r="E53" s="6" t="s">
        <v>79</v>
      </c>
      <c r="F53" s="6">
        <f>VLOOKUP(E53,Overview!$F$9:$G$24,2,FALSE)</f>
        <v>15</v>
      </c>
      <c r="G53" s="7"/>
      <c r="H53" s="6">
        <v>1</v>
      </c>
      <c r="I53" s="6">
        <v>1</v>
      </c>
      <c r="J53" s="6">
        <v>20</v>
      </c>
    </row>
    <row r="54" spans="1:10" ht="17.25" thickBot="1" x14ac:dyDescent="0.35">
      <c r="A54" s="6" t="s">
        <v>58</v>
      </c>
      <c r="B54" s="6" t="s">
        <v>80</v>
      </c>
      <c r="C54" s="6">
        <f>VLOOKUP(B54,Overview!$A$16:$B$20,2,FALSE)</f>
        <v>4</v>
      </c>
      <c r="D54" s="6">
        <v>0</v>
      </c>
      <c r="E54" s="6" t="s">
        <v>75</v>
      </c>
      <c r="F54" s="6">
        <f>VLOOKUP(E54,Overview!$F$9:$G$24,2,FALSE)</f>
        <v>1</v>
      </c>
      <c r="G54" s="7"/>
      <c r="H54" s="6">
        <v>2000</v>
      </c>
      <c r="I54" s="6">
        <v>3000</v>
      </c>
      <c r="J54" s="6">
        <v>100</v>
      </c>
    </row>
    <row r="55" spans="1:10" ht="17.25" thickBot="1" x14ac:dyDescent="0.35">
      <c r="A55" s="6" t="s">
        <v>58</v>
      </c>
      <c r="B55" s="6" t="s">
        <v>80</v>
      </c>
      <c r="C55" s="6">
        <f>VLOOKUP(B55,Overview!$A$16:$B$20,2,FALSE)</f>
        <v>4</v>
      </c>
      <c r="D55" s="6">
        <v>0</v>
      </c>
      <c r="E55" s="6" t="s">
        <v>75</v>
      </c>
      <c r="F55" s="6">
        <f>VLOOKUP(E55,Overview!$F$9:$G$24,2,FALSE)</f>
        <v>1</v>
      </c>
      <c r="G55" s="7"/>
      <c r="H55" s="6">
        <v>1000</v>
      </c>
      <c r="I55" s="6">
        <v>1500</v>
      </c>
      <c r="J55" s="6">
        <v>100</v>
      </c>
    </row>
    <row r="56" spans="1:10" ht="17.25" thickBot="1" x14ac:dyDescent="0.35">
      <c r="A56" s="6" t="s">
        <v>58</v>
      </c>
      <c r="B56" s="6" t="s">
        <v>80</v>
      </c>
      <c r="C56" s="6">
        <f>VLOOKUP(B56,Overview!$A$16:$B$20,2,FALSE)</f>
        <v>4</v>
      </c>
      <c r="D56" s="6">
        <v>25</v>
      </c>
      <c r="E56" s="6" t="s">
        <v>75</v>
      </c>
      <c r="F56" s="6">
        <f>VLOOKUP(E56,Overview!$F$9:$G$24,2,FALSE)</f>
        <v>1</v>
      </c>
      <c r="G56" s="7"/>
      <c r="H56" s="6">
        <v>2</v>
      </c>
      <c r="I56" s="6">
        <v>3</v>
      </c>
      <c r="J56" s="6">
        <v>40</v>
      </c>
    </row>
    <row r="57" spans="1:10" ht="17.25" thickBot="1" x14ac:dyDescent="0.35">
      <c r="A57" s="6" t="s">
        <v>58</v>
      </c>
      <c r="B57" s="6" t="s">
        <v>80</v>
      </c>
      <c r="C57" s="6">
        <f>VLOOKUP(B57,Overview!$A$16:$B$20,2,FALSE)</f>
        <v>4</v>
      </c>
      <c r="D57" s="6">
        <v>50</v>
      </c>
      <c r="E57" s="6" t="s">
        <v>75</v>
      </c>
      <c r="F57" s="6">
        <f>VLOOKUP(E57,Overview!$F$9:$G$24,2,FALSE)</f>
        <v>1</v>
      </c>
      <c r="G57" s="7"/>
      <c r="H57" s="6">
        <v>1</v>
      </c>
      <c r="I57" s="6">
        <v>1</v>
      </c>
      <c r="J57" s="6">
        <v>35</v>
      </c>
    </row>
    <row r="58" spans="1:10" ht="17.25" thickBot="1" x14ac:dyDescent="0.35">
      <c r="A58" s="6" t="s">
        <v>58</v>
      </c>
      <c r="B58" s="6" t="s">
        <v>80</v>
      </c>
      <c r="C58" s="6">
        <f>VLOOKUP(B58,Overview!$A$16:$B$20,2,FALSE)</f>
        <v>4</v>
      </c>
      <c r="D58" s="6">
        <v>75</v>
      </c>
      <c r="E58" s="6" t="s">
        <v>78</v>
      </c>
      <c r="F58" s="6">
        <f>VLOOKUP(E58,Overview!$F$9:$G$24,2,FALSE)</f>
        <v>7</v>
      </c>
      <c r="G58" s="6" t="s">
        <v>75</v>
      </c>
      <c r="H58" s="6">
        <v>1</v>
      </c>
      <c r="I58" s="6">
        <v>1</v>
      </c>
      <c r="J58" s="6">
        <v>25</v>
      </c>
    </row>
    <row r="59" spans="1:10" ht="17.25" thickBot="1" x14ac:dyDescent="0.35">
      <c r="A59" s="6" t="s">
        <v>58</v>
      </c>
      <c r="B59" s="6" t="s">
        <v>80</v>
      </c>
      <c r="C59" s="6">
        <f>VLOOKUP(B59,Overview!$A$16:$B$20,2,FALSE)</f>
        <v>4</v>
      </c>
      <c r="D59" s="6">
        <v>90</v>
      </c>
      <c r="E59" s="6" t="s">
        <v>79</v>
      </c>
      <c r="F59" s="6">
        <f>VLOOKUP(E59,Overview!$F$9:$G$24,2,FALSE)</f>
        <v>15</v>
      </c>
      <c r="G59" s="7"/>
      <c r="H59" s="6">
        <v>1</v>
      </c>
      <c r="I59" s="6">
        <v>1</v>
      </c>
      <c r="J59" s="6">
        <v>20</v>
      </c>
    </row>
    <row r="60" spans="1:10" ht="17.25" thickBot="1" x14ac:dyDescent="0.35">
      <c r="A60" s="6" t="s">
        <v>58</v>
      </c>
      <c r="B60" s="6" t="s">
        <v>80</v>
      </c>
      <c r="C60" s="6">
        <f>VLOOKUP(B60,Overview!$A$16:$B$20,2,FALSE)</f>
        <v>4</v>
      </c>
      <c r="D60" s="6">
        <v>100</v>
      </c>
      <c r="E60" s="6" t="s">
        <v>81</v>
      </c>
      <c r="F60" s="6">
        <f>VLOOKUP(E60,Overview!$F$9:$G$24,2,FALSE)</f>
        <v>14</v>
      </c>
      <c r="G60" s="7"/>
      <c r="H60" s="6">
        <v>1</v>
      </c>
      <c r="I60" s="6">
        <v>1</v>
      </c>
      <c r="J60" s="6">
        <v>15</v>
      </c>
    </row>
    <row r="61" spans="1:10" ht="17.25" thickBot="1" x14ac:dyDescent="0.35">
      <c r="A61" s="6" t="s">
        <v>53</v>
      </c>
      <c r="B61" s="6" t="s">
        <v>74</v>
      </c>
      <c r="C61" s="6">
        <f>VLOOKUP(B61,Overview!$A$16:$B$20,2,FALSE)</f>
        <v>0</v>
      </c>
      <c r="D61" s="6">
        <v>0</v>
      </c>
      <c r="E61" s="6" t="s">
        <v>75</v>
      </c>
      <c r="F61" s="6">
        <f>VLOOKUP(E61,Overview!$F$9:$G$24,2,FALSE)</f>
        <v>1</v>
      </c>
      <c r="G61" s="7"/>
      <c r="H61" s="6">
        <v>100</v>
      </c>
      <c r="I61" s="6">
        <v>200</v>
      </c>
      <c r="J61" s="6">
        <v>100</v>
      </c>
    </row>
    <row r="62" spans="1:10" ht="17.25" thickBot="1" x14ac:dyDescent="0.35">
      <c r="A62" s="6" t="s">
        <v>53</v>
      </c>
      <c r="B62" s="6" t="s">
        <v>74</v>
      </c>
      <c r="C62" s="6">
        <f>VLOOKUP(B62,Overview!$A$16:$B$20,2,FALSE)</f>
        <v>0</v>
      </c>
      <c r="D62" s="6">
        <v>0</v>
      </c>
      <c r="E62" s="6" t="s">
        <v>75</v>
      </c>
      <c r="F62" s="6">
        <f>VLOOKUP(E62,Overview!$F$9:$G$24,2,FALSE)</f>
        <v>1</v>
      </c>
      <c r="G62" s="7"/>
      <c r="H62" s="6">
        <v>50</v>
      </c>
      <c r="I62" s="6">
        <v>100</v>
      </c>
      <c r="J62" s="6">
        <v>100</v>
      </c>
    </row>
    <row r="63" spans="1:10" ht="17.25" thickBot="1" x14ac:dyDescent="0.35">
      <c r="A63" s="6" t="s">
        <v>53</v>
      </c>
      <c r="B63" s="6" t="s">
        <v>74</v>
      </c>
      <c r="C63" s="6">
        <f>VLOOKUP(B63,Overview!$A$16:$B$20,2,FALSE)</f>
        <v>0</v>
      </c>
      <c r="D63" s="6">
        <v>25</v>
      </c>
      <c r="E63" s="6" t="s">
        <v>75</v>
      </c>
      <c r="F63" s="6">
        <f>VLOOKUP(E63,Overview!$F$9:$G$24,2,FALSE)</f>
        <v>1</v>
      </c>
      <c r="G63" s="7"/>
      <c r="H63" s="6">
        <v>1</v>
      </c>
      <c r="I63" s="6">
        <v>1</v>
      </c>
      <c r="J63" s="6">
        <v>35</v>
      </c>
    </row>
    <row r="64" spans="1:10" ht="17.25" thickBot="1" x14ac:dyDescent="0.35">
      <c r="A64" s="6" t="s">
        <v>53</v>
      </c>
      <c r="B64" s="6" t="s">
        <v>74</v>
      </c>
      <c r="C64" s="6">
        <f>VLOOKUP(B64,Overview!$A$16:$B$20,2,FALSE)</f>
        <v>0</v>
      </c>
      <c r="D64" s="6">
        <v>50</v>
      </c>
      <c r="E64" s="6" t="s">
        <v>75</v>
      </c>
      <c r="F64" s="6">
        <f>VLOOKUP(E64,Overview!$F$9:$G$24,2,FALSE)</f>
        <v>1</v>
      </c>
      <c r="G64" s="7"/>
      <c r="H64" s="6">
        <v>1</v>
      </c>
      <c r="I64" s="6">
        <v>1</v>
      </c>
      <c r="J64" s="6">
        <v>30</v>
      </c>
    </row>
    <row r="65" spans="1:10" ht="17.25" thickBot="1" x14ac:dyDescent="0.35">
      <c r="A65" s="6" t="s">
        <v>53</v>
      </c>
      <c r="B65" s="6" t="s">
        <v>74</v>
      </c>
      <c r="C65" s="6">
        <f>VLOOKUP(B65,Overview!$A$16:$B$20,2,FALSE)</f>
        <v>0</v>
      </c>
      <c r="D65" s="6">
        <v>100</v>
      </c>
      <c r="E65" s="6" t="s">
        <v>76</v>
      </c>
      <c r="F65" s="6">
        <f>VLOOKUP(E65,Overview!$F$9:$G$24,2,FALSE)</f>
        <v>5</v>
      </c>
      <c r="G65" s="6" t="s">
        <v>75</v>
      </c>
      <c r="H65" s="6">
        <v>1</v>
      </c>
      <c r="I65" s="6">
        <v>1</v>
      </c>
      <c r="J65" s="6">
        <v>20</v>
      </c>
    </row>
    <row r="66" spans="1:10" ht="17.25" thickBot="1" x14ac:dyDescent="0.35">
      <c r="A66" s="6" t="s">
        <v>53</v>
      </c>
      <c r="B66" s="6" t="s">
        <v>77</v>
      </c>
      <c r="C66" s="6">
        <f>VLOOKUP(B66,Overview!$A$16:$B$20,2,FALSE)</f>
        <v>2</v>
      </c>
      <c r="D66" s="6">
        <v>0</v>
      </c>
      <c r="E66" s="6" t="s">
        <v>75</v>
      </c>
      <c r="F66" s="6">
        <f>VLOOKUP(E66,Overview!$F$9:$G$24,2,FALSE)</f>
        <v>1</v>
      </c>
      <c r="G66" s="7"/>
      <c r="H66" s="6">
        <v>500</v>
      </c>
      <c r="I66" s="6">
        <v>800</v>
      </c>
      <c r="J66" s="6">
        <v>100</v>
      </c>
    </row>
    <row r="67" spans="1:10" ht="17.25" thickBot="1" x14ac:dyDescent="0.35">
      <c r="A67" s="6" t="s">
        <v>53</v>
      </c>
      <c r="B67" s="6" t="s">
        <v>77</v>
      </c>
      <c r="C67" s="6">
        <f>VLOOKUP(B67,Overview!$A$16:$B$20,2,FALSE)</f>
        <v>2</v>
      </c>
      <c r="D67" s="6">
        <v>0</v>
      </c>
      <c r="E67" s="6" t="s">
        <v>75</v>
      </c>
      <c r="F67" s="6">
        <f>VLOOKUP(E67,Overview!$F$9:$G$24,2,FALSE)</f>
        <v>1</v>
      </c>
      <c r="G67" s="7"/>
      <c r="H67" s="6">
        <v>200</v>
      </c>
      <c r="I67" s="6">
        <v>400</v>
      </c>
      <c r="J67" s="6">
        <v>100</v>
      </c>
    </row>
    <row r="68" spans="1:10" ht="17.25" thickBot="1" x14ac:dyDescent="0.35">
      <c r="A68" s="6" t="s">
        <v>53</v>
      </c>
      <c r="B68" s="6" t="s">
        <v>77</v>
      </c>
      <c r="C68" s="6">
        <f>VLOOKUP(B68,Overview!$A$16:$B$20,2,FALSE)</f>
        <v>2</v>
      </c>
      <c r="D68" s="6">
        <v>25</v>
      </c>
      <c r="E68" s="6" t="s">
        <v>75</v>
      </c>
      <c r="F68" s="6">
        <f>VLOOKUP(E68,Overview!$F$9:$G$24,2,FALSE)</f>
        <v>1</v>
      </c>
      <c r="G68" s="7"/>
      <c r="H68" s="6">
        <v>1</v>
      </c>
      <c r="I68" s="6">
        <v>2</v>
      </c>
      <c r="J68" s="6">
        <v>40</v>
      </c>
    </row>
    <row r="69" spans="1:10" ht="17.25" thickBot="1" x14ac:dyDescent="0.35">
      <c r="A69" s="6" t="s">
        <v>53</v>
      </c>
      <c r="B69" s="6" t="s">
        <v>77</v>
      </c>
      <c r="C69" s="6">
        <f>VLOOKUP(B69,Overview!$A$16:$B$20,2,FALSE)</f>
        <v>2</v>
      </c>
      <c r="D69" s="6">
        <v>50</v>
      </c>
      <c r="E69" s="6" t="s">
        <v>75</v>
      </c>
      <c r="F69" s="6">
        <f>VLOOKUP(E69,Overview!$F$9:$G$24,2,FALSE)</f>
        <v>1</v>
      </c>
      <c r="G69" s="7"/>
      <c r="H69" s="6">
        <v>1</v>
      </c>
      <c r="I69" s="6">
        <v>1</v>
      </c>
      <c r="J69" s="6">
        <v>35</v>
      </c>
    </row>
    <row r="70" spans="1:10" ht="17.25" thickBot="1" x14ac:dyDescent="0.35">
      <c r="A70" s="6" t="s">
        <v>53</v>
      </c>
      <c r="B70" s="6" t="s">
        <v>77</v>
      </c>
      <c r="C70" s="6">
        <f>VLOOKUP(B70,Overview!$A$16:$B$20,2,FALSE)</f>
        <v>2</v>
      </c>
      <c r="D70" s="6">
        <v>75</v>
      </c>
      <c r="E70" s="6" t="s">
        <v>78</v>
      </c>
      <c r="F70" s="6">
        <f>VLOOKUP(E70,Overview!$F$9:$G$24,2,FALSE)</f>
        <v>7</v>
      </c>
      <c r="G70" s="6" t="s">
        <v>75</v>
      </c>
      <c r="H70" s="6">
        <v>1</v>
      </c>
      <c r="I70" s="6">
        <v>1</v>
      </c>
      <c r="J70" s="6">
        <v>30</v>
      </c>
    </row>
    <row r="71" spans="1:10" ht="17.25" thickBot="1" x14ac:dyDescent="0.35">
      <c r="A71" s="6" t="s">
        <v>53</v>
      </c>
      <c r="B71" s="6" t="s">
        <v>77</v>
      </c>
      <c r="C71" s="6">
        <f>VLOOKUP(B71,Overview!$A$16:$B$20,2,FALSE)</f>
        <v>2</v>
      </c>
      <c r="D71" s="6">
        <v>100</v>
      </c>
      <c r="E71" s="6" t="s">
        <v>79</v>
      </c>
      <c r="F71" s="6">
        <f>VLOOKUP(E71,Overview!$F$9:$G$24,2,FALSE)</f>
        <v>15</v>
      </c>
      <c r="G71" s="7"/>
      <c r="H71" s="6">
        <v>1</v>
      </c>
      <c r="I71" s="6">
        <v>1</v>
      </c>
      <c r="J71" s="6">
        <v>20</v>
      </c>
    </row>
    <row r="72" spans="1:10" ht="17.25" thickBot="1" x14ac:dyDescent="0.35">
      <c r="A72" s="6" t="s">
        <v>53</v>
      </c>
      <c r="B72" s="6" t="s">
        <v>80</v>
      </c>
      <c r="C72" s="6">
        <f>VLOOKUP(B72,Overview!$A$16:$B$20,2,FALSE)</f>
        <v>4</v>
      </c>
      <c r="D72" s="6">
        <v>0</v>
      </c>
      <c r="E72" s="6" t="s">
        <v>75</v>
      </c>
      <c r="F72" s="6">
        <f>VLOOKUP(E72,Overview!$F$9:$G$24,2,FALSE)</f>
        <v>1</v>
      </c>
      <c r="G72" s="7"/>
      <c r="H72" s="6">
        <v>2000</v>
      </c>
      <c r="I72" s="6">
        <v>3000</v>
      </c>
      <c r="J72" s="6">
        <v>100</v>
      </c>
    </row>
    <row r="73" spans="1:10" ht="17.25" thickBot="1" x14ac:dyDescent="0.35">
      <c r="A73" s="6" t="s">
        <v>53</v>
      </c>
      <c r="B73" s="6" t="s">
        <v>80</v>
      </c>
      <c r="C73" s="6">
        <f>VLOOKUP(B73,Overview!$A$16:$B$20,2,FALSE)</f>
        <v>4</v>
      </c>
      <c r="D73" s="6">
        <v>0</v>
      </c>
      <c r="E73" s="6" t="s">
        <v>75</v>
      </c>
      <c r="F73" s="6">
        <f>VLOOKUP(E73,Overview!$F$9:$G$24,2,FALSE)</f>
        <v>1</v>
      </c>
      <c r="G73" s="7"/>
      <c r="H73" s="6">
        <v>1000</v>
      </c>
      <c r="I73" s="6">
        <v>1500</v>
      </c>
      <c r="J73" s="6">
        <v>100</v>
      </c>
    </row>
    <row r="74" spans="1:10" ht="17.25" thickBot="1" x14ac:dyDescent="0.35">
      <c r="A74" s="6" t="s">
        <v>53</v>
      </c>
      <c r="B74" s="6" t="s">
        <v>80</v>
      </c>
      <c r="C74" s="6">
        <f>VLOOKUP(B74,Overview!$A$16:$B$20,2,FALSE)</f>
        <v>4</v>
      </c>
      <c r="D74" s="6">
        <v>25</v>
      </c>
      <c r="E74" s="6" t="s">
        <v>75</v>
      </c>
      <c r="F74" s="6">
        <f>VLOOKUP(E74,Overview!$F$9:$G$24,2,FALSE)</f>
        <v>1</v>
      </c>
      <c r="G74" s="7"/>
      <c r="H74" s="6">
        <v>2</v>
      </c>
      <c r="I74" s="6">
        <v>3</v>
      </c>
      <c r="J74" s="6">
        <v>40</v>
      </c>
    </row>
    <row r="75" spans="1:10" ht="17.25" thickBot="1" x14ac:dyDescent="0.35">
      <c r="A75" s="6" t="s">
        <v>53</v>
      </c>
      <c r="B75" s="6" t="s">
        <v>80</v>
      </c>
      <c r="C75" s="6">
        <f>VLOOKUP(B75,Overview!$A$16:$B$20,2,FALSE)</f>
        <v>4</v>
      </c>
      <c r="D75" s="6">
        <v>50</v>
      </c>
      <c r="E75" s="6" t="s">
        <v>75</v>
      </c>
      <c r="F75" s="6">
        <f>VLOOKUP(E75,Overview!$F$9:$G$24,2,FALSE)</f>
        <v>1</v>
      </c>
      <c r="G75" s="7"/>
      <c r="H75" s="6">
        <v>1</v>
      </c>
      <c r="I75" s="6">
        <v>1</v>
      </c>
      <c r="J75" s="6">
        <v>35</v>
      </c>
    </row>
    <row r="76" spans="1:10" ht="17.25" thickBot="1" x14ac:dyDescent="0.35">
      <c r="A76" s="6" t="s">
        <v>53</v>
      </c>
      <c r="B76" s="6" t="s">
        <v>80</v>
      </c>
      <c r="C76" s="6">
        <f>VLOOKUP(B76,Overview!$A$16:$B$20,2,FALSE)</f>
        <v>4</v>
      </c>
      <c r="D76" s="6">
        <v>75</v>
      </c>
      <c r="E76" s="6" t="s">
        <v>78</v>
      </c>
      <c r="F76" s="6">
        <f>VLOOKUP(E76,Overview!$F$9:$G$24,2,FALSE)</f>
        <v>7</v>
      </c>
      <c r="G76" s="6" t="s">
        <v>75</v>
      </c>
      <c r="H76" s="6">
        <v>1</v>
      </c>
      <c r="I76" s="6">
        <v>1</v>
      </c>
      <c r="J76" s="6">
        <v>25</v>
      </c>
    </row>
    <row r="77" spans="1:10" ht="17.25" thickBot="1" x14ac:dyDescent="0.35">
      <c r="A77" s="6" t="s">
        <v>53</v>
      </c>
      <c r="B77" s="6" t="s">
        <v>80</v>
      </c>
      <c r="C77" s="6">
        <f>VLOOKUP(B77,Overview!$A$16:$B$20,2,FALSE)</f>
        <v>4</v>
      </c>
      <c r="D77" s="6">
        <v>90</v>
      </c>
      <c r="E77" s="6" t="s">
        <v>79</v>
      </c>
      <c r="F77" s="6">
        <f>VLOOKUP(E77,Overview!$F$9:$G$24,2,FALSE)</f>
        <v>15</v>
      </c>
      <c r="G77" s="7"/>
      <c r="H77" s="6">
        <v>1</v>
      </c>
      <c r="I77" s="6">
        <v>1</v>
      </c>
      <c r="J77" s="6">
        <v>20</v>
      </c>
    </row>
    <row r="78" spans="1:10" ht="17.25" thickBot="1" x14ac:dyDescent="0.35">
      <c r="A78" s="6" t="s">
        <v>53</v>
      </c>
      <c r="B78" s="6" t="s">
        <v>80</v>
      </c>
      <c r="C78" s="6">
        <f>VLOOKUP(B78,Overview!$A$16:$B$20,2,FALSE)</f>
        <v>4</v>
      </c>
      <c r="D78" s="6">
        <v>100</v>
      </c>
      <c r="E78" s="6" t="s">
        <v>81</v>
      </c>
      <c r="F78" s="6">
        <f>VLOOKUP(E78,Overview!$F$9:$G$24,2,FALSE)</f>
        <v>14</v>
      </c>
      <c r="G78" s="7"/>
      <c r="H78" s="6">
        <v>1</v>
      </c>
      <c r="I78" s="6">
        <v>1</v>
      </c>
      <c r="J78" s="6">
        <v>15</v>
      </c>
    </row>
    <row r="79" spans="1:10" ht="17.25" thickBot="1" x14ac:dyDescent="0.35">
      <c r="A79" s="6" t="s">
        <v>63</v>
      </c>
      <c r="B79" s="6" t="s">
        <v>74</v>
      </c>
      <c r="C79" s="6">
        <f>VLOOKUP(B79,Overview!$A$16:$B$20,2,FALSE)</f>
        <v>0</v>
      </c>
      <c r="D79" s="6">
        <v>0</v>
      </c>
      <c r="E79" s="6" t="s">
        <v>75</v>
      </c>
      <c r="F79" s="6">
        <f>VLOOKUP(E79,Overview!$F$9:$G$24,2,FALSE)</f>
        <v>1</v>
      </c>
      <c r="G79" s="7"/>
      <c r="H79" s="6">
        <v>100</v>
      </c>
      <c r="I79" s="6">
        <v>200</v>
      </c>
      <c r="J79" s="6">
        <v>100</v>
      </c>
    </row>
    <row r="80" spans="1:10" ht="17.25" thickBot="1" x14ac:dyDescent="0.35">
      <c r="A80" s="6" t="s">
        <v>63</v>
      </c>
      <c r="B80" s="6" t="s">
        <v>74</v>
      </c>
      <c r="C80" s="6">
        <f>VLOOKUP(B80,Overview!$A$16:$B$20,2,FALSE)</f>
        <v>0</v>
      </c>
      <c r="D80" s="6">
        <v>0</v>
      </c>
      <c r="E80" s="6" t="s">
        <v>75</v>
      </c>
      <c r="F80" s="6">
        <f>VLOOKUP(E80,Overview!$F$9:$G$24,2,FALSE)</f>
        <v>1</v>
      </c>
      <c r="G80" s="7"/>
      <c r="H80" s="6">
        <v>50</v>
      </c>
      <c r="I80" s="6">
        <v>100</v>
      </c>
      <c r="J80" s="6">
        <v>100</v>
      </c>
    </row>
    <row r="81" spans="1:10" ht="17.25" thickBot="1" x14ac:dyDescent="0.35">
      <c r="A81" s="6" t="s">
        <v>63</v>
      </c>
      <c r="B81" s="6" t="s">
        <v>74</v>
      </c>
      <c r="C81" s="6">
        <f>VLOOKUP(B81,Overview!$A$16:$B$20,2,FALSE)</f>
        <v>0</v>
      </c>
      <c r="D81" s="6">
        <v>25</v>
      </c>
      <c r="E81" s="6" t="s">
        <v>75</v>
      </c>
      <c r="F81" s="6">
        <f>VLOOKUP(E81,Overview!$F$9:$G$24,2,FALSE)</f>
        <v>1</v>
      </c>
      <c r="G81" s="7"/>
      <c r="H81" s="6">
        <v>1</v>
      </c>
      <c r="I81" s="6">
        <v>1</v>
      </c>
      <c r="J81" s="6">
        <v>35</v>
      </c>
    </row>
    <row r="82" spans="1:10" ht="17.25" thickBot="1" x14ac:dyDescent="0.35">
      <c r="A82" s="6" t="s">
        <v>63</v>
      </c>
      <c r="B82" s="6" t="s">
        <v>74</v>
      </c>
      <c r="C82" s="6">
        <f>VLOOKUP(B82,Overview!$A$16:$B$20,2,FALSE)</f>
        <v>0</v>
      </c>
      <c r="D82" s="6">
        <v>50</v>
      </c>
      <c r="E82" s="6" t="s">
        <v>75</v>
      </c>
      <c r="F82" s="6">
        <f>VLOOKUP(E82,Overview!$F$9:$G$24,2,FALSE)</f>
        <v>1</v>
      </c>
      <c r="G82" s="7"/>
      <c r="H82" s="6">
        <v>1</v>
      </c>
      <c r="I82" s="6">
        <v>1</v>
      </c>
      <c r="J82" s="6">
        <v>30</v>
      </c>
    </row>
    <row r="83" spans="1:10" ht="17.25" thickBot="1" x14ac:dyDescent="0.35">
      <c r="A83" s="6" t="s">
        <v>63</v>
      </c>
      <c r="B83" s="6" t="s">
        <v>74</v>
      </c>
      <c r="C83" s="6">
        <f>VLOOKUP(B83,Overview!$A$16:$B$20,2,FALSE)</f>
        <v>0</v>
      </c>
      <c r="D83" s="6">
        <v>100</v>
      </c>
      <c r="E83" s="6" t="s">
        <v>76</v>
      </c>
      <c r="F83" s="6">
        <f>VLOOKUP(E83,Overview!$F$9:$G$24,2,FALSE)</f>
        <v>5</v>
      </c>
      <c r="G83" s="6" t="s">
        <v>75</v>
      </c>
      <c r="H83" s="6">
        <v>1</v>
      </c>
      <c r="I83" s="6">
        <v>1</v>
      </c>
      <c r="J83" s="6">
        <v>20</v>
      </c>
    </row>
    <row r="84" spans="1:10" ht="17.25" thickBot="1" x14ac:dyDescent="0.35">
      <c r="A84" s="6" t="s">
        <v>63</v>
      </c>
      <c r="B84" s="6" t="s">
        <v>77</v>
      </c>
      <c r="C84" s="6">
        <f>VLOOKUP(B84,Overview!$A$16:$B$20,2,FALSE)</f>
        <v>2</v>
      </c>
      <c r="D84" s="6">
        <v>0</v>
      </c>
      <c r="E84" s="6" t="s">
        <v>75</v>
      </c>
      <c r="F84" s="6">
        <f>VLOOKUP(E84,Overview!$F$9:$G$24,2,FALSE)</f>
        <v>1</v>
      </c>
      <c r="G84" s="7"/>
      <c r="H84" s="6">
        <v>500</v>
      </c>
      <c r="I84" s="6">
        <v>800</v>
      </c>
      <c r="J84" s="6">
        <v>100</v>
      </c>
    </row>
    <row r="85" spans="1:10" ht="17.25" thickBot="1" x14ac:dyDescent="0.35">
      <c r="A85" s="6" t="s">
        <v>63</v>
      </c>
      <c r="B85" s="6" t="s">
        <v>77</v>
      </c>
      <c r="C85" s="6">
        <f>VLOOKUP(B85,Overview!$A$16:$B$20,2,FALSE)</f>
        <v>2</v>
      </c>
      <c r="D85" s="6">
        <v>0</v>
      </c>
      <c r="E85" s="6" t="s">
        <v>75</v>
      </c>
      <c r="F85" s="6">
        <f>VLOOKUP(E85,Overview!$F$9:$G$24,2,FALSE)</f>
        <v>1</v>
      </c>
      <c r="G85" s="7"/>
      <c r="H85" s="6">
        <v>200</v>
      </c>
      <c r="I85" s="6">
        <v>400</v>
      </c>
      <c r="J85" s="6">
        <v>100</v>
      </c>
    </row>
    <row r="86" spans="1:10" ht="17.25" thickBot="1" x14ac:dyDescent="0.35">
      <c r="A86" s="6" t="s">
        <v>63</v>
      </c>
      <c r="B86" s="6" t="s">
        <v>77</v>
      </c>
      <c r="C86" s="6">
        <f>VLOOKUP(B86,Overview!$A$16:$B$20,2,FALSE)</f>
        <v>2</v>
      </c>
      <c r="D86" s="6">
        <v>25</v>
      </c>
      <c r="E86" s="6" t="s">
        <v>75</v>
      </c>
      <c r="F86" s="6">
        <f>VLOOKUP(E86,Overview!$F$9:$G$24,2,FALSE)</f>
        <v>1</v>
      </c>
      <c r="G86" s="7"/>
      <c r="H86" s="6">
        <v>1</v>
      </c>
      <c r="I86" s="6">
        <v>2</v>
      </c>
      <c r="J86" s="6">
        <v>40</v>
      </c>
    </row>
    <row r="87" spans="1:10" ht="17.25" thickBot="1" x14ac:dyDescent="0.35">
      <c r="A87" s="6" t="s">
        <v>63</v>
      </c>
      <c r="B87" s="6" t="s">
        <v>77</v>
      </c>
      <c r="C87" s="6">
        <f>VLOOKUP(B87,Overview!$A$16:$B$20,2,FALSE)</f>
        <v>2</v>
      </c>
      <c r="D87" s="6">
        <v>50</v>
      </c>
      <c r="E87" s="6" t="s">
        <v>75</v>
      </c>
      <c r="F87" s="6">
        <f>VLOOKUP(E87,Overview!$F$9:$G$24,2,FALSE)</f>
        <v>1</v>
      </c>
      <c r="G87" s="7"/>
      <c r="H87" s="6">
        <v>1</v>
      </c>
      <c r="I87" s="6">
        <v>1</v>
      </c>
      <c r="J87" s="6">
        <v>35</v>
      </c>
    </row>
    <row r="88" spans="1:10" ht="17.25" thickBot="1" x14ac:dyDescent="0.35">
      <c r="A88" s="6" t="s">
        <v>63</v>
      </c>
      <c r="B88" s="6" t="s">
        <v>77</v>
      </c>
      <c r="C88" s="6">
        <f>VLOOKUP(B88,Overview!$A$16:$B$20,2,FALSE)</f>
        <v>2</v>
      </c>
      <c r="D88" s="6">
        <v>75</v>
      </c>
      <c r="E88" s="6" t="s">
        <v>78</v>
      </c>
      <c r="F88" s="6">
        <f>VLOOKUP(E88,Overview!$F$9:$G$24,2,FALSE)</f>
        <v>7</v>
      </c>
      <c r="G88" s="6" t="s">
        <v>75</v>
      </c>
      <c r="H88" s="6">
        <v>1</v>
      </c>
      <c r="I88" s="6">
        <v>1</v>
      </c>
      <c r="J88" s="6">
        <v>30</v>
      </c>
    </row>
    <row r="89" spans="1:10" ht="17.25" thickBot="1" x14ac:dyDescent="0.35">
      <c r="A89" s="6" t="s">
        <v>63</v>
      </c>
      <c r="B89" s="6" t="s">
        <v>77</v>
      </c>
      <c r="C89" s="6">
        <f>VLOOKUP(B89,Overview!$A$16:$B$20,2,FALSE)</f>
        <v>2</v>
      </c>
      <c r="D89" s="6">
        <v>100</v>
      </c>
      <c r="E89" s="6" t="s">
        <v>79</v>
      </c>
      <c r="F89" s="6">
        <f>VLOOKUP(E89,Overview!$F$9:$G$24,2,FALSE)</f>
        <v>15</v>
      </c>
      <c r="G89" s="7"/>
      <c r="H89" s="6">
        <v>1</v>
      </c>
      <c r="I89" s="6">
        <v>1</v>
      </c>
      <c r="J89" s="6">
        <v>20</v>
      </c>
    </row>
    <row r="90" spans="1:10" ht="17.25" thickBot="1" x14ac:dyDescent="0.35">
      <c r="A90" s="6" t="s">
        <v>63</v>
      </c>
      <c r="B90" s="6" t="s">
        <v>80</v>
      </c>
      <c r="C90" s="6">
        <f>VLOOKUP(B90,Overview!$A$16:$B$20,2,FALSE)</f>
        <v>4</v>
      </c>
      <c r="D90" s="6">
        <v>0</v>
      </c>
      <c r="E90" s="6" t="s">
        <v>75</v>
      </c>
      <c r="F90" s="6">
        <f>VLOOKUP(E90,Overview!$F$9:$G$24,2,FALSE)</f>
        <v>1</v>
      </c>
      <c r="G90" s="7"/>
      <c r="H90" s="6">
        <v>2000</v>
      </c>
      <c r="I90" s="6">
        <v>3000</v>
      </c>
      <c r="J90" s="6">
        <v>100</v>
      </c>
    </row>
    <row r="91" spans="1:10" ht="17.25" thickBot="1" x14ac:dyDescent="0.35">
      <c r="A91" s="6" t="s">
        <v>63</v>
      </c>
      <c r="B91" s="6" t="s">
        <v>80</v>
      </c>
      <c r="C91" s="6">
        <f>VLOOKUP(B91,Overview!$A$16:$B$20,2,FALSE)</f>
        <v>4</v>
      </c>
      <c r="D91" s="6">
        <v>0</v>
      </c>
      <c r="E91" s="6" t="s">
        <v>75</v>
      </c>
      <c r="F91" s="6">
        <f>VLOOKUP(E91,Overview!$F$9:$G$24,2,FALSE)</f>
        <v>1</v>
      </c>
      <c r="G91" s="7"/>
      <c r="H91" s="6">
        <v>1000</v>
      </c>
      <c r="I91" s="6">
        <v>1500</v>
      </c>
      <c r="J91" s="6">
        <v>100</v>
      </c>
    </row>
    <row r="92" spans="1:10" ht="17.25" thickBot="1" x14ac:dyDescent="0.35">
      <c r="A92" s="6" t="s">
        <v>63</v>
      </c>
      <c r="B92" s="6" t="s">
        <v>80</v>
      </c>
      <c r="C92" s="6">
        <f>VLOOKUP(B92,Overview!$A$16:$B$20,2,FALSE)</f>
        <v>4</v>
      </c>
      <c r="D92" s="6">
        <v>25</v>
      </c>
      <c r="E92" s="6" t="s">
        <v>75</v>
      </c>
      <c r="F92" s="6">
        <f>VLOOKUP(E92,Overview!$F$9:$G$24,2,FALSE)</f>
        <v>1</v>
      </c>
      <c r="G92" s="7"/>
      <c r="H92" s="6">
        <v>2</v>
      </c>
      <c r="I92" s="6">
        <v>3</v>
      </c>
      <c r="J92" s="6">
        <v>40</v>
      </c>
    </row>
    <row r="93" spans="1:10" ht="17.25" thickBot="1" x14ac:dyDescent="0.35">
      <c r="A93" s="6" t="s">
        <v>63</v>
      </c>
      <c r="B93" s="6" t="s">
        <v>80</v>
      </c>
      <c r="C93" s="6">
        <f>VLOOKUP(B93,Overview!$A$16:$B$20,2,FALSE)</f>
        <v>4</v>
      </c>
      <c r="D93" s="6">
        <v>50</v>
      </c>
      <c r="E93" s="6" t="s">
        <v>75</v>
      </c>
      <c r="F93" s="6">
        <f>VLOOKUP(E93,Overview!$F$9:$G$24,2,FALSE)</f>
        <v>1</v>
      </c>
      <c r="G93" s="7"/>
      <c r="H93" s="6">
        <v>1</v>
      </c>
      <c r="I93" s="6">
        <v>1</v>
      </c>
      <c r="J93" s="6">
        <v>35</v>
      </c>
    </row>
    <row r="94" spans="1:10" ht="17.25" thickBot="1" x14ac:dyDescent="0.35">
      <c r="A94" s="6" t="s">
        <v>63</v>
      </c>
      <c r="B94" s="6" t="s">
        <v>80</v>
      </c>
      <c r="C94" s="6">
        <f>VLOOKUP(B94,Overview!$A$16:$B$20,2,FALSE)</f>
        <v>4</v>
      </c>
      <c r="D94" s="6">
        <v>75</v>
      </c>
      <c r="E94" s="6" t="s">
        <v>78</v>
      </c>
      <c r="F94" s="6">
        <f>VLOOKUP(E94,Overview!$F$9:$G$24,2,FALSE)</f>
        <v>7</v>
      </c>
      <c r="G94" s="6" t="s">
        <v>75</v>
      </c>
      <c r="H94" s="6">
        <v>1</v>
      </c>
      <c r="I94" s="6">
        <v>1</v>
      </c>
      <c r="J94" s="6">
        <v>25</v>
      </c>
    </row>
    <row r="95" spans="1:10" ht="17.25" thickBot="1" x14ac:dyDescent="0.35">
      <c r="A95" s="6" t="s">
        <v>63</v>
      </c>
      <c r="B95" s="6" t="s">
        <v>80</v>
      </c>
      <c r="C95" s="6">
        <f>VLOOKUP(B95,Overview!$A$16:$B$20,2,FALSE)</f>
        <v>4</v>
      </c>
      <c r="D95" s="6">
        <v>90</v>
      </c>
      <c r="E95" s="6" t="s">
        <v>79</v>
      </c>
      <c r="F95" s="6">
        <f>VLOOKUP(E95,Overview!$F$9:$G$24,2,FALSE)</f>
        <v>15</v>
      </c>
      <c r="G95" s="7"/>
      <c r="H95" s="6">
        <v>1</v>
      </c>
      <c r="I95" s="6">
        <v>1</v>
      </c>
      <c r="J95" s="6">
        <v>20</v>
      </c>
    </row>
    <row r="96" spans="1:10" ht="17.25" thickBot="1" x14ac:dyDescent="0.35">
      <c r="A96" s="6" t="s">
        <v>63</v>
      </c>
      <c r="B96" s="6" t="s">
        <v>80</v>
      </c>
      <c r="C96" s="6">
        <f>VLOOKUP(B96,Overview!$A$16:$B$20,2,FALSE)</f>
        <v>4</v>
      </c>
      <c r="D96" s="6">
        <v>100</v>
      </c>
      <c r="E96" s="6" t="s">
        <v>81</v>
      </c>
      <c r="F96" s="6">
        <f>VLOOKUP(E96,Overview!$F$9:$G$24,2,FALSE)</f>
        <v>14</v>
      </c>
      <c r="G96" s="7"/>
      <c r="H96" s="6">
        <v>1</v>
      </c>
      <c r="I96" s="6">
        <v>1</v>
      </c>
      <c r="J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6302-B302-44BC-BDF2-498BD94CAC4F}">
  <dimension ref="A1:D12"/>
  <sheetViews>
    <sheetView tabSelected="1" workbookViewId="0">
      <selection activeCell="D15" sqref="D15"/>
    </sheetView>
  </sheetViews>
  <sheetFormatPr defaultRowHeight="16.5" x14ac:dyDescent="0.3"/>
  <cols>
    <col min="1" max="1" width="9.5" bestFit="1" customWidth="1"/>
    <col min="2" max="3" width="10.125" bestFit="1" customWidth="1"/>
    <col min="4" max="4" width="19.5" bestFit="1" customWidth="1"/>
  </cols>
  <sheetData>
    <row r="1" spans="1:4" ht="17.25" thickBot="1" x14ac:dyDescent="0.35">
      <c r="A1" s="4" t="s">
        <v>110</v>
      </c>
      <c r="B1" s="4" t="s">
        <v>111</v>
      </c>
      <c r="C1" s="4" t="s">
        <v>112</v>
      </c>
      <c r="D1" s="4" t="s">
        <v>113</v>
      </c>
    </row>
    <row r="2" spans="1:4" ht="17.25" thickBot="1" x14ac:dyDescent="0.25">
      <c r="A2" s="5" t="s">
        <v>73</v>
      </c>
      <c r="B2" s="5" t="s">
        <v>73</v>
      </c>
      <c r="C2" s="5" t="s">
        <v>73</v>
      </c>
      <c r="D2" s="11" t="s">
        <v>73</v>
      </c>
    </row>
    <row r="3" spans="1:4" ht="17.25" thickBot="1" x14ac:dyDescent="0.35">
      <c r="A3" s="6">
        <v>1</v>
      </c>
      <c r="B3" s="6">
        <v>0</v>
      </c>
      <c r="C3" s="6">
        <v>0</v>
      </c>
      <c r="D3" s="6">
        <v>0</v>
      </c>
    </row>
    <row r="4" spans="1:4" ht="17.25" thickBot="1" x14ac:dyDescent="0.35">
      <c r="A4" s="6">
        <v>2</v>
      </c>
      <c r="B4" s="6">
        <v>1200</v>
      </c>
      <c r="C4" s="6">
        <v>1200</v>
      </c>
      <c r="D4" s="6">
        <v>0</v>
      </c>
    </row>
    <row r="5" spans="1:4" ht="17.25" thickBot="1" x14ac:dyDescent="0.35">
      <c r="A5" s="6">
        <v>3</v>
      </c>
      <c r="B5" s="6">
        <v>2400</v>
      </c>
      <c r="C5" s="6">
        <v>3600</v>
      </c>
      <c r="D5" s="6">
        <v>7200</v>
      </c>
    </row>
    <row r="6" spans="1:4" ht="17.25" thickBot="1" x14ac:dyDescent="0.35">
      <c r="A6" s="6">
        <v>4</v>
      </c>
      <c r="B6" s="6">
        <v>4800</v>
      </c>
      <c r="C6" s="6">
        <v>8400</v>
      </c>
      <c r="D6" s="6">
        <v>43200</v>
      </c>
    </row>
    <row r="7" spans="1:4" ht="17.25" thickBot="1" x14ac:dyDescent="0.35">
      <c r="A7" s="6">
        <v>5</v>
      </c>
      <c r="B7" s="6">
        <v>8400</v>
      </c>
      <c r="C7" s="6">
        <v>16800</v>
      </c>
      <c r="D7" s="6">
        <v>86400</v>
      </c>
    </row>
    <row r="8" spans="1:4" ht="17.25" thickBot="1" x14ac:dyDescent="0.35">
      <c r="A8" s="6">
        <v>6</v>
      </c>
      <c r="B8" s="6">
        <v>13200</v>
      </c>
      <c r="C8" s="6">
        <v>30000</v>
      </c>
      <c r="D8" s="6">
        <v>129600</v>
      </c>
    </row>
    <row r="9" spans="1:4" ht="17.25" thickBot="1" x14ac:dyDescent="0.35">
      <c r="A9" s="6">
        <v>7</v>
      </c>
      <c r="B9" s="6">
        <v>18000</v>
      </c>
      <c r="C9" s="6">
        <v>48000</v>
      </c>
      <c r="D9" s="6">
        <v>172800</v>
      </c>
    </row>
    <row r="10" spans="1:4" ht="17.25" thickBot="1" x14ac:dyDescent="0.35">
      <c r="A10" s="6">
        <v>8</v>
      </c>
      <c r="B10" s="6">
        <v>22800</v>
      </c>
      <c r="C10" s="6">
        <v>70800</v>
      </c>
      <c r="D10" s="6">
        <v>259200</v>
      </c>
    </row>
    <row r="11" spans="1:4" ht="17.25" thickBot="1" x14ac:dyDescent="0.35">
      <c r="A11" s="6">
        <v>9</v>
      </c>
      <c r="B11" s="6">
        <v>31200</v>
      </c>
      <c r="C11" s="6">
        <v>102000</v>
      </c>
      <c r="D11" s="6">
        <v>345600</v>
      </c>
    </row>
    <row r="12" spans="1:4" ht="17.25" thickBot="1" x14ac:dyDescent="0.35">
      <c r="A12" s="6">
        <v>10</v>
      </c>
      <c r="B12" s="6">
        <v>42000</v>
      </c>
      <c r="C12" s="6">
        <v>144000</v>
      </c>
      <c r="D12" s="6">
        <v>518400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Castle</vt:lpstr>
      <vt:lpstr>CastleRise</vt:lpstr>
      <vt:lpstr>CastleMission</vt:lpstr>
      <vt:lpstr>CastleMissionGrade</vt:lpstr>
      <vt:lpstr>CastleMissionReward</vt:lpstr>
      <vt:lpstr>CastleOfficeLevel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2026-05-22T05:35:09Z</dcterms:modified>
</cp:coreProperties>
</file>