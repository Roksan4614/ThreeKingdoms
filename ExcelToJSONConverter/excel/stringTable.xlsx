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0B7CF05B-6957-469B-9ECA-F9FC81381CC8}" xr6:coauthVersionLast="47" xr6:coauthVersionMax="47" xr10:uidLastSave="{00000000-0000-0000-0000-000000000000}"/>
  <bookViews>
    <workbookView xWindow="-120" yWindow="-120" windowWidth="29040" windowHeight="15720" tabRatio="906" activeTab="1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2" l="1"/>
  <c r="D15" i="12"/>
  <c r="D14" i="12"/>
  <c r="D13" i="12"/>
  <c r="D12" i="12"/>
  <c r="D11" i="12"/>
  <c r="D10" i="12"/>
  <c r="D9" i="12"/>
  <c r="D8" i="12"/>
  <c r="D7" i="12"/>
  <c r="D6" i="12"/>
  <c r="D5" i="12"/>
  <c r="D17" i="12"/>
  <c r="B3" i="11"/>
  <c r="B12" i="11"/>
  <c r="B39" i="11"/>
  <c r="B38" i="11"/>
  <c r="B37" i="11"/>
  <c r="B36" i="11"/>
  <c r="B35" i="11"/>
  <c r="B34" i="11"/>
  <c r="B22" i="11"/>
  <c r="B32" i="11"/>
  <c r="B31" i="11"/>
  <c r="B30" i="11"/>
  <c r="B29" i="11"/>
  <c r="B28" i="11"/>
  <c r="B27" i="11"/>
  <c r="B26" i="11"/>
  <c r="B25" i="11"/>
  <c r="B24" i="11"/>
  <c r="B23" i="11"/>
  <c r="B21" i="11"/>
  <c r="B20" i="11"/>
  <c r="B19" i="11"/>
  <c r="B18" i="11"/>
  <c r="B17" i="11"/>
  <c r="B16" i="11"/>
  <c r="B15" i="11"/>
  <c r="B14" i="11"/>
  <c r="B13" i="11"/>
  <c r="B33" i="11"/>
  <c r="B11" i="11" l="1"/>
  <c r="B10" i="11"/>
  <c r="B9" i="11"/>
  <c r="B8" i="11"/>
  <c r="B7" i="11"/>
  <c r="B6" i="11"/>
  <c r="B5" i="11"/>
  <c r="B4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<sst xmlns="http://schemas.openxmlformats.org/spreadsheetml/2006/main" count="2038" uniqueCount="1101">
  <si>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</si>
  <si>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</si>
  <si>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</si>
  <si>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</si>
  <si>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</si>
  <si>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</si>
  <si>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</si>
  <si>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</si>
  <si>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</si>
  <si>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</si>
  <si>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</si>
  <si>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</si>
  <si>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</si>
  <si>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</si>
  <si>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</si>
  <si>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</si>
  <si>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</si>
  <si>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</si>
  <si>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</si>
  <si>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</si>
  <si>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</si>
  <si>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</si>
  <si>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</si>
  <si>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</si>
  <si>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</si>
  <si>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</si>
  <si>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</si>
  <si>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</si>
  <si>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</si>
  <si>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</si>
  <si>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</si>
  <si>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</si>
  <si>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</si>
  <si>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</si>
  <si>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</si>
  <si>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</si>
  <si>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</si>
  <si>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</si>
  <si>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</si>
  <si>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</si>
  <si>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</si>
  <si>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</si>
  <si>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</si>
  <si>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</si>
  <si>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</si>
  <si>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</si>
  <si>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</si>
  <si>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</si>
  <si>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</si>
  <si>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</si>
  <si>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</si>
  <si>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</si>
  <si>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</si>
  <si>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</si>
  <si>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</si>
  <si>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</si>
  <si>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</si>
  <si>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</si>
  <si>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</si>
  <si>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</si>
  <si>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</si>
  <si>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</si>
  <si>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</si>
  <si>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</si>
  <si>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</si>
  <si>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</si>
  <si>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</si>
  <si>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</si>
  <si>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</si>
  <si>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</si>
  <si>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</si>
  <si>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</si>
  <si>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</si>
  <si>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</si>
  <si>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</si>
  <si>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</si>
  <si>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</si>
  <si>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</si>
  <si>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</si>
  <si>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</si>
  <si>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</si>
  <si>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</si>
  <si>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</si>
  <si>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</si>
  <si>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</si>
  <si>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</si>
  <si>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</si>
  <si>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</si>
  <si>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</si>
  <si>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</si>
  <si>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</si>
  <si>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</si>
  <si>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</si>
  <si>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</si>
  <si>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</si>
  <si>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</si>
  <si>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</si>
  <si>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</si>
  <si>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</si>
  <si>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</si>
  <si>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</si>
  <si>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</si>
  <si>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</si>
  <si>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</si>
  <si>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</si>
  <si>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</si>
  <si>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</si>
  <si>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</si>
  <si>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</si>
  <si>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</si>
  <si>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</si>
  <si>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</si>
  <si>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</si>
  <si>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</si>
  <si>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</si>
  <si>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</si>
  <si>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</si>
  <si>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</si>
  <si>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</si>
  <si>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</si>
  <si>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</si>
  <si>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</si>
  <si>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</si>
  <si>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</si>
  <si>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</si>
  <si>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</si>
  <si>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</si>
  <si>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</si>
  <si>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</si>
  <si>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</si>
  <si>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</si>
  <si>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</si>
  <si>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</si>
  <si>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</si>
  <si>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</si>
  <si>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</si>
  <si>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</si>
  <si>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</si>
  <si>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</si>
  <si>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</si>
  <si>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</si>
  <si>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</si>
  <si>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</si>
  <si>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</si>
  <si>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</si>
  <si>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</si>
  <si>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</si>
  <si>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</si>
  <si>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</si>
  <si>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</si>
  <si>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</si>
  <si>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</si>
  <si>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</si>
  <si>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</si>
  <si>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</si>
  <si>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</si>
  <si>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</si>
  <si>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</si>
  <si>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</si>
  <si>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</si>
  <si>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</si>
  <si>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</si>
  <si>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</si>
  <si>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</si>
  <si>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</si>
  <si>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</si>
  <si>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</si>
  <si>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</si>
  <si>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</si>
  <si>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</si>
  <si>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</si>
  <si>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</si>
  <si>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</si>
  <si>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</si>
  <si>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</si>
  <si>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</si>
  <si>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</si>
  <si>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</si>
  <si>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</si>
  <si>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</si>
  <si>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</si>
  <si>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</si>
  <si>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</si>
  <si>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</si>
  <si>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</si>
  <si>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</si>
  <si>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</si>
  <si>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</si>
  <si>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</si>
  <si>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</si>
  <si>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</si>
  <si>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</si>
  <si>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</si>
  <si>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</si>
  <si>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</si>
  <si>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</si>
  <si>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</si>
  <si>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</si>
  <si>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</si>
  <si>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</si>
  <si>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</si>
  <si>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</si>
  <si>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</si>
  <si>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</si>
  <si>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</si>
  <si>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</si>
  <si>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</si>
  <si>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</si>
  <si>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</si>
  <si>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</si>
  <si>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</si>
  <si>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</si>
  <si>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</si>
  <si>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</si>
  <si>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</si>
  <si>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</si>
  <si>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</si>
  <si>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</si>
  <si>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</si>
  <si>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</si>
  <si>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</si>
  <si>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</si>
  <si>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</si>
  <si>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</si>
  <si>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</si>
  <si>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</si>
  <si>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</si>
  <si>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</si>
  <si>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</si>
  <si>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</si>
  <si>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</si>
  <si>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</si>
  <si>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</si>
  <si>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</si>
  <si>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</si>
  <si>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</si>
  <si>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</si>
  <si>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</si>
  <si>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</si>
  <si>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</si>
  <si>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</si>
  <si>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</si>
  <si>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</si>
  <si>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</si>
  <si>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</si>
  <si>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</si>
  <si>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</si>
  <si>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</si>
  <si>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</si>
  <si>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</si>
  <si>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</si>
  <si>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</si>
  <si>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</si>
  <si>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</si>
  <si>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</si>
  <si>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</si>
  <si>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</si>
  <si>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</si>
  <si>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</si>
  <si>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</si>
  <si>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</si>
  <si>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</si>
  <si>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</si>
  <si>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</si>
  <si>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</si>
  <si>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</si>
  <si>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</si>
  <si>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</si>
  <si>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</si>
  <si>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</si>
  <si>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</si>
  <si>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</si>
  <si>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</si>
  <si>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</si>
  <si>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</si>
  <si>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</si>
  <si>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</si>
  <si>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</si>
  <si>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</si>
  <si>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</si>
  <si>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</si>
  <si>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</si>
  <si>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</si>
  <si>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</si>
  <si>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</si>
  <si>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</si>
  <si>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</si>
  <si>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</si>
  <si>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</si>
  <si>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</si>
  <si>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</si>
  <si>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</si>
  <si>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</si>
  <si>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</si>
  <si>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</si>
  <si>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</si>
  <si>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</si>
  <si>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</si>
  <si>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</si>
  <si>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</si>
  <si>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</si>
  <si>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</si>
  <si>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</si>
  <si>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</si>
  <si>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</si>
  <si>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</si>
  <si>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</si>
  <si>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</si>
  <si>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</si>
  <si>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</si>
  <si>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</si>
  <si>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</si>
  <si>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</si>
  <si>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</si>
  <si>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</si>
  <si>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</si>
  <si>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</si>
  <si>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</si>
  <si>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</si>
  <si>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</si>
  <si>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</si>
  <si>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</si>
  <si>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</si>
  <si>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</si>
  <si>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</si>
  <si>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</si>
  <si>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</si>
  <si>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</si>
  <si>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</si>
  <si>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</si>
  <si>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</si>
  <si>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</si>
  <si>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</si>
  <si>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</si>
  <si>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</si>
  <si>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</si>
  <si>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</si>
  <si>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</si>
  <si>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</si>
  <si>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</si>
  <si>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</si>
  <si>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</si>
  <si>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</si>
  <si>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</si>
  <si>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</si>
  <si>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</si>
  <si>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</si>
  <si>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</si>
  <si>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</si>
  <si>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</si>
  <si>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</si>
  <si>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</si>
  <si>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</si>
  <si>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</si>
  <si>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</si>
  <si>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</si>
  <si>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</si>
  <si>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</si>
  <si>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</si>
  <si>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</si>
  <si>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</si>
  <si>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</si>
  <si>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</si>
  <si>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</si>
  <si>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</si>
  <si>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</si>
  <si>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</si>
  <si>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</si>
  <si>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</si>
  <si>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</si>
  <si>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</si>
  <si>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</si>
  <si>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</si>
  <si>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</si>
  <si>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</si>
  <si>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</si>
  <si>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</si>
  <si>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</si>
  <si>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</si>
  <si>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</si>
  <si>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</si>
  <si>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</si>
  <si>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</si>
  <si>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</si>
  <si>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</si>
  <si>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</si>
  <si>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</si>
  <si>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</si>
  <si>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</si>
  <si>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</si>
  <si>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</si>
  <si>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</si>
  <si>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</si>
  <si>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</si>
  <si>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</si>
  <si>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</si>
  <si>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</si>
  <si>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</si>
  <si>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</si>
  <si>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</si>
  <si>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</si>
  <si>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</si>
  <si>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</si>
  <si>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</si>
  <si>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</si>
  <si>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</si>
  <si>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</si>
  <si>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</si>
  <si>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</si>
  <si>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</si>
  <si>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</si>
  <si>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</si>
  <si>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</si>
  <si>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</si>
  <si>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</si>
  <si>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</si>
  <si>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</si>
  <si>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</si>
  <si>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</si>
  <si>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</si>
  <si>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</si>
  <si>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</si>
  <si>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</si>
  <si>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</si>
  <si>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</si>
  <si>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</si>
  <si>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</si>
  <si>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</si>
  <si>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</si>
  <si>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</si>
  <si>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</si>
  <si>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</si>
  <si>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</si>
  <si>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</si>
  <si>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</si>
  <si>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</si>
  <si>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</si>
  <si>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</si>
  <si>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</si>
  <si>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</si>
  <si>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</si>
  <si>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</si>
  <si>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</si>
  <si>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</si>
  <si>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</si>
  <si>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</si>
  <si>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</si>
  <si>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</si>
  <si>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</si>
  <si>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</si>
  <si>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</si>
  <si>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</si>
  <si>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</si>
  <si>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</si>
  <si>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</si>
  <si>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</si>
  <si>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</si>
  <si>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</si>
  <si>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</si>
  <si>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</si>
  <si>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</si>
  <si>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</si>
  <si>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</si>
  <si>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</si>
  <si>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</si>
  <si>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</si>
  <si>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</si>
  <si>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</si>
  <si>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</si>
  <si>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</si>
  <si>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</si>
  <si>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</si>
  <si>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</si>
  <si>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</si>
  <si>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</si>
  <si>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</si>
  <si>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</si>
  <si>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</si>
  <si>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</si>
  <si>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</si>
  <si>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</si>
  <si>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</si>
  <si>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</si>
  <si>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</si>
  <si>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</si>
  <si>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</si>
  <si>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</si>
  <si>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</si>
  <si>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</si>
  <si>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</si>
  <si>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</si>
  <si>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</si>
  <si>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</si>
  <si>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</si>
  <si>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</si>
  <si>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</si>
  <si>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</si>
  <si>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</si>
  <si>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</si>
  <si>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</si>
  <si>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</si>
  <si>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</si>
  <si>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</si>
  <si>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</si>
  <si>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</si>
  <si>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</si>
  <si>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</si>
  <si>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</si>
  <si>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</si>
  <si>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</si>
  <si>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</si>
  <si>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</si>
  <si>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</si>
  <si>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</si>
  <si>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</si>
  <si>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</si>
  <si>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</si>
  <si>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</si>
  <si>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</si>
  <si>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</si>
  <si>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</si>
  <si>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</si>
  <si>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</si>
  <si>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</si>
  <si>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</si>
  <si>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</si>
  <si>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</si>
  <si>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</si>
  <si>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</si>
  <si>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</si>
  <si>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</si>
  <si>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</si>
  <si>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</si>
  <si>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</si>
  <si>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</si>
  <si>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</si>
  <si>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</si>
  <si>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</si>
  <si>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</si>
  <si>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</si>
  <si>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</si>
  <si>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</si>
  <si>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</si>
  <si>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</si>
  <si>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</si>
  <si>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</si>
  <si>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</si>
  <si>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</si>
  <si>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</si>
  <si>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</si>
  <si>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</si>
  <si>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</si>
  <si>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</si>
  <si>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</si>
  <si>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</si>
  <si>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</si>
  <si>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</si>
  <si>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</si>
  <si>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</si>
  <si>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</si>
  <si>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</si>
  <si>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</si>
  <si>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</si>
  <si>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</si>
  <si>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</si>
  <si>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</si>
  <si>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</si>
  <si>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</si>
  <si>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</si>
  <si>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</si>
  <si>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</si>
  <si>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</si>
  <si>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</si>
  <si>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</si>
  <si>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</si>
  <si>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</si>
  <si>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</si>
  <si>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</si>
  <si>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</si>
  <si>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</si>
  <si>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</si>
  <si>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</si>
  <si>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</si>
  <si>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</si>
  <si>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</si>
  <si>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</si>
  <si>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</si>
  <si>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</si>
  <si>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</si>
  <si>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</si>
  <si>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</si>
  <si>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</si>
  <si>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</si>
  <si>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</si>
  <si>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</si>
  <si>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</si>
  <si>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</si>
  <si>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</si>
  <si>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</si>
  <si>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</si>
  <si>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</si>
  <si>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</si>
  <si>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</si>
  <si>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</si>
  <si>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</si>
  <si>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</si>
  <si>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</si>
  <si>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</si>
  <si>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</si>
  <si>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</si>
  <si>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</si>
  <si>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</si>
  <si>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</si>
  <si>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</si>
  <si>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</si>
  <si>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</si>
  <si>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</si>
  <si>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</si>
  <si>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</si>
  <si>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</si>
  <si>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</si>
  <si>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</si>
  <si>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</si>
  <si>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</si>
  <si>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</si>
  <si>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</si>
  <si>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</si>
  <si>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</si>
  <si>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</si>
  <si>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</si>
  <si>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</si>
  <si>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</si>
  <si>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</si>
  <si>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</si>
  <si>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</si>
  <si>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</si>
  <si>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</si>
  <si>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</si>
  <si>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</si>
  <si>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</si>
  <si>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</si>
  <si>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</si>
  <si>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</si>
  <si>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</si>
  <si>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</si>
  <si>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</si>
  <si>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</si>
  <si>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</si>
  <si>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</si>
  <si>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</si>
  <si>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</si>
  <si>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</si>
  <si>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</si>
  <si>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</si>
  <si>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</si>
  <si>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</si>
  <si>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</si>
  <si>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</si>
  <si>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</si>
  <si>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</si>
  <si>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</si>
  <si>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</si>
  <si>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</si>
  <si>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</si>
  <si>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</si>
  <si>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</si>
  <si>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</si>
  <si>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</si>
  <si>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</si>
  <si>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</si>
  <si>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</si>
  <si>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</si>
  <si>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</si>
  <si>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</si>
  <si>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</si>
  <si>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</si>
  <si>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</si>
  <si>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</si>
  <si>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</si>
  <si>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</si>
  <si>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</si>
  <si>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</si>
  <si>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</si>
  <si>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</si>
  <si>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</si>
  <si>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</si>
  <si>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</si>
  <si>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</si>
  <si>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</si>
  <si>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</si>
  <si>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</si>
  <si>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</si>
  <si>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</si>
  <si>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</si>
  <si>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</si>
  <si>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</si>
  <si>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</si>
  <si>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</si>
  <si>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</si>
  <si>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</si>
  <si>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</si>
  <si>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</si>
  <si>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</si>
  <si>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</si>
  <si>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</si>
  <si>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</si>
  <si>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</si>
  <si>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</si>
  <si>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</si>
  <si>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</si>
  <si>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</si>
  <si>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</si>
  <si>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</si>
  <si>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</si>
  <si>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</si>
  <si>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</si>
  <si>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</si>
  <si>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</si>
  <si>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</si>
  <si>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</si>
  <si>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</si>
  <si>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</si>
  <si>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</si>
  <si>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</si>
  <si>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</si>
  <si>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</si>
  <si>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</si>
  <si>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</si>
  <si>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</si>
  <si>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</si>
  <si>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</si>
  <si>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</si>
  <si>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</si>
  <si>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</si>
  <si>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</si>
  <si>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</si>
  <si>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</si>
  <si>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</si>
  <si>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</si>
  <si>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</si>
  <si>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</si>
  <si>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</si>
  <si>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</si>
  <si>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</si>
  <si>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</si>
  <si>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</si>
  <si>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</si>
  <si>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</si>
  <si>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</si>
  <si>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</si>
  <si>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</si>
  <si>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</si>
  <si>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</si>
  <si>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</si>
  <si>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</si>
  <si>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</si>
  <si>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</si>
  <si>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</si>
  <si>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</si>
  <si>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</si>
  <si>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</si>
  <si>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</si>
  <si>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</si>
  <si>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</si>
  <si>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</si>
  <si>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</si>
  <si>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</si>
  <si>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</si>
  <si>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</si>
  <si>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</si>
  <si>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</si>
  <si>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</si>
  <si>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</si>
  <si>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</si>
  <si>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</si>
  <si>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</si>
  <si>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</si>
  <si>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</si>
  <si>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</si>
  <si>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</si>
  <si>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</si>
  <si>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</si>
  <si>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</si>
  <si>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</si>
  <si>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</si>
  <si>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</si>
  <si>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</si>
  <si>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</si>
  <si>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</si>
  <si>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</si>
  <si>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</si>
  <si>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</si>
  <si>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</si>
  <si>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</si>
  <si>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</si>
  <si>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</si>
  <si>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</si>
  <si>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</si>
  <si>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</si>
  <si>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</si>
  <si>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</si>
  <si>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</si>
  <si>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</si>
  <si>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</si>
  <si>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</si>
  <si>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</si>
  <si>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</si>
  <si>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</si>
  <si>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</si>
  <si>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</si>
  <si>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</si>
  <si>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</si>
  <si>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</si>
  <si>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</si>
  <si>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</si>
  <si>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</si>
  <si>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</si>
  <si>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</si>
  <si>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</si>
  <si>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</si>
  <si>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</si>
  <si>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</si>
  <si>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</si>
  <si>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</si>
  <si>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</si>
  <si>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</si>
  <si>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</si>
  <si>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</si>
  <si>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</si>
  <si>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</si>
  <si>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</si>
  <si>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</si>
  <si>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</si>
  <si>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</si>
  <si>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</si>
  <si>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</si>
  <si>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</si>
  <si>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</si>
  <si>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</si>
  <si>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</si>
  <si>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</si>
  <si>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</si>
  <si>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</si>
  <si>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</si>
  <si>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</si>
  <si>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</si>
  <si>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</si>
  <si>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</si>
  <si>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</si>
  <si>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</si>
  <si>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</si>
  <si>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</si>
  <si>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</si>
  <si>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</si>
  <si>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</si>
  <si>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</si>
  <si>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</si>
  <si>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</si>
  <si>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</si>
  <si>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</si>
  <si>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</si>
  <si>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</si>
  <si>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</si>
  <si>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</si>
  <si>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</si>
  <si>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</si>
  <si>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</si>
  <si>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</si>
  <si>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</si>
  <si>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</si>
  <si>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</si>
  <si>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</si>
  <si>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</si>
  <si>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</si>
  <si>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</si>
  <si>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</si>
  <si>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</si>
  <si>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</si>
  <si>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</si>
  <si>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</si>
  <si>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</si>
  <si>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</si>
  <si>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</si>
  <si>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</si>
  <si>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</si>
  <si>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</si>
  <si>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</si>
  <si>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</si>
  <si>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</si>
  <si>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</si>
  <si>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</si>
  <si>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</si>
  <si>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</si>
  <si>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</si>
  <si>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</si>
  <si>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</si>
  <si>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</si>
  <si>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</si>
  <si>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</si>
  <si>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</si>
  <si>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</si>
  <si>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</si>
  <si>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</si>
  <si>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</si>
  <si>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</si>
  <si>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</si>
  <si>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</si>
  <si>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</si>
  <si>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</si>
  <si>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</si>
  <si>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</si>
  <si>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</si>
  <si>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</si>
  <si>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</si>
  <si>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</si>
  <si>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</si>
  <si>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</si>
  <si>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</si>
  <si>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</si>
  <si>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</si>
  <si>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</si>
  <si>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</si>
  <si>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</si>
  <si>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</si>
  <si>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</si>
  <si>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</si>
  <si>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</si>
  <si>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</si>
  <si>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</si>
  <si>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</si>
  <si>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</si>
  <si>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</si>
  <si>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</si>
  <si>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</si>
  <si>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</si>
  <si>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</si>
  <si>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</si>
  <si>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</si>
  <si>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</si>
  <si>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</si>
  <si>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</si>
  <si>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</si>
  <si>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</si>
  <si>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</si>
  <si>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</si>
  <si>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</si>
  <si>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</si>
  <si>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</si>
  <si>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</si>
  <si>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</si>
  <si>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</si>
  <si>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</si>
  <si>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</si>
  <si>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</si>
  <si>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</si>
  <si>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</si>
  <si>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</si>
  <si>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</si>
  <si>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</si>
  <si>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</si>
  <si>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</si>
  <si>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</si>
  <si>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</si>
  <si>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</si>
  <si>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</si>
  <si>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</si>
  <si>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</si>
  <si>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</si>
  <si>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</si>
  <si>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</si>
  <si>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</si>
  <si>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</si>
  <si>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</si>
  <si>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</si>
  <si>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</si>
  <si>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</si>
  <si>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</si>
  <si>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</si>
  <si>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</si>
  <si>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</si>
  <si>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</si>
  <si>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</si>
  <si>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</si>
  <si>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</si>
  <si>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</si>
  <si>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</si>
  <si>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</si>
  <si>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</si>
  <si>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</si>
  <si>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</si>
  <si>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</si>
  <si>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</si>
  <si>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</si>
  <si>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</si>
  <si>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</si>
  <si>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</si>
  <si>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</si>
  <si>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</si>
  <si>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</si>
  <si>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</si>
  <si>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</si>
  <si>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</si>
  <si>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</si>
  <si>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</si>
  <si>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</si>
  <si>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</si>
  <si>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</si>
  <si>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</si>
  <si>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재화</t>
    <phoneticPr fontId="1" type="noConversion"/>
  </si>
  <si>
    <t>번들</t>
    <phoneticPr fontId="1" type="noConversion"/>
  </si>
  <si>
    <t>랜덤상자</t>
    <phoneticPr fontId="1" type="noConversion"/>
  </si>
  <si>
    <t>아이템</t>
    <phoneticPr fontId="1" type="noConversion"/>
  </si>
  <si>
    <t>조각</t>
    <phoneticPr fontId="1" type="noConversion"/>
  </si>
  <si>
    <t>포인트</t>
    <phoneticPr fontId="1" type="noConversion"/>
  </si>
  <si>
    <t>티켓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</si>
  <si>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</si>
  <si>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</si>
  <si>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</si>
  <si>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</si>
  <si>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</si>
  <si>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</si>
  <si>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</si>
  <si>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</si>
  <si>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</si>
  <si>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</si>
  <si>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</si>
  <si>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</si>
  <si>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</si>
  <si>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</si>
  <si>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</si>
  <si>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</si>
  <si>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</si>
  <si>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</si>
  <si>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</si>
  <si>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</si>
  <si>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</si>
  <si>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</si>
  <si>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</si>
  <si>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</si>
  <si>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</si>
  <si>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</si>
  <si>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</si>
  <si>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</si>
  <si>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</si>
  <si>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</si>
  <si>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</si>
  <si>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</si>
  <si>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</si>
  <si>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</si>
  <si>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</si>
  <si>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</si>
  <si>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</si>
  <si>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</si>
  <si>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</si>
  <si>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</si>
  <si>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</si>
  <si>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</si>
  <si>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</si>
  <si>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</si>
  <si>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</si>
  <si>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</si>
  <si>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</si>
  <si>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</si>
  <si>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</si>
  <si>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</si>
  <si>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</si>
  <si>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</si>
  <si>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</si>
  <si>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</si>
  <si>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</si>
  <si>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</si>
  <si>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</si>
  <si>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</si>
  <si>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</si>
  <si>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</si>
  <si>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</si>
  <si>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</si>
  <si>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</si>
  <si>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</si>
  <si>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</si>
  <si>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</si>
  <si>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</si>
  <si>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</si>
  <si>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gole_claim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</si>
  <si>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</si>
  <si>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</si>
  <si>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</si>
  <si>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</si>
  <si>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</si>
  <si>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</si>
  <si>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</si>
  <si>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연회 진행하기</t>
  </si>
  <si>
    <t>관아 파견하기</t>
  </si>
  <si>
    <t>요일 던전 플레이하기</t>
  </si>
  <si>
    <t>스테이지 보스 처치하기</t>
  </si>
  <si>
    <t>광고 시청하기</t>
  </si>
  <si>
    <t>상품 구매하기</t>
  </si>
  <si>
    <t>아이템 사용하기</t>
  </si>
  <si>
    <t>STATUS_COMPLETE</t>
    <phoneticPr fontId="1" type="noConversion"/>
  </si>
  <si>
    <t>완료</t>
    <phoneticPr fontId="1" type="noConversion"/>
  </si>
  <si>
    <t>이동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</si>
</sst>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tabSelected="1" topLeftCell="A82" workbookViewId="0">
      <selection activeCell="D103" sqref="D103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  <row r="102" spans="1:3" x14ac:dyDescent="0.3">
      <c r="B102" s="6" t="s">
        <v>1072</v>
      </c>
      <c r="C102" s="6" t="s">
        <v>1073</v>
      </c>
    </row>
    <row r="103" spans="1:3" x14ac:dyDescent="0.3">
      <c r="B103" t="s">
        <v>1074</v>
      </c>
      <c r="C103" s="68" t="s">
        <v>1100</v>
      </c>
    </row>
    <row r="104" spans="1:3" x14ac:dyDescent="0.3">
      <c r="B104" s="6" t="s">
        <v>1075</v>
      </c>
      <c r="C104" s="68" t="s">
        <v>1076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D39"/>
  <sheetViews>
    <sheetView workbookViewId="0">
      <selection activeCell="C13" sqref="C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4" x14ac:dyDescent="0.3">
      <c r="A1" s="4" t="s">
        <v>384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1066</v>
      </c>
      <c r="B3" s="17" t="str">
        <f>"CATEGORY_"&amp;UPPER(A3)</f>
        <v>CATEGORY_NONE</v>
      </c>
      <c r="C3" s="66" t="s">
        <v>368</v>
      </c>
      <c r="D3" s="16"/>
    </row>
    <row r="4" spans="1:4" x14ac:dyDescent="0.3">
      <c r="A4" s="16" t="s">
        <v>1000</v>
      </c>
      <c r="B4" s="17" t="str">
        <f>"CATEGORY_"&amp;UPPER(A4)</f>
        <v>CATEGORY_CURRENCY</v>
      </c>
      <c r="C4" s="16" t="s">
        <v>1008</v>
      </c>
      <c r="D4" s="18"/>
    </row>
    <row r="5" spans="1:4" x14ac:dyDescent="0.3">
      <c r="A5" s="16" t="s">
        <v>1001</v>
      </c>
      <c r="B5" s="17" t="str">
        <f t="shared" ref="B5:B10" si="0">"CATEGORY_"&amp;UPPER(A5)</f>
        <v>CATEGORY_SOUL_STONE</v>
      </c>
      <c r="C5" s="66" t="s">
        <v>77</v>
      </c>
      <c r="D5" s="18"/>
    </row>
    <row r="6" spans="1:4" x14ac:dyDescent="0.3">
      <c r="A6" s="16" t="s">
        <v>1002</v>
      </c>
      <c r="B6" s="17" t="str">
        <f t="shared" si="0"/>
        <v>CATEGORY_BUNDLE</v>
      </c>
      <c r="C6" s="66" t="s">
        <v>1009</v>
      </c>
      <c r="D6" s="18"/>
    </row>
    <row r="7" spans="1:4" x14ac:dyDescent="0.3">
      <c r="A7" s="16" t="s">
        <v>1003</v>
      </c>
      <c r="B7" s="17" t="str">
        <f t="shared" si="0"/>
        <v>CATEGORY_RANDOM_BOX</v>
      </c>
      <c r="C7" s="66" t="s">
        <v>1010</v>
      </c>
      <c r="D7" s="18"/>
    </row>
    <row r="8" spans="1:4" x14ac:dyDescent="0.3">
      <c r="A8" s="16" t="s">
        <v>1004</v>
      </c>
      <c r="B8" s="17" t="str">
        <f t="shared" si="0"/>
        <v>CATEGORY_ITEM</v>
      </c>
      <c r="C8" s="67" t="s">
        <v>1011</v>
      </c>
      <c r="D8" s="18"/>
    </row>
    <row r="9" spans="1:4" x14ac:dyDescent="0.3">
      <c r="A9" s="16" t="s">
        <v>1005</v>
      </c>
      <c r="B9" s="17" t="str">
        <f t="shared" si="0"/>
        <v>CATEGORY_PIECE</v>
      </c>
      <c r="C9" s="66" t="s">
        <v>1012</v>
      </c>
      <c r="D9" s="18"/>
    </row>
    <row r="10" spans="1:4" x14ac:dyDescent="0.3">
      <c r="A10" s="16" t="s">
        <v>1006</v>
      </c>
      <c r="B10" s="17" t="str">
        <f t="shared" si="0"/>
        <v>CATEGORY_POINT</v>
      </c>
      <c r="C10" s="66" t="s">
        <v>1013</v>
      </c>
      <c r="D10" s="18"/>
    </row>
    <row r="11" spans="1:4" x14ac:dyDescent="0.3">
      <c r="A11" s="16" t="s">
        <v>1007</v>
      </c>
      <c r="B11" s="17" t="str">
        <f>"CATEGORY_"&amp;UPPER(A11)</f>
        <v>CATEGORY_TICKET</v>
      </c>
      <c r="C11" s="66" t="s">
        <v>1014</v>
      </c>
      <c r="D11" s="18"/>
    </row>
    <row r="12" spans="1:4" x14ac:dyDescent="0.3">
      <c r="A12" s="6" t="s">
        <v>1065</v>
      </c>
      <c r="B12" s="6" t="str">
        <f>"CATEGORY_"&amp;UPPER(A12)</f>
        <v>CATEGORY_MAX</v>
      </c>
      <c r="C12" s="6" t="s">
        <v>1067</v>
      </c>
      <c r="D12" s="18"/>
    </row>
    <row r="13" spans="1:4" x14ac:dyDescent="0.3">
      <c r="A13" s="16" t="s">
        <v>1042</v>
      </c>
      <c r="B13" s="17" t="str">
        <f t="shared" ref="B13:B32" si="1">"NAME_"&amp;UPPER(A13)</f>
        <v>NAME_GOLD</v>
      </c>
      <c r="C13" s="16" t="s">
        <v>75</v>
      </c>
      <c r="D13" s="18"/>
    </row>
    <row r="14" spans="1:4" x14ac:dyDescent="0.3">
      <c r="A14" s="16" t="s">
        <v>1043</v>
      </c>
      <c r="B14" s="17" t="str">
        <f t="shared" si="1"/>
        <v>NAME_RICE</v>
      </c>
      <c r="C14" s="67" t="s">
        <v>76</v>
      </c>
      <c r="D14" s="18"/>
    </row>
    <row r="15" spans="1:4" x14ac:dyDescent="0.3">
      <c r="A15" s="17" t="s">
        <v>1044</v>
      </c>
      <c r="B15" s="17" t="str">
        <f t="shared" si="1"/>
        <v>NAME_TIME_STONE</v>
      </c>
      <c r="C15" s="6" t="s">
        <v>78</v>
      </c>
      <c r="D15" s="18"/>
    </row>
    <row r="16" spans="1:4" x14ac:dyDescent="0.3">
      <c r="A16" s="17" t="s">
        <v>1045</v>
      </c>
      <c r="B16" s="17" t="str">
        <f t="shared" si="1"/>
        <v>NAME_BUNDLE_NORMAL</v>
      </c>
      <c r="C16" s="6" t="s">
        <v>1029</v>
      </c>
      <c r="D16" s="18"/>
    </row>
    <row r="17" spans="1:4" x14ac:dyDescent="0.3">
      <c r="A17" s="17" t="s">
        <v>1046</v>
      </c>
      <c r="B17" s="17" t="str">
        <f t="shared" si="1"/>
        <v>NAME_BUNDLE_ELITE</v>
      </c>
      <c r="C17" s="6" t="s">
        <v>1030</v>
      </c>
      <c r="D17" s="18"/>
    </row>
    <row r="18" spans="1:4" x14ac:dyDescent="0.3">
      <c r="A18" s="17" t="s">
        <v>1047</v>
      </c>
      <c r="B18" s="17" t="str">
        <f t="shared" si="1"/>
        <v>NAME_BUNDLE_GENERAL</v>
      </c>
      <c r="C18" s="6" t="s">
        <v>1031</v>
      </c>
      <c r="D18" s="18"/>
    </row>
    <row r="19" spans="1:4" x14ac:dyDescent="0.3">
      <c r="A19" s="17" t="s">
        <v>1048</v>
      </c>
      <c r="B19" s="17" t="str">
        <f t="shared" si="1"/>
        <v>NAME_BUNDLE_HERO</v>
      </c>
      <c r="C19" s="6" t="s">
        <v>1032</v>
      </c>
      <c r="D19" s="18"/>
    </row>
    <row r="20" spans="1:4" x14ac:dyDescent="0.3">
      <c r="A20" s="6" t="s">
        <v>1049</v>
      </c>
      <c r="B20" s="17" t="str">
        <f t="shared" si="1"/>
        <v>NAME_BUNDLE_LEGEND</v>
      </c>
      <c r="C20" s="6" t="s">
        <v>1028</v>
      </c>
    </row>
    <row r="21" spans="1:4" x14ac:dyDescent="0.3">
      <c r="A21" s="6" t="s">
        <v>1050</v>
      </c>
      <c r="B21" s="17" t="str">
        <f t="shared" si="1"/>
        <v>NAME_PUBLIC_SOUL_STONE</v>
      </c>
      <c r="C21" s="6" t="s">
        <v>1018</v>
      </c>
    </row>
    <row r="22" spans="1:4" x14ac:dyDescent="0.3">
      <c r="A22" s="6" t="s">
        <v>1051</v>
      </c>
      <c r="B22" s="17" t="str">
        <f t="shared" si="1"/>
        <v>NAME_CLASS_SOUL_STONE</v>
      </c>
      <c r="C22" s="6" t="s">
        <v>1020</v>
      </c>
    </row>
    <row r="23" spans="1:4" x14ac:dyDescent="0.3">
      <c r="A23" s="6" t="s">
        <v>1052</v>
      </c>
      <c r="B23" s="17" t="str">
        <f t="shared" si="1"/>
        <v>NAME_DEDICATED_SOUL_STONE</v>
      </c>
      <c r="C23" s="6" t="s">
        <v>1019</v>
      </c>
    </row>
    <row r="24" spans="1:4" x14ac:dyDescent="0.3">
      <c r="A24" s="6" t="s">
        <v>1053</v>
      </c>
      <c r="B24" s="17" t="str">
        <f t="shared" si="1"/>
        <v>NAME_CLASS_SOUL_STONE_RANDOM_BOX</v>
      </c>
      <c r="C24" s="6" t="s">
        <v>1021</v>
      </c>
    </row>
    <row r="25" spans="1:4" x14ac:dyDescent="0.3">
      <c r="A25" s="6" t="s">
        <v>1054</v>
      </c>
      <c r="B25" s="17" t="str">
        <f t="shared" si="1"/>
        <v>NAME_DEDICATED_SOUL_STONE_RANDOM_BOX</v>
      </c>
      <c r="C25" s="6" t="s">
        <v>1022</v>
      </c>
    </row>
    <row r="26" spans="1:4" x14ac:dyDescent="0.3">
      <c r="A26" s="6" t="s">
        <v>1055</v>
      </c>
      <c r="B26" s="17" t="str">
        <f t="shared" si="1"/>
        <v>NAME_TREASURE</v>
      </c>
      <c r="C26" s="6" t="s">
        <v>1023</v>
      </c>
    </row>
    <row r="27" spans="1:4" x14ac:dyDescent="0.3">
      <c r="A27" s="6" t="s">
        <v>1056</v>
      </c>
      <c r="B27" s="17" t="str">
        <f t="shared" si="1"/>
        <v>NAME_TREASURE_PIECE</v>
      </c>
      <c r="C27" s="6" t="s">
        <v>1024</v>
      </c>
    </row>
    <row r="28" spans="1:4" x14ac:dyDescent="0.3">
      <c r="A28" s="6" t="s">
        <v>1057</v>
      </c>
      <c r="B28" s="17" t="str">
        <f t="shared" si="1"/>
        <v>NAME_TREASURE_PIECE_RANDOM_BOX</v>
      </c>
      <c r="C28" s="6" t="s">
        <v>1025</v>
      </c>
    </row>
    <row r="29" spans="1:4" x14ac:dyDescent="0.3">
      <c r="A29" s="6" t="s">
        <v>1058</v>
      </c>
      <c r="B29" s="17" t="str">
        <f t="shared" si="1"/>
        <v>NAME_NORMAL_GATCHA_TICKET</v>
      </c>
      <c r="C29" s="6" t="s">
        <v>1026</v>
      </c>
    </row>
    <row r="30" spans="1:4" x14ac:dyDescent="0.3">
      <c r="A30" s="6" t="s">
        <v>1059</v>
      </c>
      <c r="B30" s="17" t="str">
        <f t="shared" si="1"/>
        <v>NAME_RARE_GATCHA_TICKET</v>
      </c>
      <c r="C30" s="6" t="s">
        <v>1027</v>
      </c>
    </row>
    <row r="31" spans="1:4" x14ac:dyDescent="0.3">
      <c r="A31" s="6" t="s">
        <v>1015</v>
      </c>
      <c r="B31" s="17" t="str">
        <f t="shared" si="1"/>
        <v>NAME_TOURNAMENT_POINT</v>
      </c>
      <c r="C31" s="6" t="s">
        <v>1033</v>
      </c>
    </row>
    <row r="32" spans="1:4" x14ac:dyDescent="0.3">
      <c r="A32" s="6" t="s">
        <v>1016</v>
      </c>
      <c r="B32" s="17" t="str">
        <f t="shared" si="1"/>
        <v>NAME_TOURNAMENT_TICKET</v>
      </c>
      <c r="C32" s="6" t="s">
        <v>1034</v>
      </c>
    </row>
    <row r="33" spans="1:3" x14ac:dyDescent="0.3">
      <c r="A33" s="6" t="s">
        <v>1017</v>
      </c>
      <c r="B33" s="17" t="str">
        <f>"NAME_"&amp;UPPER(A33)</f>
        <v>NAME_RAID_POINT</v>
      </c>
      <c r="C33" s="6" t="s">
        <v>1035</v>
      </c>
    </row>
    <row r="34" spans="1:3" x14ac:dyDescent="0.3">
      <c r="A34" s="6" t="s">
        <v>1060</v>
      </c>
      <c r="B34" s="6" t="str">
        <f>"NAME_CLASS_SOUL_STONE_"&amp;UPPER(A34)</f>
        <v>NAME_CLASS_SOUL_STONE_COMMANDER</v>
      </c>
      <c r="C34" s="6" t="s">
        <v>1036</v>
      </c>
    </row>
    <row r="35" spans="1:3" x14ac:dyDescent="0.3">
      <c r="A35" s="6" t="s">
        <v>1061</v>
      </c>
      <c r="B35" s="6" t="str">
        <f t="shared" ref="B35:B39" si="2">"NAME_CLASS_SOUL_STONE_"&amp;UPPER(A35)</f>
        <v>NAME_CLASS_SOUL_STONE_CHAMPION</v>
      </c>
      <c r="C35" s="6" t="s">
        <v>1038</v>
      </c>
    </row>
    <row r="36" spans="1:3" x14ac:dyDescent="0.3">
      <c r="A36" s="6" t="s">
        <v>22</v>
      </c>
      <c r="B36" s="6" t="str">
        <f t="shared" si="2"/>
        <v>NAME_CLASS_SOUL_STONE_VANGUARD</v>
      </c>
      <c r="C36" s="6" t="s">
        <v>1037</v>
      </c>
    </row>
    <row r="37" spans="1:3" x14ac:dyDescent="0.3">
      <c r="A37" s="6" t="s">
        <v>1062</v>
      </c>
      <c r="B37" s="6" t="str">
        <f t="shared" si="2"/>
        <v>NAME_CLASS_SOUL_STONE_CHASER</v>
      </c>
      <c r="C37" s="6" t="s">
        <v>1039</v>
      </c>
    </row>
    <row r="38" spans="1:3" x14ac:dyDescent="0.3">
      <c r="A38" s="6" t="s">
        <v>1063</v>
      </c>
      <c r="B38" s="6" t="str">
        <f t="shared" si="2"/>
        <v>NAME_CLASS_SOUL_STONE_ARCHER</v>
      </c>
      <c r="C38" s="6" t="s">
        <v>1040</v>
      </c>
    </row>
    <row r="39" spans="1:3" x14ac:dyDescent="0.3">
      <c r="A39" s="6" t="s">
        <v>1064</v>
      </c>
      <c r="B39" s="6" t="str">
        <f t="shared" si="2"/>
        <v>NAME_CLASS_SOUL_STONE_STRATEGIST</v>
      </c>
      <c r="C39" s="6" t="s">
        <v>1041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13" sqref="B13:C1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13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6"/>
  <sheetViews>
    <sheetView workbookViewId="0">
      <selection activeCell="D18" sqref="D18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29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32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32" t="s">
        <v>2</v>
      </c>
      <c r="F2" s="37" t="s">
        <v>2</v>
      </c>
      <c r="G2" s="2" t="s">
        <v>2</v>
      </c>
    </row>
    <row r="3" spans="1:7" x14ac:dyDescent="0.3">
      <c r="A3" s="21"/>
      <c r="B3" s="49"/>
      <c r="C3" s="21"/>
      <c r="D3" s="20" t="s">
        <v>1068</v>
      </c>
      <c r="E3" s="69" t="s">
        <v>1070</v>
      </c>
      <c r="F3" s="43"/>
    </row>
    <row r="4" spans="1:7" x14ac:dyDescent="0.3">
      <c r="A4" s="21"/>
      <c r="B4" s="52"/>
      <c r="C4" s="21"/>
      <c r="D4" s="20" t="s">
        <v>1069</v>
      </c>
      <c r="E4" s="69" t="s">
        <v>1071</v>
      </c>
      <c r="F4" s="43"/>
    </row>
    <row r="5" spans="1:7" x14ac:dyDescent="0.3">
      <c r="A5" s="21"/>
      <c r="B5" s="52"/>
      <c r="C5" s="58" t="s">
        <v>1077</v>
      </c>
      <c r="D5" s="20" t="str">
        <f t="shared" ref="D5:D16" si="0">UPPER(C5)&amp;"_NAME"</f>
        <v>LOGIN_NAME</v>
      </c>
      <c r="E5" s="70" t="s">
        <v>1090</v>
      </c>
      <c r="F5" s="43"/>
    </row>
    <row r="6" spans="1:7" x14ac:dyDescent="0.3">
      <c r="A6" s="21"/>
      <c r="B6" s="52"/>
      <c r="C6" s="58" t="s">
        <v>1078</v>
      </c>
      <c r="D6" s="20" t="str">
        <f t="shared" si="0"/>
        <v>ENEMY_KILL_NAME</v>
      </c>
      <c r="E6" s="70" t="s">
        <v>862</v>
      </c>
      <c r="F6" s="43"/>
    </row>
    <row r="7" spans="1:7" x14ac:dyDescent="0.3">
      <c r="A7" s="21"/>
      <c r="B7" s="52"/>
      <c r="C7" s="58" t="s">
        <v>1079</v>
      </c>
      <c r="D7" s="20" t="str">
        <f t="shared" si="0"/>
        <v>TOURNAMENT_PLAY_NAME</v>
      </c>
      <c r="E7" s="70" t="s">
        <v>863</v>
      </c>
      <c r="F7" s="43"/>
    </row>
    <row r="8" spans="1:7" x14ac:dyDescent="0.3">
      <c r="A8" s="21"/>
      <c r="B8" s="52"/>
      <c r="C8" s="58" t="s">
        <v>1080</v>
      </c>
      <c r="D8" s="20" t="str">
        <f t="shared" si="0"/>
        <v>RAID_PLAY_NAME</v>
      </c>
      <c r="E8" s="70" t="s">
        <v>864</v>
      </c>
      <c r="F8" s="43"/>
    </row>
    <row r="9" spans="1:7" x14ac:dyDescent="0.3">
      <c r="A9" s="21"/>
      <c r="B9" s="52"/>
      <c r="C9" s="58" t="s">
        <v>1081</v>
      </c>
      <c r="D9" s="20" t="str">
        <f t="shared" si="0"/>
        <v>GACHA_PROCEED_NAME</v>
      </c>
      <c r="E9" s="70" t="s">
        <v>1091</v>
      </c>
      <c r="F9" s="43"/>
    </row>
    <row r="10" spans="1:7" x14ac:dyDescent="0.3">
      <c r="A10" s="21"/>
      <c r="B10" s="49"/>
      <c r="C10" s="58" t="s">
        <v>1082</v>
      </c>
      <c r="D10" s="20" t="str">
        <f t="shared" si="0"/>
        <v>RICE_CLAIM_NAME</v>
      </c>
      <c r="E10" s="70" t="s">
        <v>866</v>
      </c>
      <c r="F10" s="43"/>
    </row>
    <row r="11" spans="1:7" x14ac:dyDescent="0.3">
      <c r="A11" s="21"/>
      <c r="B11" s="49"/>
      <c r="C11" s="58" t="s">
        <v>1083</v>
      </c>
      <c r="D11" s="20" t="str">
        <f t="shared" si="0"/>
        <v>GOLE_CLAIM_NAME</v>
      </c>
      <c r="E11" s="70" t="s">
        <v>867</v>
      </c>
      <c r="F11" s="43"/>
    </row>
    <row r="12" spans="1:7" x14ac:dyDescent="0.3">
      <c r="A12" s="21"/>
      <c r="B12" s="49"/>
      <c r="C12" s="58" t="s">
        <v>1084</v>
      </c>
      <c r="D12" s="20" t="str">
        <f t="shared" si="0"/>
        <v>OFFICE_DISPATCH_NAME</v>
      </c>
      <c r="E12" s="70" t="s">
        <v>1092</v>
      </c>
      <c r="F12" s="43"/>
    </row>
    <row r="13" spans="1:7" x14ac:dyDescent="0.3">
      <c r="A13" s="21"/>
      <c r="B13" s="49"/>
      <c r="C13" s="58" t="s">
        <v>1085</v>
      </c>
      <c r="D13" s="20" t="str">
        <f t="shared" si="0"/>
        <v>DAILY_DUNGEON_PLAY_NAME</v>
      </c>
      <c r="E13" s="70" t="s">
        <v>1093</v>
      </c>
      <c r="F13" s="43"/>
    </row>
    <row r="14" spans="1:7" x14ac:dyDescent="0.3">
      <c r="A14" s="21"/>
      <c r="B14" s="49"/>
      <c r="C14" s="58" t="s">
        <v>1086</v>
      </c>
      <c r="D14" s="20" t="str">
        <f t="shared" si="0"/>
        <v>STAGE_BOSS_KILL_NAME</v>
      </c>
      <c r="E14" s="70" t="s">
        <v>1094</v>
      </c>
      <c r="F14" s="43"/>
    </row>
    <row r="15" spans="1:7" x14ac:dyDescent="0.3">
      <c r="A15" s="21"/>
      <c r="B15" s="49"/>
      <c r="C15" s="58" t="s">
        <v>1087</v>
      </c>
      <c r="D15" s="20" t="str">
        <f t="shared" si="0"/>
        <v>ADS_WATCH_NAME</v>
      </c>
      <c r="E15" s="70" t="s">
        <v>1095</v>
      </c>
      <c r="F15" s="43"/>
    </row>
    <row r="16" spans="1:7" x14ac:dyDescent="0.3">
      <c r="A16" s="21"/>
      <c r="B16" s="49"/>
      <c r="C16" s="58" t="s">
        <v>1088</v>
      </c>
      <c r="D16" s="20" t="str">
        <f t="shared" si="0"/>
        <v>ITEM_BUY_NAME</v>
      </c>
      <c r="E16" s="70" t="s">
        <v>1096</v>
      </c>
      <c r="F16" s="43"/>
    </row>
    <row r="17" spans="1:6" x14ac:dyDescent="0.3">
      <c r="A17" s="21"/>
      <c r="B17" s="49"/>
      <c r="C17" s="58" t="s">
        <v>1089</v>
      </c>
      <c r="D17" s="20" t="str">
        <f>UPPER(C17)&amp;"_NAME"</f>
        <v>ITEM_USE_NAME</v>
      </c>
      <c r="E17" s="70" t="s">
        <v>1097</v>
      </c>
      <c r="F17" s="43"/>
    </row>
    <row r="18" spans="1:6" x14ac:dyDescent="0.3">
      <c r="A18" s="21"/>
      <c r="B18" s="49"/>
      <c r="C18" s="27"/>
      <c r="D18" s="20" t="s">
        <v>1098</v>
      </c>
      <c r="E18" s="70" t="s">
        <v>1099</v>
      </c>
      <c r="F18" s="43"/>
    </row>
    <row r="19" spans="1:6" x14ac:dyDescent="0.3">
      <c r="A19" s="21"/>
      <c r="B19" s="49"/>
      <c r="C19" s="19"/>
      <c r="D19" s="20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71"/>
      <c r="F40" s="43"/>
    </row>
    <row r="41" spans="1:6" x14ac:dyDescent="0.3">
      <c r="A41" s="21"/>
      <c r="B41" s="49"/>
      <c r="C41" s="19"/>
      <c r="D41" s="41"/>
      <c r="E41" s="71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71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72"/>
      <c r="F95" s="43"/>
    </row>
    <row r="96" spans="1:6" x14ac:dyDescent="0.2">
      <c r="A96" s="21"/>
      <c r="B96" s="25"/>
      <c r="C96" s="26"/>
      <c r="D96" s="41"/>
      <c r="E96" s="72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2026-09-08T10:19:45Z</dcterms:modified>
</cp:coreProperties>
</file>