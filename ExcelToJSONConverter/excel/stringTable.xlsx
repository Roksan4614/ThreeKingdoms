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D675CCC6-4083-43EC-B01B-F4669319F0F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7" l="1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<sst xmlns="http://schemas.openxmlformats.org/spreadsheetml/2006/main" count="427" uniqueCount="370">
  <si>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</si>
  <si>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</si>
  <si>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</si>
  <si>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</si>
  <si>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</si>
  <si>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</si>
  <si>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</si>
  <si>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</si>
  <si>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</si>
  <si>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</si>
  <si>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</si>
  <si>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</si>
  <si>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</si>
  <si>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</si>
  <si>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</si>
  <si>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</si>
  <si>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</si>
  <si>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</si>
  <si>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</si>
  <si>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</si>
  <si>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</si>
  <si>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</si>
  <si>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</si>
  <si>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</si>
  <si>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</si>
  <si>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</si>
  <si>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</si>
  <si>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</si>
  <si>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</si>
  <si>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</si>
  <si>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</si>
  <si>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</si>
  <si>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</si>
  <si>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</si>
  <si>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</si>
  <si>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</si>
  <si>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</si>
  <si>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</si>
  <si>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</si>
  <si>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</si>
  <si>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</si>
  <si>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</si>
  <si>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</si>
  <si>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</si>
  <si>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</si>
  <si>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</si>
  <si>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</si>
  <si>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</si>
  <si>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</si>
  <si>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</si>
  <si>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</si>
  <si>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</si>
  <si>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</si>
  <si>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</si>
  <si>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</si>
  <si>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</si>
  <si>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</si>
  <si>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</si>
  <si>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</si>
  <si>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</si>
  <si>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</si>
  <si>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</si>
  <si>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</si>
  <si>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</si>
  <si>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</si>
  <si>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</si>
  <si>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</si>
  <si>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</si>
  <si>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</si>
  <si>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</si>
  <si>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</si>
  <si>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</si>
  <si>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</si>
  <si>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</si>
  <si>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</si>
  <si>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</si>
  <si>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</si>
  <si>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</si>
  <si>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</si>
  <si>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</si>
  <si>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</si>
  <si>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</si>
  <si>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</si>
  <si>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</si>
  <si>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</si>
  <si>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</si>
  <si>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</si>
  <si>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</si>
  <si>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</si>
  <si>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</si>
  <si>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</si>
  <si>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</si>
  <si>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</si>
  <si>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</si>
  <si>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</si>
  <si>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</si>
  <si>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</si>
  <si>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</si>
  <si>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</si>
  <si>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</si>
  <si>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</si>
  <si>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</si>
  <si>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</si>
  <si>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</si>
  <si>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</si>
  <si>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</si>
  <si>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</si>
  <si>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</si>
  <si>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</si>
  <si>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</si>
  <si>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</si>
  <si>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</si>
  <si>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</si>
  <si>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</si>
  <si>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</si>
  <si>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</si>
  <si>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</si>
  <si>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</si>
  <si>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</si>
  <si>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</si>
  <si>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</si>
  <si>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</si>
  <si>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</si>
  <si>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</si>
  <si>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</si>
  <si>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</si>
  <si>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</si>
  <si>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</si>
  <si>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</si>
  <si>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</si>
  <si>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</si>
  <si>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</si>
  <si>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</si>
  <si>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</si>
  <si>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</si>
  <si>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</si>
  <si>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</si>
  <si>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</si>
  <si>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</si>
  <si>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</si>
  <si>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</si>
  <si>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</si>
  <si>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</si>
  <si>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</si>
  <si>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</si>
  <si>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</si>
  <si>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</si>
  <si>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</si>
  <si>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</si>
  <si>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</si>
  <si>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</si>
  <si>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</si>
  <si>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</si>
  <si>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</si>
  <si>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</si>
  <si>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</si>
  <si>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</si>
  <si>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</si>
  <si>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</si>
  <si>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</si>
  <si>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</si>
  <si>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</si>
  <si>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</si>
  <si>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</si>
  <si>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</si>
  <si>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</si>
  <si>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</si>
  <si>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</si>
  <si>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</si>
  <si>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</si>
  <si>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</si>
  <si>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</si>
  <si>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</si>
  <si>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</si>
  <si>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</si>
  <si>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</si>
  <si>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</si>
  <si>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</si>
  <si>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</si>
  <si>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</si>
  <si>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</si>
  <si>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</si>
  <si>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</si>
  <si>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</si>
  <si>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</si>
  <si>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</si>
  <si>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</si>
  <si>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</si>
  <si>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</si>
  <si>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</si>
  <si>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</si>
  <si>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</si>
  <si>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</si>
  <si>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</si>
  <si>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</si>
  <si>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</si>
  <si>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</si>
  <si>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</si>
  <si>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</si>
  <si>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</si>
  <si>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</si>
  <si>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</si>
  <si>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</si>
  <si>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</si>
  <si>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</si>
  <si>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</si>
  <si>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</si>
  <si>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</si>
  <si>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</si>
  <si>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</si>
  <si>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</si>
  <si>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</si>
  <si>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</si>
  <si>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</si>
  <si>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</si>
  <si>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</si>
  <si>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</si>
  <si>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</si>
  <si>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</si>
  <si>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</si>
  <si>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</si>
  <si>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</si>
  <si>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</si>
  <si>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</si>
  <si>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</si>
  <si>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</si>
  <si>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</si>
  <si>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</si>
  <si>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</si>
  <si>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</si>
  <si>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</si>
  <si>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</si>
  <si>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</si>
  <si>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</si>
  <si>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</si>
  <si>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</si>
  <si>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</si>
  <si>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</si>
  <si>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</si>
  <si>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</si>
  <si>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</si>
  <si>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</si>
  <si>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</si>
  <si>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</si>
  <si>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</si>
  <si>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</si>
  <si>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</si>
  <si>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</si>
  <si>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</si>
  <si>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</si>
  <si>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</si>
  <si>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</si>
  <si>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</si>
  <si>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</si>
  <si>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</si>
  <si>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</si>
  <si>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</si>
  <si>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</si>
  <si>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</si>
  <si>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</si>
  <si>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</si>
  <si>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</si>
  <si>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</si>
  <si>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</si>
  <si>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</si>
  <si>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</si>
  <si>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</si>
  <si>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</si>
  <si>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</si>
  <si>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</si>
  <si>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</si>
  <si>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</si>
  <si>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</si>
  <si>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</si>
  <si>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</si>
  <si>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</si>
  <si>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</si>
  <si>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</si>
  <si>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</si>
  <si>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</si>
  <si>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</si>
  <si>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</si>
  <si>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</si>
  <si>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</si>
  <si>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</si>
  <si>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</si>
  <si>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</si>
  <si>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</si>
  <si>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</si>
  <si>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</si>
  <si>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</si>
  <si>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</si>
  <si>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</si>
  <si>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</si>
  <si>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</si>
  <si>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</si>
  <si>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</si>
  <si>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</si>
  <si>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</si>
  <si>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</si>
  <si>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</si>
  <si>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</si>
  <si>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</si>
  <si>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</si>
  <si>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</si>
  <si>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</si>
  <si>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</si>
  <si>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</si>
  <si>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</si>
  <si>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</si>
  <si>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NAME_ETC_LUBU</t>
    <phoneticPr fontId="1" type="noConversion"/>
  </si>
  <si>
    <t>여포</t>
    <phoneticPr fontId="1" type="noConversion"/>
  </si>
  <si>
    <t>LuBu</t>
    <phoneticPr fontId="1" type="noConversion"/>
  </si>
  <si>
    <t>COURTESY_ETC_LUBU</t>
    <phoneticPr fontId="1" type="noConversion"/>
  </si>
  <si>
    <t>DESC_TALK_ETC_LUBU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</si>
  <si>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</si>
  <si>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</si>
  <si>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</si>
  <si>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</si>
  <si>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</si>
  <si>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</si>
  <si>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</si>
  <si>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</si>
  <si>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</si>
  <si>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</si>
  <si>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NAME_HISTORICAL_QINSHIHUANG</t>
    <phoneticPr fontId="1" type="noConversion"/>
  </si>
  <si>
    <t>진시황</t>
    <phoneticPr fontId="1" type="noConversion"/>
  </si>
  <si>
    <t>NAME_HISTORICAL_LIANPO</t>
    <phoneticPr fontId="1" type="noConversion"/>
  </si>
  <si>
    <t>NAME_HISTORICAL_XIANGYU</t>
    <phoneticPr fontId="1" type="noConversion"/>
  </si>
  <si>
    <t>NAME_HISTORICAL_YUEYI</t>
    <phoneticPr fontId="1" type="noConversion"/>
  </si>
  <si>
    <t>NAME_HISTORICAL_YANGYOUJI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</si>
  <si>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</si>
  <si>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</si>
  <si>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</si>
  <si>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</si>
  <si>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</si>
  <si>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NAME_HISTORICAL_QINSHIHUANG_DESC</t>
    <phoneticPr fontId="1" type="noConversion"/>
  </si>
  <si>
    <t>NAME_HISTORICAL_LIANPO_DESC</t>
    <phoneticPr fontId="1" type="noConversion"/>
  </si>
  <si>
    <t>NAME_HISTORICAL_XIANGYU_DESC</t>
    <phoneticPr fontId="1" type="noConversion"/>
  </si>
  <si>
    <t>NAME_HISTORICAL_YUEYI_DESC</t>
    <phoneticPr fontId="1" type="noConversion"/>
  </si>
  <si>
    <t>NAME_HISTORICAL_YANGYOUJI_DESC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</si>
  <si>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</si>
  <si>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</si>
  <si>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</si>
  <si>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</si>
  <si>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</si>
  <si>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</si>
  <si>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</si>
  <si>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</si>
  <si>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</si>
  <si>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</si>
  <si>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</si>
  <si>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</si>
  <si>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</si>
  <si>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</si>
  <si>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</si>
  <si>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</si>
  <si>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</si>
  <si>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</si>
  <si>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</si>
  <si>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</si>
  <si>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</si>
  <si>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</si>
  <si>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</si>
  <si>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</si>
  <si>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</si>
  <si>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</si>
  <si>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</si>
  <si>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NAME_HISTORICAL_JIANGSHANG_DESC</t>
    <phoneticPr fontId="1" type="noConversion"/>
  </si>
  <si>
    <t>NAME_HISTORICAL_JIANGSHANG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</si>
</sst>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A9" t="str">
            <v>여포</v>
          </cell>
          <cell r="B9" t="str">
            <v>LuBu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topLeftCell="A20" workbookViewId="0">
      <selection activeCell="A44" sqref="A44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130</v>
      </c>
      <c r="B5" t="s">
        <v>126</v>
      </c>
    </row>
    <row r="6" spans="1:3" x14ac:dyDescent="0.3">
      <c r="A6" t="s">
        <v>204</v>
      </c>
      <c r="B6" t="s">
        <v>127</v>
      </c>
    </row>
    <row r="7" spans="1:3" x14ac:dyDescent="0.3">
      <c r="A7" t="s">
        <v>205</v>
      </c>
      <c r="B7" t="s">
        <v>128</v>
      </c>
    </row>
    <row r="8" spans="1:3" x14ac:dyDescent="0.3">
      <c r="A8" t="s">
        <v>203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136</v>
      </c>
      <c r="B14" t="s">
        <v>137</v>
      </c>
    </row>
    <row r="15" spans="1:3" x14ac:dyDescent="0.3">
      <c r="A15" t="s">
        <v>138</v>
      </c>
      <c r="B15" s="3" t="s">
        <v>147</v>
      </c>
    </row>
    <row r="16" spans="1:3" x14ac:dyDescent="0.3">
      <c r="A16" t="s">
        <v>139</v>
      </c>
      <c r="B16" s="3" t="s">
        <v>148</v>
      </c>
    </row>
    <row r="17" spans="1:2" x14ac:dyDescent="0.3">
      <c r="A17" t="s">
        <v>140</v>
      </c>
      <c r="B17" s="3" t="s">
        <v>149</v>
      </c>
    </row>
    <row r="18" spans="1:2" x14ac:dyDescent="0.3">
      <c r="A18" t="s">
        <v>141</v>
      </c>
      <c r="B18" s="3" t="s">
        <v>150</v>
      </c>
    </row>
    <row r="19" spans="1:2" x14ac:dyDescent="0.3">
      <c r="A19" t="s">
        <v>142</v>
      </c>
      <c r="B19" s="3" t="s">
        <v>151</v>
      </c>
    </row>
    <row r="20" spans="1:2" x14ac:dyDescent="0.3">
      <c r="A20" t="s">
        <v>143</v>
      </c>
      <c r="B20" s="3" t="s">
        <v>152</v>
      </c>
    </row>
    <row r="21" spans="1:2" x14ac:dyDescent="0.3">
      <c r="A21" t="s">
        <v>144</v>
      </c>
      <c r="B21" s="3" t="s">
        <v>153</v>
      </c>
    </row>
    <row r="22" spans="1:2" x14ac:dyDescent="0.3">
      <c r="A22" t="s">
        <v>145</v>
      </c>
      <c r="B22" s="3" t="s">
        <v>154</v>
      </c>
    </row>
    <row r="23" spans="1:2" x14ac:dyDescent="0.3">
      <c r="A23" t="s">
        <v>146</v>
      </c>
      <c r="B23" s="3" t="s">
        <v>155</v>
      </c>
    </row>
    <row r="24" spans="1:2" x14ac:dyDescent="0.3">
      <c r="A24" t="s">
        <v>156</v>
      </c>
      <c r="B24" s="3" t="s">
        <v>160</v>
      </c>
    </row>
    <row r="25" spans="1:2" x14ac:dyDescent="0.3">
      <c r="A25" t="s">
        <v>157</v>
      </c>
      <c r="B25" s="3" t="s">
        <v>161</v>
      </c>
    </row>
    <row r="26" spans="1:2" x14ac:dyDescent="0.3">
      <c r="A26" t="s">
        <v>165</v>
      </c>
      <c r="B26" s="3" t="s">
        <v>162</v>
      </c>
    </row>
    <row r="27" spans="1:2" x14ac:dyDescent="0.3">
      <c r="A27" t="s">
        <v>158</v>
      </c>
      <c r="B27" s="3" t="s">
        <v>163</v>
      </c>
    </row>
    <row r="28" spans="1:2" x14ac:dyDescent="0.3">
      <c r="A28" t="s">
        <v>159</v>
      </c>
      <c r="B28" s="3" t="s">
        <v>164</v>
      </c>
    </row>
    <row r="29" spans="1:2" x14ac:dyDescent="0.3">
      <c r="A29" t="s">
        <v>166</v>
      </c>
      <c r="B29" s="3" t="s">
        <v>177</v>
      </c>
    </row>
    <row r="30" spans="1:2" x14ac:dyDescent="0.3">
      <c r="A30" t="s">
        <v>167</v>
      </c>
      <c r="B30" s="3" t="s">
        <v>176</v>
      </c>
    </row>
    <row r="31" spans="1:2" x14ac:dyDescent="0.3">
      <c r="A31" t="s">
        <v>168</v>
      </c>
      <c r="B31" s="3" t="s">
        <v>175</v>
      </c>
    </row>
    <row r="32" spans="1:2" x14ac:dyDescent="0.3">
      <c r="A32" t="s">
        <v>169</v>
      </c>
      <c r="B32" t="s">
        <v>174</v>
      </c>
    </row>
    <row r="33" spans="1:3" x14ac:dyDescent="0.3">
      <c r="A33" t="s">
        <v>170</v>
      </c>
      <c r="B33" t="s">
        <v>173</v>
      </c>
    </row>
    <row r="34" spans="1:3" x14ac:dyDescent="0.3">
      <c r="A34" t="s">
        <v>171</v>
      </c>
      <c r="B34" t="s">
        <v>172</v>
      </c>
    </row>
    <row r="35" spans="1:3" x14ac:dyDescent="0.3">
      <c r="A35" t="s">
        <v>320</v>
      </c>
      <c r="B35" t="s">
        <v>316</v>
      </c>
    </row>
    <row r="36" spans="1:3" x14ac:dyDescent="0.3">
      <c r="A36" t="s">
        <v>321</v>
      </c>
      <c r="B36" t="s">
        <v>317</v>
      </c>
    </row>
    <row r="37" spans="1:3" x14ac:dyDescent="0.3">
      <c r="A37" t="s">
        <v>322</v>
      </c>
      <c r="B37" t="s">
        <v>318</v>
      </c>
    </row>
    <row r="38" spans="1:3" x14ac:dyDescent="0.3">
      <c r="A38" t="s">
        <v>323</v>
      </c>
      <c r="B38" t="s">
        <v>319</v>
      </c>
    </row>
    <row r="39" spans="1:3" x14ac:dyDescent="0.3">
      <c r="A39" t="s">
        <v>214</v>
      </c>
      <c r="B39" t="s">
        <v>211</v>
      </c>
    </row>
    <row r="40" spans="1:3" x14ac:dyDescent="0.3">
      <c r="A40" t="s">
        <v>216</v>
      </c>
      <c r="B40" t="s">
        <v>212</v>
      </c>
    </row>
    <row r="41" spans="1:3" x14ac:dyDescent="0.3">
      <c r="A41" t="s">
        <v>215</v>
      </c>
      <c r="B41" t="s">
        <v>213</v>
      </c>
    </row>
    <row r="42" spans="1:3" x14ac:dyDescent="0.3">
      <c r="A42" t="s">
        <v>217</v>
      </c>
      <c r="B42" t="s">
        <v>218</v>
      </c>
    </row>
    <row r="43" spans="1:3" x14ac:dyDescent="0.3">
      <c r="A43" t="s">
        <v>348</v>
      </c>
      <c r="B43" t="s">
        <v>347</v>
      </c>
      <c r="C43" t="s">
        <v>361</v>
      </c>
    </row>
    <row r="44" spans="1:3" x14ac:dyDescent="0.3">
      <c r="A44" t="s">
        <v>349</v>
      </c>
      <c r="B44" t="s">
        <v>355</v>
      </c>
      <c r="C44" t="s">
        <v>362</v>
      </c>
    </row>
    <row r="45" spans="1:3" x14ac:dyDescent="0.3">
      <c r="A45" t="s">
        <v>350</v>
      </c>
      <c r="B45" t="s">
        <v>356</v>
      </c>
      <c r="C45" t="s">
        <v>363</v>
      </c>
    </row>
    <row r="46" spans="1:3" x14ac:dyDescent="0.3">
      <c r="A46" t="s">
        <v>351</v>
      </c>
      <c r="B46" t="s">
        <v>357</v>
      </c>
      <c r="C46" t="s">
        <v>364</v>
      </c>
    </row>
    <row r="47" spans="1:3" x14ac:dyDescent="0.3">
      <c r="A47" t="s">
        <v>352</v>
      </c>
      <c r="B47" t="s">
        <v>358</v>
      </c>
      <c r="C47" t="s">
        <v>365</v>
      </c>
    </row>
    <row r="48" spans="1:3" x14ac:dyDescent="0.3">
      <c r="A48" t="s">
        <v>353</v>
      </c>
      <c r="B48" t="s">
        <v>359</v>
      </c>
      <c r="C48" t="s">
        <v>366</v>
      </c>
    </row>
    <row r="49" spans="1:3" x14ac:dyDescent="0.3">
      <c r="A49" t="s">
        <v>354</v>
      </c>
      <c r="B49" t="s">
        <v>360</v>
      </c>
      <c r="C49" t="s">
        <v>367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C23" sqref="C2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179</v>
      </c>
      <c r="B3" s="17" t="str">
        <f>UPPER(A3)&amp;"_TITLE"</f>
        <v>MILITARY_TRAINING_TITLE</v>
      </c>
      <c r="C3" s="16" t="s">
        <v>189</v>
      </c>
      <c r="D3" s="18"/>
    </row>
    <row r="4" spans="1:4" x14ac:dyDescent="0.3">
      <c r="A4" s="16" t="s">
        <v>180</v>
      </c>
      <c r="B4" s="17" t="str">
        <f t="shared" ref="B4:B12" si="0">UPPER(A4)&amp;"_TITLE"</f>
        <v>RALLY_REMNANTS_TITLE</v>
      </c>
      <c r="C4" s="16" t="s">
        <v>190</v>
      </c>
      <c r="D4" s="18"/>
    </row>
    <row r="5" spans="1:4" x14ac:dyDescent="0.3">
      <c r="A5" s="16" t="s">
        <v>181</v>
      </c>
      <c r="B5" s="17" t="str">
        <f t="shared" si="0"/>
        <v>BANDIT_SUBJUGATION_TITLE</v>
      </c>
      <c r="C5" s="16" t="s">
        <v>191</v>
      </c>
      <c r="D5" s="18"/>
    </row>
    <row r="6" spans="1:4" x14ac:dyDescent="0.3">
      <c r="A6" s="16" t="s">
        <v>182</v>
      </c>
      <c r="B6" s="17" t="str">
        <f t="shared" si="0"/>
        <v>BORDER_DEFENSE_TITLE</v>
      </c>
      <c r="C6" s="16" t="s">
        <v>192</v>
      </c>
      <c r="D6" s="18"/>
    </row>
    <row r="7" spans="1:4" x14ac:dyDescent="0.3">
      <c r="A7" s="16" t="s">
        <v>183</v>
      </c>
      <c r="B7" s="17" t="str">
        <f t="shared" si="0"/>
        <v>TAX_REFORM_TITLE</v>
      </c>
      <c r="C7" s="16" t="s">
        <v>193</v>
      </c>
      <c r="D7" s="18"/>
    </row>
    <row r="8" spans="1:4" x14ac:dyDescent="0.3">
      <c r="A8" s="16" t="s">
        <v>184</v>
      </c>
      <c r="B8" s="17" t="str">
        <f t="shared" si="0"/>
        <v>FOREIGN_DIPLOMACY_TITLE</v>
      </c>
      <c r="C8" s="16" t="s">
        <v>194</v>
      </c>
      <c r="D8" s="18"/>
    </row>
    <row r="9" spans="1:4" x14ac:dyDescent="0.3">
      <c r="A9" s="16" t="s">
        <v>185</v>
      </c>
      <c r="B9" s="17" t="str">
        <f t="shared" si="0"/>
        <v>ENEMY_INTELLIGENCE_TITLE</v>
      </c>
      <c r="C9" s="16" t="s">
        <v>195</v>
      </c>
      <c r="D9" s="18"/>
    </row>
    <row r="10" spans="1:4" x14ac:dyDescent="0.3">
      <c r="A10" s="16" t="s">
        <v>186</v>
      </c>
      <c r="B10" s="17" t="str">
        <f t="shared" si="0"/>
        <v>TACTICS_RESEARCH_TITLE</v>
      </c>
      <c r="C10" s="16" t="s">
        <v>196</v>
      </c>
      <c r="D10" s="18"/>
    </row>
    <row r="11" spans="1:4" x14ac:dyDescent="0.3">
      <c r="A11" s="16" t="s">
        <v>187</v>
      </c>
      <c r="B11" s="17" t="str">
        <f t="shared" si="0"/>
        <v>REFUGEE_PERSUASION_TITLE</v>
      </c>
      <c r="C11" s="16" t="s">
        <v>197</v>
      </c>
      <c r="D11" s="18"/>
    </row>
    <row r="12" spans="1:4" x14ac:dyDescent="0.3">
      <c r="A12" s="16" t="s">
        <v>188</v>
      </c>
      <c r="B12" s="17" t="str">
        <f t="shared" si="0"/>
        <v>RECRUIT_TALENT_TITLE</v>
      </c>
      <c r="C12" s="16" t="s">
        <v>198</v>
      </c>
      <c r="D12" s="18"/>
    </row>
    <row r="13" spans="1:4" x14ac:dyDescent="0.3">
      <c r="A13" s="17"/>
      <c r="B13" s="17" t="s">
        <v>206</v>
      </c>
      <c r="C13" s="17" t="s">
        <v>94</v>
      </c>
      <c r="D13" s="18"/>
    </row>
    <row r="14" spans="1:4" x14ac:dyDescent="0.3">
      <c r="A14" s="17"/>
      <c r="B14" s="17" t="s">
        <v>207</v>
      </c>
      <c r="C14" s="17" t="s">
        <v>199</v>
      </c>
      <c r="D14" s="18"/>
    </row>
    <row r="15" spans="1:4" x14ac:dyDescent="0.3">
      <c r="A15" s="17"/>
      <c r="B15" s="17" t="s">
        <v>208</v>
      </c>
      <c r="C15" s="17" t="s">
        <v>200</v>
      </c>
      <c r="D15" s="18"/>
    </row>
    <row r="16" spans="1:4" x14ac:dyDescent="0.3">
      <c r="A16" s="17"/>
      <c r="B16" s="17" t="s">
        <v>209</v>
      </c>
      <c r="C16" s="17" t="s">
        <v>201</v>
      </c>
      <c r="D16" s="18"/>
    </row>
    <row r="17" spans="1:4" x14ac:dyDescent="0.3">
      <c r="A17" s="17"/>
      <c r="B17" s="17" t="s">
        <v>210</v>
      </c>
      <c r="C17" s="17" t="s">
        <v>202</v>
      </c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tabSelected="1" topLeftCell="A19" workbookViewId="0">
      <selection activeCell="A41" sqref="A41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29</v>
      </c>
      <c r="B3" s="3" t="s">
        <v>27</v>
      </c>
      <c r="C3" s="3" t="s">
        <v>24</v>
      </c>
    </row>
    <row r="4" spans="1:4" x14ac:dyDescent="0.3">
      <c r="A4" t="s">
        <v>135</v>
      </c>
      <c r="B4" s="3" t="s">
        <v>18</v>
      </c>
      <c r="C4" s="3" t="s">
        <v>19</v>
      </c>
    </row>
    <row r="5" spans="1:4" x14ac:dyDescent="0.3">
      <c r="A5" t="s">
        <v>134</v>
      </c>
      <c r="B5" s="3" t="s">
        <v>28</v>
      </c>
      <c r="C5" s="3" t="s">
        <v>23</v>
      </c>
    </row>
    <row r="6" spans="1:4" x14ac:dyDescent="0.3">
      <c r="A6" t="s">
        <v>15</v>
      </c>
      <c r="B6" s="3" t="s">
        <v>16</v>
      </c>
      <c r="C6" s="3" t="s">
        <v>17</v>
      </c>
    </row>
    <row r="7" spans="1:4" x14ac:dyDescent="0.3">
      <c r="A7" t="s">
        <v>30</v>
      </c>
      <c r="B7" s="3" t="s">
        <v>26</v>
      </c>
      <c r="C7" s="3" t="s">
        <v>25</v>
      </c>
    </row>
    <row r="8" spans="1:4" x14ac:dyDescent="0.3">
      <c r="A8" t="s">
        <v>20</v>
      </c>
      <c r="B8" s="3" t="s">
        <v>21</v>
      </c>
      <c r="C8" s="3" t="s">
        <v>22</v>
      </c>
    </row>
    <row r="9" spans="1:4" x14ac:dyDescent="0.3">
      <c r="A9" t="s">
        <v>313</v>
      </c>
      <c r="B9" s="3" t="s">
        <v>315</v>
      </c>
    </row>
    <row r="10" spans="1:4" x14ac:dyDescent="0.3">
      <c r="A10" t="s">
        <v>42</v>
      </c>
      <c r="B10" s="3" t="s">
        <v>32</v>
      </c>
    </row>
    <row r="11" spans="1:4" x14ac:dyDescent="0.3">
      <c r="A11" t="s">
        <v>41</v>
      </c>
      <c r="B11" s="3" t="s">
        <v>31</v>
      </c>
    </row>
    <row r="12" spans="1:4" x14ac:dyDescent="0.3">
      <c r="A12" t="s">
        <v>43</v>
      </c>
      <c r="B12" s="3" t="s">
        <v>33</v>
      </c>
    </row>
    <row r="13" spans="1:4" x14ac:dyDescent="0.3">
      <c r="A13" t="s">
        <v>44</v>
      </c>
      <c r="B13" s="3" t="s">
        <v>34</v>
      </c>
    </row>
    <row r="14" spans="1:4" x14ac:dyDescent="0.3">
      <c r="A14" t="s">
        <v>45</v>
      </c>
      <c r="B14" s="3" t="s">
        <v>35</v>
      </c>
    </row>
    <row r="15" spans="1:4" ht="33" x14ac:dyDescent="0.3">
      <c r="A15" t="s">
        <v>314</v>
      </c>
      <c r="B15" s="3" t="s">
        <v>324</v>
      </c>
    </row>
    <row r="16" spans="1:4" ht="33" x14ac:dyDescent="0.3">
      <c r="A16" t="s">
        <v>48</v>
      </c>
      <c r="B16" s="3" t="s">
        <v>50</v>
      </c>
    </row>
    <row r="17" spans="1:3" ht="33" x14ac:dyDescent="0.3">
      <c r="A17" t="s">
        <v>46</v>
      </c>
      <c r="B17" s="3" t="s">
        <v>47</v>
      </c>
    </row>
    <row r="18" spans="1:3" ht="33" x14ac:dyDescent="0.3">
      <c r="A18" t="s">
        <v>51</v>
      </c>
      <c r="B18" s="3" t="s">
        <v>49</v>
      </c>
    </row>
    <row r="19" spans="1:3" ht="33" x14ac:dyDescent="0.3">
      <c r="A19" t="s">
        <v>52</v>
      </c>
      <c r="B19" s="3" t="s">
        <v>104</v>
      </c>
    </row>
    <row r="20" spans="1:3" ht="33" x14ac:dyDescent="0.3">
      <c r="A20" t="s">
        <v>53</v>
      </c>
      <c r="B20" s="3" t="s">
        <v>103</v>
      </c>
    </row>
    <row r="21" spans="1:3" x14ac:dyDescent="0.3">
      <c r="A21" t="s">
        <v>310</v>
      </c>
      <c r="B21" s="3" t="s">
        <v>311</v>
      </c>
      <c r="C21" s="3" t="s">
        <v>312</v>
      </c>
    </row>
    <row r="22" spans="1:3" x14ac:dyDescent="0.3">
      <c r="A22" t="s">
        <v>37</v>
      </c>
      <c r="B22" s="3" t="s">
        <v>7</v>
      </c>
      <c r="C22" s="3" t="s">
        <v>8</v>
      </c>
    </row>
    <row r="23" spans="1:3" x14ac:dyDescent="0.3">
      <c r="A23" t="s">
        <v>36</v>
      </c>
      <c r="B23" s="3" t="s">
        <v>5</v>
      </c>
      <c r="C23" s="3" t="s">
        <v>6</v>
      </c>
    </row>
    <row r="24" spans="1:3" x14ac:dyDescent="0.3">
      <c r="A24" t="s">
        <v>38</v>
      </c>
      <c r="B24" s="3" t="s">
        <v>9</v>
      </c>
      <c r="C24" s="3" t="s">
        <v>10</v>
      </c>
    </row>
    <row r="25" spans="1:3" x14ac:dyDescent="0.3">
      <c r="A25" t="s">
        <v>39</v>
      </c>
      <c r="B25" s="3" t="s">
        <v>11</v>
      </c>
      <c r="C25" s="3" t="s">
        <v>13</v>
      </c>
    </row>
    <row r="26" spans="1:3" x14ac:dyDescent="0.3">
      <c r="A26" t="s">
        <v>40</v>
      </c>
      <c r="B26" s="3" t="s">
        <v>12</v>
      </c>
      <c r="C26" s="3" t="s">
        <v>14</v>
      </c>
    </row>
    <row r="27" spans="1:3" x14ac:dyDescent="0.3">
      <c r="A27" t="s">
        <v>66</v>
      </c>
      <c r="B27" s="3" t="s">
        <v>67</v>
      </c>
      <c r="C27" s="3" t="s">
        <v>68</v>
      </c>
    </row>
    <row r="28" spans="1:3" x14ac:dyDescent="0.3">
      <c r="A28" t="s">
        <v>69</v>
      </c>
      <c r="B28" s="3" t="s">
        <v>70</v>
      </c>
      <c r="C28" s="3" t="s">
        <v>71</v>
      </c>
    </row>
    <row r="29" spans="1:3" x14ac:dyDescent="0.3">
      <c r="A29" t="s">
        <v>54</v>
      </c>
      <c r="B29" t="s">
        <v>55</v>
      </c>
    </row>
    <row r="30" spans="1:3" x14ac:dyDescent="0.3">
      <c r="A30" t="s">
        <v>56</v>
      </c>
      <c r="B30" t="s">
        <v>57</v>
      </c>
    </row>
    <row r="31" spans="1:3" x14ac:dyDescent="0.3">
      <c r="A31" t="s">
        <v>59</v>
      </c>
      <c r="B31" t="s">
        <v>65</v>
      </c>
    </row>
    <row r="32" spans="1:3" x14ac:dyDescent="0.3">
      <c r="A32" t="s">
        <v>61</v>
      </c>
      <c r="B32" t="s">
        <v>64</v>
      </c>
    </row>
    <row r="33" spans="1:2" x14ac:dyDescent="0.3">
      <c r="A33" t="s">
        <v>58</v>
      </c>
      <c r="B33" t="s">
        <v>62</v>
      </c>
    </row>
    <row r="34" spans="1:2" x14ac:dyDescent="0.3">
      <c r="A34" t="s">
        <v>60</v>
      </c>
      <c r="B34" t="s">
        <v>63</v>
      </c>
    </row>
    <row r="35" spans="1:2" x14ac:dyDescent="0.3">
      <c r="A35" t="s">
        <v>325</v>
      </c>
      <c r="B35" s="3" t="s">
        <v>326</v>
      </c>
    </row>
    <row r="36" spans="1:2" x14ac:dyDescent="0.3">
      <c r="A36" t="s">
        <v>327</v>
      </c>
      <c r="B36" s="3" t="s">
        <v>334</v>
      </c>
    </row>
    <row r="37" spans="1:2" x14ac:dyDescent="0.3">
      <c r="A37" t="s">
        <v>328</v>
      </c>
      <c r="B37" s="3" t="s">
        <v>335</v>
      </c>
    </row>
    <row r="38" spans="1:2" x14ac:dyDescent="0.3">
      <c r="A38" t="s">
        <v>329</v>
      </c>
      <c r="B38" s="3" t="s">
        <v>333</v>
      </c>
    </row>
    <row r="39" spans="1:2" x14ac:dyDescent="0.3">
      <c r="A39" t="s">
        <v>330</v>
      </c>
      <c r="B39" s="3" t="s">
        <v>332</v>
      </c>
    </row>
    <row r="40" spans="1:2" x14ac:dyDescent="0.3">
      <c r="A40" t="s">
        <v>369</v>
      </c>
      <c r="B40" s="3" t="s">
        <v>331</v>
      </c>
    </row>
    <row r="41" spans="1:2" x14ac:dyDescent="0.3">
      <c r="A41" t="s">
        <v>336</v>
      </c>
      <c r="B41" s="3" t="s">
        <v>341</v>
      </c>
    </row>
    <row r="42" spans="1:2" x14ac:dyDescent="0.3">
      <c r="A42" t="s">
        <v>337</v>
      </c>
      <c r="B42" s="3" t="s">
        <v>346</v>
      </c>
    </row>
    <row r="43" spans="1:2" x14ac:dyDescent="0.3">
      <c r="A43" t="s">
        <v>338</v>
      </c>
      <c r="B43" s="3" t="s">
        <v>345</v>
      </c>
    </row>
    <row r="44" spans="1:2" x14ac:dyDescent="0.3">
      <c r="A44" t="s">
        <v>339</v>
      </c>
      <c r="B44" s="3" t="s">
        <v>344</v>
      </c>
    </row>
    <row r="45" spans="1:2" x14ac:dyDescent="0.3">
      <c r="A45" t="s">
        <v>340</v>
      </c>
      <c r="B45" s="3" t="s">
        <v>343</v>
      </c>
    </row>
    <row r="46" spans="1:2" x14ac:dyDescent="0.3">
      <c r="A46" t="s">
        <v>368</v>
      </c>
      <c r="B46" s="3" t="s">
        <v>342</v>
      </c>
    </row>
  </sheetData>
  <sortState xmlns:xlrd2="http://schemas.microsoft.com/office/spreadsheetml/2017/richdata2" ref="A3:C34">
    <sortCondition ref="A3:A34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workbookViewId="0">
      <selection activeCell="D18" sqref="D18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219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221</v>
      </c>
      <c r="B3" s="11" t="str">
        <f>"NAME_" &amp; UPPER(A3)</f>
        <v>NAME_LIUTAO</v>
      </c>
      <c r="C3" s="12" t="s">
        <v>265</v>
      </c>
      <c r="D3" s="11"/>
      <c r="E3" s="11"/>
    </row>
    <row r="4" spans="1:5" x14ac:dyDescent="0.3">
      <c r="A4" s="10" t="s">
        <v>222</v>
      </c>
      <c r="B4" s="11" t="str">
        <f t="shared" ref="B4:B47" si="0">"NAME_" &amp; UPPER(A4)</f>
        <v>NAME_SANLUE</v>
      </c>
      <c r="C4" s="12" t="s">
        <v>266</v>
      </c>
      <c r="D4" s="11"/>
      <c r="E4" s="11"/>
    </row>
    <row r="5" spans="1:5" x14ac:dyDescent="0.3">
      <c r="A5" s="10" t="s">
        <v>223</v>
      </c>
      <c r="B5" s="11" t="str">
        <f t="shared" si="0"/>
        <v>NAME_WEILIAOZI</v>
      </c>
      <c r="C5" s="12" t="s">
        <v>267</v>
      </c>
      <c r="D5" s="11"/>
      <c r="E5" s="11"/>
    </row>
    <row r="6" spans="1:5" x14ac:dyDescent="0.3">
      <c r="A6" s="10" t="s">
        <v>224</v>
      </c>
      <c r="B6" s="11" t="str">
        <f t="shared" si="0"/>
        <v>NAME_COMMANDERS_BANNER</v>
      </c>
      <c r="C6" s="12" t="s">
        <v>268</v>
      </c>
      <c r="D6" s="11"/>
      <c r="E6" s="11"/>
    </row>
    <row r="7" spans="1:5" x14ac:dyDescent="0.3">
      <c r="A7" s="10" t="s">
        <v>225</v>
      </c>
      <c r="B7" s="11" t="str">
        <f t="shared" si="0"/>
        <v>NAME_TIGER_TALLY</v>
      </c>
      <c r="C7" s="12" t="s">
        <v>269</v>
      </c>
      <c r="D7" s="11"/>
      <c r="E7" s="11"/>
    </row>
    <row r="8" spans="1:5" x14ac:dyDescent="0.3">
      <c r="A8" s="10" t="s">
        <v>226</v>
      </c>
      <c r="B8" s="11" t="str">
        <f t="shared" si="0"/>
        <v>NAME_WAR_DRUM_GONG</v>
      </c>
      <c r="C8" s="12" t="s">
        <v>270</v>
      </c>
      <c r="D8" s="11"/>
      <c r="E8" s="11"/>
    </row>
    <row r="9" spans="1:5" x14ac:dyDescent="0.3">
      <c r="A9" s="10" t="s">
        <v>227</v>
      </c>
      <c r="B9" s="11" t="str">
        <f t="shared" si="0"/>
        <v>NAME_SIMA_FA</v>
      </c>
      <c r="C9" s="12" t="s">
        <v>271</v>
      </c>
      <c r="D9" s="11"/>
      <c r="E9" s="11"/>
    </row>
    <row r="10" spans="1:5" x14ac:dyDescent="0.3">
      <c r="A10" s="10" t="s">
        <v>228</v>
      </c>
      <c r="B10" s="11" t="str">
        <f t="shared" si="0"/>
        <v>NAME_WUZI</v>
      </c>
      <c r="C10" s="12" t="s">
        <v>272</v>
      </c>
      <c r="D10" s="11"/>
      <c r="E10" s="11"/>
    </row>
    <row r="11" spans="1:5" x14ac:dyDescent="0.3">
      <c r="A11" s="10" t="s">
        <v>229</v>
      </c>
      <c r="B11" s="11" t="str">
        <f t="shared" si="0"/>
        <v>NAME_RED_CLIFF_FLAME</v>
      </c>
      <c r="C11" s="12" t="s">
        <v>273</v>
      </c>
      <c r="D11" s="11"/>
      <c r="E11" s="11"/>
    </row>
    <row r="12" spans="1:5" x14ac:dyDescent="0.3">
      <c r="A12" s="10" t="s">
        <v>230</v>
      </c>
      <c r="B12" s="11" t="str">
        <f t="shared" si="0"/>
        <v>NAME_BANGCHEONHWAGUG_SHARD</v>
      </c>
      <c r="C12" s="12" t="s">
        <v>274</v>
      </c>
      <c r="D12" s="11"/>
      <c r="E12" s="11"/>
    </row>
    <row r="13" spans="1:5" x14ac:dyDescent="0.3">
      <c r="A13" s="10" t="s">
        <v>220</v>
      </c>
      <c r="B13" s="11" t="str">
        <f t="shared" si="0"/>
        <v>NAME_GANJIANG_MOYE</v>
      </c>
      <c r="C13" s="12" t="s">
        <v>275</v>
      </c>
      <c r="D13" s="11"/>
      <c r="E13" s="11"/>
    </row>
    <row r="14" spans="1:5" x14ac:dyDescent="0.3">
      <c r="A14" s="10" t="s">
        <v>231</v>
      </c>
      <c r="B14" s="11" t="str">
        <f t="shared" si="0"/>
        <v>NAME_CHUNGOU</v>
      </c>
      <c r="C14" s="12" t="s">
        <v>276</v>
      </c>
      <c r="D14" s="11"/>
      <c r="E14" s="11"/>
    </row>
    <row r="15" spans="1:5" x14ac:dyDescent="0.3">
      <c r="A15" s="10" t="s">
        <v>232</v>
      </c>
      <c r="B15" s="11" t="str">
        <f t="shared" si="0"/>
        <v>NAME_ZHANLU</v>
      </c>
      <c r="C15" s="12" t="s">
        <v>277</v>
      </c>
      <c r="D15" s="11"/>
      <c r="E15" s="11"/>
    </row>
    <row r="16" spans="1:5" x14ac:dyDescent="0.3">
      <c r="A16" s="10" t="s">
        <v>233</v>
      </c>
      <c r="B16" s="11" t="str">
        <f t="shared" si="0"/>
        <v>NAME_YUCHANG</v>
      </c>
      <c r="C16" s="12" t="s">
        <v>278</v>
      </c>
      <c r="D16" s="11"/>
      <c r="E16" s="11"/>
    </row>
    <row r="17" spans="1:5" x14ac:dyDescent="0.3">
      <c r="A17" s="10" t="s">
        <v>234</v>
      </c>
      <c r="B17" s="11" t="str">
        <f t="shared" si="0"/>
        <v>NAME_TAIE</v>
      </c>
      <c r="C17" s="12" t="s">
        <v>279</v>
      </c>
      <c r="D17" s="11"/>
      <c r="E17" s="11"/>
    </row>
    <row r="18" spans="1:5" x14ac:dyDescent="0.3">
      <c r="A18" s="10" t="s">
        <v>235</v>
      </c>
      <c r="B18" s="11" t="str">
        <f t="shared" si="0"/>
        <v>NAME_JUQUE</v>
      </c>
      <c r="C18" s="12" t="s">
        <v>280</v>
      </c>
      <c r="D18" s="11"/>
      <c r="E18" s="11"/>
    </row>
    <row r="19" spans="1:5" x14ac:dyDescent="0.3">
      <c r="A19" s="10" t="s">
        <v>236</v>
      </c>
      <c r="B19" s="11" t="str">
        <f t="shared" si="0"/>
        <v>NAME_SHENGXIE</v>
      </c>
      <c r="C19" s="12" t="s">
        <v>281</v>
      </c>
      <c r="D19" s="11"/>
      <c r="E19" s="11"/>
    </row>
    <row r="20" spans="1:5" x14ac:dyDescent="0.3">
      <c r="A20" s="10" t="s">
        <v>237</v>
      </c>
      <c r="B20" s="11" t="str">
        <f t="shared" si="0"/>
        <v>NAME_LORDS_WAR_BOW</v>
      </c>
      <c r="C20" s="12" t="s">
        <v>282</v>
      </c>
      <c r="D20" s="11"/>
      <c r="E20" s="11"/>
    </row>
    <row r="21" spans="1:5" x14ac:dyDescent="0.3">
      <c r="A21" s="10" t="s">
        <v>238</v>
      </c>
      <c r="B21" s="11" t="str">
        <f t="shared" si="0"/>
        <v>NAME_WUJANGWON_STAR</v>
      </c>
      <c r="C21" s="12" t="s">
        <v>283</v>
      </c>
      <c r="D21" s="11"/>
      <c r="E21" s="11"/>
    </row>
    <row r="22" spans="1:5" x14ac:dyDescent="0.3">
      <c r="A22" s="10" t="s">
        <v>239</v>
      </c>
      <c r="B22" s="11" t="str">
        <f t="shared" si="0"/>
        <v>NAME_ART_OF_WAR</v>
      </c>
      <c r="C22" s="12" t="s">
        <v>284</v>
      </c>
      <c r="D22" s="11"/>
      <c r="E22" s="11"/>
    </row>
    <row r="23" spans="1:5" x14ac:dyDescent="0.3">
      <c r="A23" s="10" t="s">
        <v>240</v>
      </c>
      <c r="B23" s="11" t="str">
        <f t="shared" si="0"/>
        <v>NAME_QIMEN_DUNJIA</v>
      </c>
      <c r="C23" s="12" t="s">
        <v>285</v>
      </c>
      <c r="D23" s="11"/>
      <c r="E23" s="11"/>
    </row>
    <row r="24" spans="1:5" x14ac:dyDescent="0.3">
      <c r="A24" s="10" t="s">
        <v>241</v>
      </c>
      <c r="B24" s="11" t="str">
        <f t="shared" si="0"/>
        <v>NAME_I_CHING</v>
      </c>
      <c r="C24" s="12" t="s">
        <v>286</v>
      </c>
      <c r="D24" s="11"/>
      <c r="E24" s="11"/>
    </row>
    <row r="25" spans="1:5" x14ac:dyDescent="0.3">
      <c r="A25" s="10" t="s">
        <v>242</v>
      </c>
      <c r="B25" s="11" t="str">
        <f t="shared" si="0"/>
        <v>NAME_GUIGUZI</v>
      </c>
      <c r="C25" s="12" t="s">
        <v>287</v>
      </c>
      <c r="D25" s="11"/>
      <c r="E25" s="11"/>
    </row>
    <row r="26" spans="1:5" x14ac:dyDescent="0.3">
      <c r="A26" s="10" t="s">
        <v>243</v>
      </c>
      <c r="B26" s="11" t="str">
        <f t="shared" si="0"/>
        <v>NAME_GUANZI</v>
      </c>
      <c r="C26" s="12" t="s">
        <v>288</v>
      </c>
      <c r="D26" s="11"/>
      <c r="E26" s="11"/>
    </row>
    <row r="27" spans="1:5" x14ac:dyDescent="0.3">
      <c r="A27" s="10" t="s">
        <v>244</v>
      </c>
      <c r="B27" s="11" t="str">
        <f t="shared" si="0"/>
        <v>NAME_HAN_FEIZI</v>
      </c>
      <c r="C27" s="12" t="s">
        <v>289</v>
      </c>
      <c r="D27" s="11"/>
      <c r="E27" s="11"/>
    </row>
    <row r="28" spans="1:5" x14ac:dyDescent="0.3">
      <c r="A28" s="10" t="s">
        <v>245</v>
      </c>
      <c r="B28" s="11" t="str">
        <f t="shared" si="0"/>
        <v>NAME_SU_SHU_OF_HUANGSHI</v>
      </c>
      <c r="C28" s="12" t="s">
        <v>290</v>
      </c>
      <c r="D28" s="11"/>
      <c r="E28" s="11"/>
    </row>
    <row r="29" spans="1:5" x14ac:dyDescent="0.3">
      <c r="A29" s="10" t="s">
        <v>246</v>
      </c>
      <c r="B29" s="11" t="str">
        <f t="shared" si="0"/>
        <v>NAME_MOZI</v>
      </c>
      <c r="C29" s="12" t="s">
        <v>291</v>
      </c>
      <c r="D29" s="11"/>
      <c r="E29" s="11"/>
    </row>
    <row r="30" spans="1:5" x14ac:dyDescent="0.3">
      <c r="A30" s="10" t="s">
        <v>247</v>
      </c>
      <c r="B30" s="11" t="str">
        <f t="shared" si="0"/>
        <v>NAME_EMPERORS_SEAL</v>
      </c>
      <c r="C30" s="12" t="s">
        <v>292</v>
      </c>
      <c r="D30" s="11"/>
      <c r="E30" s="11"/>
    </row>
    <row r="31" spans="1:5" x14ac:dyDescent="0.3">
      <c r="A31" s="10" t="s">
        <v>248</v>
      </c>
      <c r="B31" s="11" t="str">
        <f t="shared" si="0"/>
        <v>NAME_BOOK_OF_LORD_SHANG</v>
      </c>
      <c r="C31" s="12" t="s">
        <v>293</v>
      </c>
      <c r="D31" s="11"/>
      <c r="E31" s="11"/>
    </row>
    <row r="32" spans="1:5" x14ac:dyDescent="0.3">
      <c r="A32" s="10" t="s">
        <v>249</v>
      </c>
      <c r="B32" s="11" t="str">
        <f t="shared" si="0"/>
        <v>NAME_LUSHI_CHUNQIU</v>
      </c>
      <c r="C32" s="12" t="s">
        <v>294</v>
      </c>
      <c r="D32" s="11"/>
      <c r="E32" s="11"/>
    </row>
    <row r="33" spans="1:5" x14ac:dyDescent="0.3">
      <c r="A33" s="10" t="s">
        <v>250</v>
      </c>
      <c r="B33" s="11" t="str">
        <f t="shared" si="0"/>
        <v>NAME_ANALECTS</v>
      </c>
      <c r="C33" s="12" t="s">
        <v>295</v>
      </c>
      <c r="D33" s="11"/>
      <c r="E33" s="11"/>
    </row>
    <row r="34" spans="1:5" x14ac:dyDescent="0.3">
      <c r="A34" s="10" t="s">
        <v>251</v>
      </c>
      <c r="B34" s="11" t="str">
        <f t="shared" si="0"/>
        <v>NAME_WEI_ADMINISTRATIVE_CODE</v>
      </c>
      <c r="C34" s="12" t="s">
        <v>296</v>
      </c>
      <c r="D34" s="11"/>
      <c r="E34" s="11"/>
    </row>
    <row r="35" spans="1:5" x14ac:dyDescent="0.3">
      <c r="A35" s="10" t="s">
        <v>252</v>
      </c>
      <c r="B35" s="11" t="str">
        <f t="shared" si="0"/>
        <v>NAME_STRATAGEMS_OF_WARRING_STATES</v>
      </c>
      <c r="C35" s="12" t="s">
        <v>297</v>
      </c>
      <c r="D35" s="11"/>
      <c r="E35" s="11"/>
    </row>
    <row r="36" spans="1:5" x14ac:dyDescent="0.3">
      <c r="A36" s="10" t="s">
        <v>253</v>
      </c>
      <c r="B36" s="11" t="str">
        <f t="shared" si="0"/>
        <v>NAME_IMPERIAL_JADE_SEAL</v>
      </c>
      <c r="C36" s="12" t="s">
        <v>298</v>
      </c>
      <c r="D36" s="11"/>
      <c r="E36" s="11"/>
    </row>
    <row r="37" spans="1:5" x14ac:dyDescent="0.3">
      <c r="A37" s="10" t="s">
        <v>254</v>
      </c>
      <c r="B37" s="11" t="str">
        <f t="shared" si="0"/>
        <v>NAME_PREFECTS_OFFICIAL_SEAL</v>
      </c>
      <c r="C37" s="12" t="s">
        <v>299</v>
      </c>
      <c r="D37" s="11"/>
      <c r="E37" s="11"/>
    </row>
    <row r="38" spans="1:5" x14ac:dyDescent="0.3">
      <c r="A38" s="10" t="s">
        <v>255</v>
      </c>
      <c r="B38" s="11" t="str">
        <f t="shared" si="0"/>
        <v>NAME_HUANGLAO_SILK_MANUSCRIPT</v>
      </c>
      <c r="C38" s="12" t="s">
        <v>300</v>
      </c>
      <c r="D38" s="11"/>
      <c r="E38" s="11"/>
    </row>
    <row r="39" spans="1:5" x14ac:dyDescent="0.3">
      <c r="A39" s="10" t="s">
        <v>256</v>
      </c>
      <c r="B39" s="11" t="str">
        <f t="shared" si="0"/>
        <v>NAME_DOEWON_CUP</v>
      </c>
      <c r="C39" s="12" t="s">
        <v>301</v>
      </c>
      <c r="D39" s="11"/>
      <c r="E39" s="11"/>
    </row>
    <row r="40" spans="1:5" x14ac:dyDescent="0.3">
      <c r="A40" s="10" t="s">
        <v>257</v>
      </c>
      <c r="B40" s="11" t="str">
        <f t="shared" si="0"/>
        <v>NAME_HES_JADE_DISC</v>
      </c>
      <c r="C40" s="12" t="s">
        <v>302</v>
      </c>
      <c r="D40" s="11"/>
      <c r="E40" s="11"/>
    </row>
    <row r="41" spans="1:5" x14ac:dyDescent="0.3">
      <c r="A41" s="10" t="s">
        <v>258</v>
      </c>
      <c r="B41" s="11" t="str">
        <f t="shared" si="0"/>
        <v>NAME_CLASSIC_OF_MOUNTAINS_AND_SEAS</v>
      </c>
      <c r="C41" s="12" t="s">
        <v>303</v>
      </c>
      <c r="D41" s="11"/>
      <c r="E41" s="11"/>
    </row>
    <row r="42" spans="1:5" x14ac:dyDescent="0.3">
      <c r="A42" s="10" t="s">
        <v>259</v>
      </c>
      <c r="B42" s="11" t="str">
        <f t="shared" si="0"/>
        <v>NAME_XUANHE_QIN</v>
      </c>
      <c r="C42" s="12" t="s">
        <v>304</v>
      </c>
      <c r="D42" s="11"/>
      <c r="E42" s="11"/>
    </row>
    <row r="43" spans="1:5" x14ac:dyDescent="0.3">
      <c r="A43" s="10" t="s">
        <v>260</v>
      </c>
      <c r="B43" s="11" t="str">
        <f t="shared" si="0"/>
        <v>NAME_PHOENIX_JADE_PENDANT</v>
      </c>
      <c r="C43" s="12" t="s">
        <v>305</v>
      </c>
      <c r="D43" s="11"/>
      <c r="E43" s="11"/>
    </row>
    <row r="44" spans="1:5" x14ac:dyDescent="0.3">
      <c r="A44" s="10" t="s">
        <v>261</v>
      </c>
      <c r="B44" s="11" t="str">
        <f t="shared" si="0"/>
        <v>NAME_BOOK_OF_RITES</v>
      </c>
      <c r="C44" s="12" t="s">
        <v>306</v>
      </c>
      <c r="D44" s="11"/>
      <c r="E44" s="11"/>
    </row>
    <row r="45" spans="1:5" x14ac:dyDescent="0.3">
      <c r="A45" s="10" t="s">
        <v>262</v>
      </c>
      <c r="B45" s="11" t="str">
        <f t="shared" si="0"/>
        <v>NAME_ALLIANCE_LETTER</v>
      </c>
      <c r="C45" s="12" t="s">
        <v>307</v>
      </c>
      <c r="D45" s="11"/>
      <c r="E45" s="11"/>
    </row>
    <row r="46" spans="1:5" x14ac:dyDescent="0.3">
      <c r="A46" s="10" t="s">
        <v>263</v>
      </c>
      <c r="B46" s="11" t="str">
        <f t="shared" si="0"/>
        <v>NAME_HETU_LUOSHU</v>
      </c>
      <c r="C46" s="12" t="s">
        <v>308</v>
      </c>
      <c r="D46" s="11"/>
      <c r="E46" s="11"/>
    </row>
    <row r="47" spans="1:5" x14ac:dyDescent="0.3">
      <c r="A47" s="10" t="s">
        <v>264</v>
      </c>
      <c r="B47" s="11" t="str">
        <f t="shared" si="0"/>
        <v>NAME_MAP_OF_QUEEN_MOTHER_OF_THE_WEST</v>
      </c>
      <c r="C47" s="12" t="s">
        <v>309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Overview</vt:lpstr>
      <vt:lpstr>String</vt:lpstr>
      <vt:lpstr>String_Mission</vt:lpstr>
      <vt:lpstr>String_Hero</vt:lpstr>
      <vt:lpstr>String_Treasure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2026-06-30T09:31:38Z</dcterms:modified>
</cp:coreProperties>
</file>