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28920" yWindow="1400" windowWidth="25820" windowHeight="16220" activeTab="5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8" i="5"/>
  <c r="E297"/>
  <c r="E296"/>
  <c r="E295"/>
  <c r="E294"/>
  <c r="E293"/>
  <c r="E292"/>
  <c r="E291"/>
  <c r="E290"/>
  <c r="E289"/>
  <c r="E288"/>
  <c r="E287"/>
  <c r="E286"/>
  <c r="E285"/>
  <c r="E284"/>
  <c r="E283"/>
  <c r="E282"/>
  <c r="B282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A282"/>
  <c r="C282" s="1"/>
  <c r="E281"/>
  <c r="B281"/>
  <c r="A281"/>
  <c r="C281" s="1"/>
  <c r="E280"/>
  <c r="E279"/>
  <c r="E278"/>
  <c r="E277"/>
  <c r="E276"/>
  <c r="E275"/>
  <c r="E274"/>
  <c r="E273"/>
  <c r="E272"/>
  <c r="E271"/>
  <c r="E270"/>
  <c r="E269"/>
  <c r="E268"/>
  <c r="E267"/>
  <c r="E266"/>
  <c r="E265"/>
  <c r="E263"/>
  <c r="E262"/>
  <c r="E261"/>
  <c r="E260"/>
  <c r="E259"/>
  <c r="E258"/>
  <c r="E257"/>
  <c r="E256"/>
  <c r="E255"/>
  <c r="E254"/>
  <c r="E253"/>
  <c r="E252"/>
  <c r="E251"/>
  <c r="E241"/>
  <c r="E250"/>
  <c r="E249"/>
  <c r="E248"/>
  <c r="E247"/>
  <c r="E246"/>
  <c r="E245"/>
  <c r="E244"/>
  <c r="E243"/>
  <c r="E163"/>
  <c r="E164"/>
  <c r="E165"/>
  <c r="E166"/>
  <c r="E167"/>
  <c r="E168"/>
  <c r="E169"/>
  <c r="E170"/>
  <c r="E171"/>
  <c r="E176"/>
  <c r="E177"/>
  <c r="E178"/>
  <c r="E179"/>
  <c r="E181"/>
  <c r="E182"/>
  <c r="E183"/>
  <c r="E184"/>
  <c r="E185"/>
  <c r="E188"/>
  <c r="E189"/>
  <c r="E190"/>
  <c r="E192"/>
  <c r="E193"/>
  <c r="E198"/>
  <c r="E199"/>
  <c r="A162"/>
  <c r="A163" s="1"/>
  <c r="A202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2"/>
  <c r="A243" s="1"/>
  <c r="E242"/>
  <c r="B242"/>
  <c r="E239"/>
  <c r="E238"/>
  <c r="B202"/>
  <c r="B203" s="1"/>
  <c r="B204" s="1"/>
  <c r="E237"/>
  <c r="E236"/>
  <c r="E235"/>
  <c r="E234"/>
  <c r="E232"/>
  <c r="E231"/>
  <c r="E230"/>
  <c r="E229"/>
  <c r="E228"/>
  <c r="E227"/>
  <c r="E226"/>
  <c r="E225"/>
  <c r="E224"/>
  <c r="E223"/>
  <c r="E222"/>
  <c r="E221"/>
  <c r="E220"/>
  <c r="E219"/>
  <c r="E218"/>
  <c r="E217"/>
  <c r="E216"/>
  <c r="E215"/>
  <c r="E214"/>
  <c r="E213"/>
  <c r="E212"/>
  <c r="E211"/>
  <c r="E210"/>
  <c r="E209"/>
  <c r="E208"/>
  <c r="E207"/>
  <c r="E206"/>
  <c r="E205"/>
  <c r="E204"/>
  <c r="E203"/>
  <c r="E202"/>
  <c r="E201"/>
  <c r="E125"/>
  <c r="E126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4"/>
  <c r="C241"/>
  <c r="C201"/>
  <c r="E162"/>
  <c r="B162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E161"/>
  <c r="C161"/>
  <c r="E123"/>
  <c r="E122"/>
  <c r="B122"/>
  <c r="B123" s="1"/>
  <c r="B124" s="1"/>
  <c r="C124" s="1"/>
  <c r="E121"/>
  <c r="C121"/>
  <c r="E119"/>
  <c r="E118"/>
  <c r="E117"/>
  <c r="E116"/>
  <c r="E115"/>
  <c r="E114"/>
  <c r="E113"/>
  <c r="E112"/>
  <c r="E111"/>
  <c r="E110"/>
  <c r="E109"/>
  <c r="E108"/>
  <c r="E107"/>
  <c r="E106"/>
  <c r="E105"/>
  <c r="E104"/>
  <c r="E103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7"/>
  <c r="E78"/>
  <c r="A283" l="1"/>
  <c r="C242"/>
  <c r="B243"/>
  <c r="B244" s="1"/>
  <c r="B245" s="1"/>
  <c r="B246" s="1"/>
  <c r="B247" s="1"/>
  <c r="B248" s="1"/>
  <c r="B249" s="1"/>
  <c r="B250" s="1"/>
  <c r="B251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C163"/>
  <c r="A164"/>
  <c r="A244"/>
  <c r="C202"/>
  <c r="B205"/>
  <c r="C204"/>
  <c r="C203"/>
  <c r="B125"/>
  <c r="B126" s="1"/>
  <c r="C123"/>
  <c r="C122"/>
  <c r="C162"/>
  <c r="D95" i="3"/>
  <c r="D96"/>
  <c r="D97"/>
  <c r="D78" i="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E103"/>
  <c r="D104"/>
  <c r="E104"/>
  <c r="D105"/>
  <c r="E105"/>
  <c r="D106"/>
  <c r="E106"/>
  <c r="D107"/>
  <c r="E107"/>
  <c r="D108"/>
  <c r="E108"/>
  <c r="D109"/>
  <c r="E109"/>
  <c r="D110"/>
  <c r="E110"/>
  <c r="D111"/>
  <c r="E111"/>
  <c r="D112"/>
  <c r="E112"/>
  <c r="D113"/>
  <c r="E113"/>
  <c r="D114"/>
  <c r="E114"/>
  <c r="D115"/>
  <c r="E115"/>
  <c r="D116"/>
  <c r="E116"/>
  <c r="D117"/>
  <c r="E117"/>
  <c r="D118"/>
  <c r="E118"/>
  <c r="D119"/>
  <c r="E119"/>
  <c r="D120"/>
  <c r="E120"/>
  <c r="D121"/>
  <c r="E121"/>
  <c r="D122"/>
  <c r="E122"/>
  <c r="D123"/>
  <c r="E123"/>
  <c r="D124"/>
  <c r="E124"/>
  <c r="D125"/>
  <c r="E125"/>
  <c r="D126"/>
  <c r="E126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C283" i="5" l="1"/>
  <c r="A284"/>
  <c r="C243"/>
  <c r="C164"/>
  <c r="A165"/>
  <c r="C244"/>
  <c r="A245"/>
  <c r="B206"/>
  <c r="C205"/>
  <c r="B127"/>
  <c r="C126"/>
  <c r="C125"/>
  <c r="E74"/>
  <c r="E73"/>
  <c r="E75"/>
  <c r="E76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D102" i="3"/>
  <c r="D101"/>
  <c r="D100"/>
  <c r="D99"/>
  <c r="D98"/>
  <c r="D94"/>
  <c r="D93"/>
  <c r="D92"/>
  <c r="D91"/>
  <c r="D90"/>
  <c r="D89"/>
  <c r="D88"/>
  <c r="D87"/>
  <c r="E54" i="5"/>
  <c r="B55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A55"/>
  <c r="C54"/>
  <c r="E31"/>
  <c r="E28"/>
  <c r="E41"/>
  <c r="A28"/>
  <c r="E37"/>
  <c r="E36"/>
  <c r="E52"/>
  <c r="E51"/>
  <c r="E50"/>
  <c r="E49"/>
  <c r="E48"/>
  <c r="E47"/>
  <c r="E46"/>
  <c r="E45"/>
  <c r="E44"/>
  <c r="E43"/>
  <c r="E42"/>
  <c r="E40"/>
  <c r="E39"/>
  <c r="E35"/>
  <c r="E34"/>
  <c r="E33"/>
  <c r="E32"/>
  <c r="E30"/>
  <c r="E29"/>
  <c r="E27"/>
  <c r="B28"/>
  <c r="C27"/>
  <c r="B51" i="4"/>
  <c r="B50"/>
  <c r="B49"/>
  <c r="B48"/>
  <c r="B52"/>
  <c r="D39" i="8"/>
  <c r="D38"/>
  <c r="D37"/>
  <c r="D28" i="3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48"/>
  <c r="D47"/>
  <c r="D46"/>
  <c r="D45"/>
  <c r="D44"/>
  <c r="D43"/>
  <c r="D42"/>
  <c r="D41"/>
  <c r="D40"/>
  <c r="D39"/>
  <c r="D38"/>
  <c r="D37"/>
  <c r="D36"/>
  <c r="D61"/>
  <c r="D35"/>
  <c r="D34"/>
  <c r="D33"/>
  <c r="D32"/>
  <c r="D31"/>
  <c r="D29"/>
  <c r="D30"/>
  <c r="D80"/>
  <c r="D74"/>
  <c r="D79"/>
  <c r="D76"/>
  <c r="D75"/>
  <c r="D78"/>
  <c r="D77"/>
  <c r="D72"/>
  <c r="D71"/>
  <c r="D73"/>
  <c r="D70"/>
  <c r="D69"/>
  <c r="D68"/>
  <c r="D67"/>
  <c r="D63"/>
  <c r="D66"/>
  <c r="D65"/>
  <c r="D62"/>
  <c r="D64"/>
  <c r="E17" i="5"/>
  <c r="E21"/>
  <c r="E20"/>
  <c r="E22"/>
  <c r="E23"/>
  <c r="E24"/>
  <c r="E25"/>
  <c r="E26"/>
  <c r="A4"/>
  <c r="B4"/>
  <c r="E18"/>
  <c r="E6"/>
  <c r="E11"/>
  <c r="E15"/>
  <c r="E14"/>
  <c r="E13"/>
  <c r="E12"/>
  <c r="E9"/>
  <c r="E8"/>
  <c r="E4"/>
  <c r="E3"/>
  <c r="C3"/>
  <c r="D35" i="8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36"/>
  <c r="D11"/>
  <c r="D10"/>
  <c r="D9"/>
  <c r="D8"/>
  <c r="D7"/>
  <c r="D6"/>
  <c r="D5"/>
  <c r="D4"/>
  <c r="D3"/>
  <c r="B3" i="7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B4"/>
  <c r="C284" i="5" l="1"/>
  <c r="A285"/>
  <c r="C165"/>
  <c r="A166"/>
  <c r="A246"/>
  <c r="C245"/>
  <c r="B207"/>
  <c r="C206"/>
  <c r="C127"/>
  <c r="B128"/>
  <c r="B80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C55"/>
  <c r="A56"/>
  <c r="C56" s="1"/>
  <c r="C28"/>
  <c r="C4"/>
  <c r="B12" i="6"/>
  <c r="B11"/>
  <c r="B10"/>
  <c r="B9"/>
  <c r="B8"/>
  <c r="B7"/>
  <c r="B6"/>
  <c r="B5"/>
  <c r="B4"/>
  <c r="B3"/>
  <c r="A286" i="5" l="1"/>
  <c r="C285"/>
  <c r="A167"/>
  <c r="C166"/>
  <c r="A247"/>
  <c r="C246"/>
  <c r="B208"/>
  <c r="C207"/>
  <c r="B129"/>
  <c r="C128"/>
  <c r="A57"/>
  <c r="A58" s="1"/>
  <c r="A5"/>
  <c r="C286" l="1"/>
  <c r="A287"/>
  <c r="C167"/>
  <c r="A168"/>
  <c r="C247"/>
  <c r="A248"/>
  <c r="B209"/>
  <c r="C208"/>
  <c r="C129"/>
  <c r="B130"/>
  <c r="C57"/>
  <c r="C58"/>
  <c r="A59"/>
  <c r="A6"/>
  <c r="A288" l="1"/>
  <c r="C287"/>
  <c r="C168"/>
  <c r="A169"/>
  <c r="C248"/>
  <c r="A249"/>
  <c r="C209"/>
  <c r="B210"/>
  <c r="C130"/>
  <c r="B131"/>
  <c r="C59"/>
  <c r="A60"/>
  <c r="A7"/>
  <c r="C288" l="1"/>
  <c r="A289"/>
  <c r="A170"/>
  <c r="C169"/>
  <c r="C249"/>
  <c r="A250"/>
  <c r="A251" s="1"/>
  <c r="C210"/>
  <c r="B211"/>
  <c r="C131"/>
  <c r="B132"/>
  <c r="C60"/>
  <c r="A61"/>
  <c r="A8"/>
  <c r="A290" l="1"/>
  <c r="C289"/>
  <c r="C251"/>
  <c r="A252"/>
  <c r="C170"/>
  <c r="A171"/>
  <c r="C250"/>
  <c r="C211"/>
  <c r="B212"/>
  <c r="C132"/>
  <c r="B133"/>
  <c r="A62"/>
  <c r="C61"/>
  <c r="A9"/>
  <c r="A291" l="1"/>
  <c r="C290"/>
  <c r="A253"/>
  <c r="C252"/>
  <c r="C171"/>
  <c r="A172"/>
  <c r="C212"/>
  <c r="B213"/>
  <c r="B134"/>
  <c r="C133"/>
  <c r="A63"/>
  <c r="C62"/>
  <c r="A10"/>
  <c r="A292" l="1"/>
  <c r="C291"/>
  <c r="C253"/>
  <c r="A254"/>
  <c r="A255" s="1"/>
  <c r="C172"/>
  <c r="A173"/>
  <c r="B214"/>
  <c r="C213"/>
  <c r="C134"/>
  <c r="B135"/>
  <c r="C63"/>
  <c r="A64"/>
  <c r="A11"/>
  <c r="C292" l="1"/>
  <c r="A293"/>
  <c r="C255"/>
  <c r="A256"/>
  <c r="C254"/>
  <c r="A174"/>
  <c r="C173"/>
  <c r="C214"/>
  <c r="B215"/>
  <c r="B136"/>
  <c r="C135"/>
  <c r="C64"/>
  <c r="A65"/>
  <c r="A12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B5"/>
  <c r="B6" s="1"/>
  <c r="A29"/>
  <c r="C293" l="1"/>
  <c r="A294"/>
  <c r="A257"/>
  <c r="C256"/>
  <c r="C174"/>
  <c r="A175"/>
  <c r="B216"/>
  <c r="C215"/>
  <c r="B137"/>
  <c r="C136"/>
  <c r="B7"/>
  <c r="C7" s="1"/>
  <c r="C6"/>
  <c r="C5"/>
  <c r="C65"/>
  <c r="A66"/>
  <c r="B8"/>
  <c r="A30"/>
  <c r="C294" l="1"/>
  <c r="A295"/>
  <c r="C257"/>
  <c r="A258"/>
  <c r="C175"/>
  <c r="A176"/>
  <c r="C216"/>
  <c r="B217"/>
  <c r="B138"/>
  <c r="C137"/>
  <c r="C66"/>
  <c r="A67"/>
  <c r="C8"/>
  <c r="B9"/>
  <c r="A31"/>
  <c r="C295" l="1"/>
  <c r="A296"/>
  <c r="A259"/>
  <c r="C258"/>
  <c r="C176"/>
  <c r="A177"/>
  <c r="C217"/>
  <c r="B218"/>
  <c r="C138"/>
  <c r="B139"/>
  <c r="C67"/>
  <c r="A68"/>
  <c r="C9"/>
  <c r="B10"/>
  <c r="A32"/>
  <c r="A297" l="1"/>
  <c r="C296"/>
  <c r="A260"/>
  <c r="C259"/>
  <c r="A178"/>
  <c r="C177"/>
  <c r="C218"/>
  <c r="B219"/>
  <c r="B140"/>
  <c r="C139"/>
  <c r="C68"/>
  <c r="A69"/>
  <c r="C10"/>
  <c r="B11"/>
  <c r="A33"/>
  <c r="A298" l="1"/>
  <c r="C298" s="1"/>
  <c r="C297"/>
  <c r="C260"/>
  <c r="A261"/>
  <c r="A262" s="1"/>
  <c r="A179"/>
  <c r="C178"/>
  <c r="B220"/>
  <c r="C219"/>
  <c r="B141"/>
  <c r="C140"/>
  <c r="A70"/>
  <c r="C69"/>
  <c r="C11"/>
  <c r="B12"/>
  <c r="A34"/>
  <c r="A263" l="1"/>
  <c r="C262"/>
  <c r="C261"/>
  <c r="C179"/>
  <c r="A180"/>
  <c r="B221"/>
  <c r="C220"/>
  <c r="B142"/>
  <c r="C141"/>
  <c r="C70"/>
  <c r="A71"/>
  <c r="B13"/>
  <c r="C12"/>
  <c r="A35"/>
  <c r="A264" l="1"/>
  <c r="C263"/>
  <c r="C180"/>
  <c r="A181"/>
  <c r="C221"/>
  <c r="B222"/>
  <c r="B143"/>
  <c r="C142"/>
  <c r="C71"/>
  <c r="A72"/>
  <c r="B14"/>
  <c r="C13"/>
  <c r="A36"/>
  <c r="C264" l="1"/>
  <c r="A265"/>
  <c r="A182"/>
  <c r="C181"/>
  <c r="B223"/>
  <c r="C222"/>
  <c r="C143"/>
  <c r="B144"/>
  <c r="A73"/>
  <c r="C72"/>
  <c r="C14"/>
  <c r="B15"/>
  <c r="A37"/>
  <c r="C265" l="1"/>
  <c r="A266"/>
  <c r="C182"/>
  <c r="A183"/>
  <c r="B224"/>
  <c r="C223"/>
  <c r="B145"/>
  <c r="C144"/>
  <c r="C73"/>
  <c r="A74"/>
  <c r="A75" s="1"/>
  <c r="B16"/>
  <c r="C15"/>
  <c r="A38"/>
  <c r="C266" l="1"/>
  <c r="A267"/>
  <c r="A184"/>
  <c r="C183"/>
  <c r="C224"/>
  <c r="B225"/>
  <c r="C145"/>
  <c r="B146"/>
  <c r="C75"/>
  <c r="A76"/>
  <c r="C74"/>
  <c r="C16"/>
  <c r="B17"/>
  <c r="A39"/>
  <c r="A268" l="1"/>
  <c r="C267"/>
  <c r="C184"/>
  <c r="A185"/>
  <c r="B226"/>
  <c r="C225"/>
  <c r="B147"/>
  <c r="C146"/>
  <c r="C76"/>
  <c r="A77"/>
  <c r="B18"/>
  <c r="C17"/>
  <c r="A40"/>
  <c r="A269" l="1"/>
  <c r="C268"/>
  <c r="C185"/>
  <c r="A186"/>
  <c r="C226"/>
  <c r="B227"/>
  <c r="C147"/>
  <c r="B148"/>
  <c r="C77"/>
  <c r="A78"/>
  <c r="A79" s="1"/>
  <c r="C18"/>
  <c r="B19"/>
  <c r="A41"/>
  <c r="A270" l="1"/>
  <c r="C269"/>
  <c r="C186"/>
  <c r="A187"/>
  <c r="B228"/>
  <c r="C227"/>
  <c r="B149"/>
  <c r="C148"/>
  <c r="A80"/>
  <c r="C79"/>
  <c r="C78"/>
  <c r="B20"/>
  <c r="C19"/>
  <c r="A42"/>
  <c r="A271" l="1"/>
  <c r="C270"/>
  <c r="C187"/>
  <c r="A188"/>
  <c r="B229"/>
  <c r="C228"/>
  <c r="B150"/>
  <c r="C149"/>
  <c r="A81"/>
  <c r="C80"/>
  <c r="B21"/>
  <c r="C20"/>
  <c r="A43"/>
  <c r="A272" l="1"/>
  <c r="C271"/>
  <c r="A189"/>
  <c r="C188"/>
  <c r="B230"/>
  <c r="C229"/>
  <c r="C150"/>
  <c r="B151"/>
  <c r="A82"/>
  <c r="C81"/>
  <c r="C21"/>
  <c r="B22"/>
  <c r="A44"/>
  <c r="C272" l="1"/>
  <c r="A273"/>
  <c r="A190"/>
  <c r="C189"/>
  <c r="C230"/>
  <c r="B231"/>
  <c r="B152"/>
  <c r="C151"/>
  <c r="A83"/>
  <c r="C82"/>
  <c r="C22"/>
  <c r="B23"/>
  <c r="A45"/>
  <c r="A274" l="1"/>
  <c r="C273"/>
  <c r="A191"/>
  <c r="C190"/>
  <c r="C231"/>
  <c r="B232"/>
  <c r="B153"/>
  <c r="C152"/>
  <c r="A84"/>
  <c r="C83"/>
  <c r="C23"/>
  <c r="B24"/>
  <c r="A46"/>
  <c r="A275" l="1"/>
  <c r="C274"/>
  <c r="A192"/>
  <c r="C191"/>
  <c r="B233"/>
  <c r="C232"/>
  <c r="C153"/>
  <c r="B154"/>
  <c r="A85"/>
  <c r="C84"/>
  <c r="B25"/>
  <c r="C24"/>
  <c r="A47"/>
  <c r="A276" l="1"/>
  <c r="C275"/>
  <c r="A193"/>
  <c r="C192"/>
  <c r="C233"/>
  <c r="B234"/>
  <c r="C154"/>
  <c r="B155"/>
  <c r="C85"/>
  <c r="A86"/>
  <c r="B26"/>
  <c r="C26" s="1"/>
  <c r="C25"/>
  <c r="A48"/>
  <c r="C276" l="1"/>
  <c r="A277"/>
  <c r="C193"/>
  <c r="A194"/>
  <c r="C234"/>
  <c r="B235"/>
  <c r="C155"/>
  <c r="B156"/>
  <c r="C86"/>
  <c r="A87"/>
  <c r="A49"/>
  <c r="A278" l="1"/>
  <c r="C277"/>
  <c r="C194"/>
  <c r="A195"/>
  <c r="B236"/>
  <c r="C235"/>
  <c r="B157"/>
  <c r="C156"/>
  <c r="C87"/>
  <c r="A88"/>
  <c r="A50"/>
  <c r="A279" l="1"/>
  <c r="C278"/>
  <c r="C195"/>
  <c r="A196"/>
  <c r="C236"/>
  <c r="B237"/>
  <c r="B238" s="1"/>
  <c r="B158"/>
  <c r="C157"/>
  <c r="A89"/>
  <c r="C88"/>
  <c r="A51"/>
  <c r="A280" l="1"/>
  <c r="C279"/>
  <c r="C196"/>
  <c r="A197"/>
  <c r="C238"/>
  <c r="B239"/>
  <c r="C239" s="1"/>
  <c r="C237"/>
  <c r="C158"/>
  <c r="B159"/>
  <c r="C159" s="1"/>
  <c r="C89"/>
  <c r="A90"/>
  <c r="A52"/>
  <c r="B29"/>
  <c r="B30" s="1"/>
  <c r="C30" s="1"/>
  <c r="C280" l="1"/>
  <c r="A198"/>
  <c r="C197"/>
  <c r="C29"/>
  <c r="A91"/>
  <c r="C90"/>
  <c r="B31"/>
  <c r="A199" l="1"/>
  <c r="C199" s="1"/>
  <c r="C198"/>
  <c r="A92"/>
  <c r="C91"/>
  <c r="C31"/>
  <c r="B32"/>
  <c r="A93" l="1"/>
  <c r="C92"/>
  <c r="C32"/>
  <c r="B33"/>
  <c r="C93" l="1"/>
  <c r="A94"/>
  <c r="C33"/>
  <c r="B34"/>
  <c r="C94" l="1"/>
  <c r="A95"/>
  <c r="B35"/>
  <c r="C34"/>
  <c r="A96" l="1"/>
  <c r="C95"/>
  <c r="B36"/>
  <c r="C35"/>
  <c r="C96" l="1"/>
  <c r="A97"/>
  <c r="B37"/>
  <c r="C36"/>
  <c r="C97" l="1"/>
  <c r="A98"/>
  <c r="C37"/>
  <c r="B38"/>
  <c r="A99" l="1"/>
  <c r="C98"/>
  <c r="C38"/>
  <c r="B39"/>
  <c r="C99" l="1"/>
  <c r="A100"/>
  <c r="B40"/>
  <c r="C39"/>
  <c r="A101" l="1"/>
  <c r="C100"/>
  <c r="C40"/>
  <c r="B41"/>
  <c r="A102" l="1"/>
  <c r="C101"/>
  <c r="B42"/>
  <c r="C41"/>
  <c r="C102" l="1"/>
  <c r="A103"/>
  <c r="C42"/>
  <c r="B43"/>
  <c r="C103" l="1"/>
  <c r="A104"/>
  <c r="C43"/>
  <c r="B44"/>
  <c r="C104" l="1"/>
  <c r="A105"/>
  <c r="C44"/>
  <c r="B45"/>
  <c r="A106" l="1"/>
  <c r="C105"/>
  <c r="C45"/>
  <c r="B46"/>
  <c r="C106" l="1"/>
  <c r="A107"/>
  <c r="B47"/>
  <c r="C46"/>
  <c r="C107" l="1"/>
  <c r="A108"/>
  <c r="C47"/>
  <c r="B48"/>
  <c r="C108" l="1"/>
  <c r="A109"/>
  <c r="C48"/>
  <c r="B49"/>
  <c r="A110" l="1"/>
  <c r="C109"/>
  <c r="B50"/>
  <c r="C49"/>
  <c r="C110" l="1"/>
  <c r="A111"/>
  <c r="C50"/>
  <c r="B51"/>
  <c r="A112" l="1"/>
  <c r="C111"/>
  <c r="C51"/>
  <c r="B52"/>
  <c r="C52" s="1"/>
  <c r="C112" l="1"/>
  <c r="A113"/>
  <c r="C113" l="1"/>
  <c r="A114"/>
  <c r="C114" l="1"/>
  <c r="A115"/>
  <c r="C115" l="1"/>
  <c r="A116"/>
  <c r="C116" l="1"/>
  <c r="A117"/>
  <c r="C117" l="1"/>
  <c r="A118"/>
  <c r="A119" l="1"/>
  <c r="C119" s="1"/>
  <c r="C118"/>
</calcChain>
</file>

<file path=xl/sharedStrings.xml><?xml version="1.0" encoding="utf-8"?>
<sst xmlns="http://schemas.openxmlformats.org/spreadsheetml/2006/main" count="1664" uniqueCount="845">
  <si>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</si>
  <si>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</si>
  <si>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</si>
  <si>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</si>
  <si>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</si>
  <si>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</si>
  <si>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</si>
  <si>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</si>
  <si>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</si>
  <si>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</si>
  <si>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</si>
  <si>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</si>
  <si>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</si>
  <si>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</si>
  <si>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</si>
  <si>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</si>
  <si>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</si>
  <si>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</si>
  <si>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</si>
  <si>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</si>
  <si>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</si>
  <si>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</si>
  <si>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</si>
  <si>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</si>
  <si>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</si>
  <si>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</si>
  <si>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</si>
  <si>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</si>
  <si>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</si>
  <si>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</si>
  <si>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</si>
  <si>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</si>
  <si>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</si>
  <si>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</si>
  <si>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</si>
  <si>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</si>
  <si>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</si>
  <si>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</si>
  <si>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</si>
  <si>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</si>
  <si>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</si>
  <si>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</si>
  <si>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</si>
  <si>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</si>
  <si>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</si>
  <si>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</si>
  <si>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</si>
  <si>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</si>
  <si>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</si>
  <si>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</si>
  <si>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</si>
  <si>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</si>
  <si>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</si>
  <si>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</si>
  <si>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</si>
  <si>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</si>
  <si>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</si>
  <si>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</si>
  <si>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</si>
  <si>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</si>
  <si>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</si>
  <si>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</si>
  <si>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</si>
  <si>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</si>
  <si>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</si>
  <si>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</si>
  <si>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</si>
  <si>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</si>
  <si>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</si>
  <si>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</si>
  <si>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</si>
  <si>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</si>
  <si>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</si>
  <si>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</si>
  <si>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</si>
  <si>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</si>
  <si>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</si>
  <si>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</si>
  <si>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</si>
  <si>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</si>
  <si>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</si>
  <si>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</si>
  <si>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</si>
  <si>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</si>
  <si>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</si>
  <si>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</si>
  <si>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</si>
  <si>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</si>
  <si>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</si>
  <si>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</si>
  <si>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</si>
  <si>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</si>
  <si>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</si>
  <si>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</si>
  <si>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</si>
  <si>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</si>
  <si>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</si>
  <si>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</si>
  <si>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</si>
  <si>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</si>
  <si>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</si>
  <si>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</si>
  <si>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</si>
  <si>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</si>
  <si>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</si>
  <si>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</si>
  <si>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</si>
  <si>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</si>
  <si>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</si>
  <si>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</si>
  <si>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</si>
  <si>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</si>
  <si>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</si>
  <si>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</si>
  <si>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</si>
  <si>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</si>
  <si>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</si>
  <si>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</si>
  <si>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</si>
  <si>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</si>
  <si>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</si>
  <si>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</si>
  <si>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</si>
  <si>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</si>
  <si>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</si>
  <si>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</si>
  <si>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</si>
  <si>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</si>
  <si>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</si>
  <si>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</si>
  <si>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</si>
  <si>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</si>
  <si>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</si>
  <si>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</si>
  <si>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</si>
  <si>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</si>
  <si>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</si>
  <si>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</si>
  <si>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</si>
  <si>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</si>
  <si>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</si>
  <si>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</si>
  <si>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</si>
  <si>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</si>
  <si>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</si>
  <si>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</si>
  <si>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</si>
  <si>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</si>
  <si>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</si>
  <si>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</si>
  <si>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</si>
  <si>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</si>
  <si>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</si>
  <si>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</si>
  <si>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</si>
  <si>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</si>
  <si>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</si>
  <si>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</si>
  <si>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</si>
  <si>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</si>
  <si>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</si>
  <si>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</si>
  <si>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</si>
  <si>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</si>
  <si>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</si>
  <si>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</si>
  <si>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</si>
  <si>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</si>
  <si>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</si>
  <si>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</si>
  <si>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</si>
  <si>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</si>
  <si>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</si>
  <si>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</si>
  <si>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</si>
  <si>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</si>
  <si>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</si>
  <si>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</si>
  <si>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</si>
  <si>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</si>
  <si>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</si>
  <si>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</si>
  <si>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</si>
  <si>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</si>
  <si>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</si>
  <si>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</si>
  <si>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</si>
  <si>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</si>
  <si>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</si>
  <si>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</si>
  <si>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</si>
  <si>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</si>
  <si>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</si>
  <si>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</si>
  <si>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</si>
  <si>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</si>
  <si>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</si>
  <si>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</si>
  <si>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</si>
  <si>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</si>
  <si>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</si>
  <si>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</si>
  <si>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</si>
  <si>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</si>
  <si>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</si>
  <si>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</si>
  <si>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</si>
  <si>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</si>
  <si>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</si>
  <si>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</si>
  <si>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</si>
  <si>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</si>
  <si>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</si>
  <si>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</si>
  <si>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</si>
  <si>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</si>
  <si>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</si>
  <si>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</si>
  <si>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</si>
  <si>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</si>
  <si>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</si>
  <si>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</si>
  <si>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</si>
  <si>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</si>
  <si>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</si>
  <si>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</si>
  <si>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</si>
  <si>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</si>
  <si>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</si>
  <si>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</si>
  <si>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</si>
  <si>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</si>
  <si>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</si>
  <si>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</si>
  <si>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</si>
  <si>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</si>
  <si>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</si>
  <si>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</si>
  <si>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</si>
  <si>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</si>
  <si>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</si>
  <si>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</si>
  <si>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</si>
  <si>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</si>
  <si>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</si>
  <si>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</si>
  <si>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</si>
  <si>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</si>
  <si>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</si>
  <si>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</si>
  <si>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</si>
  <si>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</si>
  <si>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</si>
  <si>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</si>
  <si>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</si>
  <si>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</si>
  <si>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</si>
  <si>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</si>
  <si>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</si>
  <si>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</si>
  <si>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</si>
  <si>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</si>
  <si>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</si>
  <si>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</si>
  <si>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</si>
  <si>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</si>
  <si>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</si>
  <si>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</si>
  <si>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</si>
  <si>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</si>
  <si>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</si>
  <si>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</si>
  <si>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</si>
  <si>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</si>
  <si>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</si>
  <si>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</si>
  <si>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</si>
  <si>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</si>
  <si>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</si>
  <si>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</si>
  <si>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</si>
  <si>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</si>
  <si>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</si>
  <si>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</si>
  <si>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</si>
  <si>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</si>
  <si>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</si>
  <si>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</si>
  <si>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</si>
  <si>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</si>
  <si>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</si>
  <si>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</si>
  <si>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</si>
  <si>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</si>
  <si>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</si>
  <si>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</si>
  <si>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</si>
  <si>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</si>
  <si>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</si>
  <si>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</si>
  <si>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</si>
  <si>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</si>
  <si>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</si>
  <si>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</si>
  <si>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</si>
  <si>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</si>
  <si>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</si>
  <si>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</si>
  <si>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</si>
  <si>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</si>
  <si>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</si>
  <si>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</si>
  <si>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</si>
  <si>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</si>
  <si>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</si>
  <si>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</si>
  <si>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</si>
  <si>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</si>
  <si>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</si>
  <si>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</si>
  <si>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</si>
  <si>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</si>
  <si>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</si>
  <si>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</si>
  <si>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</si>
  <si>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</si>
  <si>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</si>
  <si>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</si>
  <si>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</si>
  <si>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</si>
  <si>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</si>
  <si>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</si>
  <si>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</si>
  <si>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</si>
  <si>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</si>
  <si>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</si>
  <si>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</si>
  <si>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</si>
  <si>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</si>
  <si>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</si>
  <si>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</si>
  <si>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</si>
  <si>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</si>
  <si>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</si>
  <si>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</si>
  <si>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</si>
  <si>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</si>
  <si>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</si>
  <si>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</si>
  <si>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</si>
  <si>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</si>
  <si>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</si>
  <si>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</si>
  <si>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</si>
  <si>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</si>
  <si>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</si>
  <si>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</si>
  <si>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</si>
  <si>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</si>
  <si>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</si>
  <si>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</si>
  <si>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</si>
  <si>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</si>
  <si>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</si>
  <si>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</si>
  <si>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</si>
  <si>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</si>
  <si>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</si>
  <si>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</si>
  <si>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</si>
  <si>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</si>
  <si>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</si>
  <si>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</si>
  <si>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</si>
  <si>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</si>
  <si>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</si>
  <si>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</si>
  <si>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</si>
  <si>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</si>
  <si>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</si>
  <si>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</si>
  <si>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</si>
  <si>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</si>
  <si>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</si>
  <si>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</si>
  <si>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</si>
  <si>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</si>
  <si>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</si>
  <si>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</si>
  <si>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</si>
  <si>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</si>
  <si>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</si>
  <si>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</si>
  <si>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</si>
  <si>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</si>
  <si>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</si>
  <si>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</si>
  <si>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</si>
  <si>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</si>
  <si>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</si>
  <si>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</si>
  <si>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</si>
  <si>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</si>
  <si>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</si>
  <si>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</si>
  <si>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</si>
  <si>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</si>
  <si>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</si>
  <si>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</si>
  <si>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</si>
  <si>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</si>
  <si>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</si>
  <si>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</si>
  <si>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</si>
  <si>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</si>
  <si>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</si>
  <si>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</si>
  <si>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</si>
  <si>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</si>
  <si>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</si>
  <si>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</si>
  <si>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</si>
  <si>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</si>
  <si>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</si>
  <si>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</si>
  <si>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</si>
  <si>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</si>
  <si>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</si>
  <si>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</si>
  <si>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</si>
  <si>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</si>
  <si>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</si>
  <si>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</si>
  <si>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</si>
  <si>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</si>
  <si>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</si>
  <si>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</si>
  <si>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</si>
  <si>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</si>
  <si>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</si>
  <si>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</si>
  <si>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</si>
  <si>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</si>
  <si>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</si>
  <si>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</si>
  <si>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</si>
  <si>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</si>
  <si>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</si>
  <si>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</si>
  <si>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</si>
  <si>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</si>
  <si>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</si>
  <si>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</si>
  <si>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</si>
  <si>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</si>
  <si>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</si>
  <si>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</si>
  <si>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</si>
  <si>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</si>
  <si>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</si>
  <si>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</si>
  <si>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</si>
  <si>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</si>
  <si>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</si>
  <si>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</si>
  <si>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</si>
  <si>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</si>
  <si>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</si>
  <si>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</si>
  <si>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</si>
  <si>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</si>
  <si>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</si>
  <si>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</si>
  <si>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</si>
  <si>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</si>
  <si>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</si>
  <si>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</si>
  <si>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</si>
  <si>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</si>
  <si>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</si>
  <si>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</si>
  <si>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</si>
  <si>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</si>
  <si>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</si>
  <si>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</si>
  <si>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</si>
  <si>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</si>
  <si>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</si>
  <si>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</si>
  <si>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</si>
  <si>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</si>
  <si>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</si>
  <si>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</si>
  <si>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</si>
  <si>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</si>
  <si>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</si>
  <si>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</si>
  <si>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</si>
  <si>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</si>
  <si>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</si>
  <si>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</si>
  <si>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</si>
  <si>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</si>
  <si>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</si>
  <si>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</si>
  <si>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</si>
  <si>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</si>
  <si>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</si>
  <si>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</si>
  <si>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</si>
  <si>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</si>
  <si>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</si>
  <si>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</si>
  <si>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</si>
  <si>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</si>
  <si>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</si>
  <si>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</si>
  <si>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</si>
  <si>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</si>
  <si>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</si>
  <si>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</si>
  <si>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</si>
  <si>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</si>
  <si>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</si>
  <si>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</si>
  <si>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</si>
  <si>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</si>
  <si>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</si>
  <si>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</si>
  <si>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</si>
  <si>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</si>
  <si>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</si>
  <si>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</si>
  <si>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</si>
  <si>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</si>
  <si>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</si>
  <si>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</si>
  <si>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</si>
  <si>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</si>
  <si>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</si>
  <si>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</si>
  <si>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</si>
  <si>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</si>
  <si>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</si>
  <si>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</si>
  <si>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</si>
  <si>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</si>
  <si>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</si>
  <si>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</si>
  <si>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</si>
  <si>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</si>
  <si>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</si>
  <si>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</si>
  <si>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</si>
  <si>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</si>
  <si>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</si>
  <si>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</si>
  <si>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</si>
  <si>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</si>
  <si>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</si>
  <si>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</si>
  <si>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</si>
  <si>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</si>
  <si>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</si>
  <si>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</si>
  <si>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</si>
  <si>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</si>
  <si>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</si>
  <si>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</si>
  <si>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</si>
  <si>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</si>
  <si>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</si>
  <si>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</si>
  <si>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</si>
  <si>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</si>
  <si>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</si>
  <si>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</si>
  <si>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</si>
  <si>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</si>
  <si>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</si>
  <si>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</si>
  <si>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</si>
  <si>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</si>
  <si>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</si>
  <si>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</si>
  <si>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</si>
  <si>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</si>
  <si>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</si>
  <si>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</si>
  <si>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</si>
  <si>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</si>
  <si>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</si>
  <si>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</si>
  <si>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</si>
  <si>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</si>
  <si>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</si>
  <si>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</si>
  <si>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</si>
  <si>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</si>
  <si>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</si>
  <si>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</si>
  <si>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</si>
  <si>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</si>
  <si>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</si>
  <si>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</si>
  <si>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</si>
  <si>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</si>
  <si>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</si>
  <si>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</si>
  <si>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</si>
  <si>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</si>
  <si>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</si>
  <si>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</si>
  <si>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</si>
  <si>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</si>
  <si>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</si>
  <si>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</si>
  <si>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</si>
  <si>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</si>
  <si>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</si>
  <si>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</si>
  <si>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</si>
  <si>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</si>
  <si>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</si>
  <si>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</si>
  <si>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</si>
  <si>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</si>
  <si>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</si>
  <si>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</si>
  <si>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</si>
  <si>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</si>
  <si>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</si>
  <si>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</si>
  <si>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</si>
  <si>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</si>
  <si>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</si>
  <si>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</si>
  <si>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</si>
  <si>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</si>
  <si>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</si>
  <si>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</si>
  <si>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</si>
  <si>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</si>
  <si>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</si>
  <si>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</si>
  <si>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</si>
  <si>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</si>
  <si>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</si>
  <si>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</si>
  <si>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</si>
  <si>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</si>
  <si>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</si>
  <si>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</si>
  <si>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</si>
  <si>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</si>
  <si>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</si>
  <si>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</si>
  <si>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</si>
  <si>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</si>
  <si>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</si>
  <si>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</si>
  <si>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</si>
  <si>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</si>
  <si>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</si>
  <si>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</si>
  <si>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</si>
  <si>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</si>
  <si>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</si>
  <si>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</si>
  <si>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</si>
  <si>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</si>
  <si>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</si>
  <si>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</si>
  <si>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</si>
  <si>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</si>
  <si>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</si>
  <si>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</si>
  <si>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</si>
  <si>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</si>
  <si>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</si>
  <si>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</si>
  <si>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</si>
  <si>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</si>
  <si>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</si>
  <si>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</si>
  <si>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</si>
  <si>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흑흑.. 형님ㅜㅜ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</si>
  <si>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</si>
  <si>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</si>
  <si>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</si>
  <si>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</si>
  <si>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</si>
  <si>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</si>
  <si>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</si>
  <si>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</si>
  <si>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</si>
  <si>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</si>
  <si>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</si>
  <si>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</si>
  <si>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</si>
  <si>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</si>
  <si>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</si>
  <si>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</si>
  <si>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</si>
  <si>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</si>
  <si>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</si>
  <si>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</si>
  <si>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</si>
  <si>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</si>
  <si>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</si>
  <si>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</si>
  <si>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자 그럼, 다음에 또 보자고~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</si>
  <si>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</si>
  <si>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</si>
  <si>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</si>
  <si>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</si>
  <si>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</si>
  <si>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</si>
  <si>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</si>
  <si>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</si>
  <si>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</si>
  <si>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</si>
  <si>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</si>
  <si>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</si>
  <si>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</si>
  <si>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</si>
  <si>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</si>
  <si>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</si>
  <si>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</si>
  <si>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</si>
  <si>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</si>
  <si>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</si>
  <si>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</si>
  <si>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</si>
  <si>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</si>
  <si>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</si>
  <si>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</si>
  <si>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</si>
  <si>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</si>
  <si>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</si>
  <si>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</si>
  <si>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</si>
  <si>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</si>
  <si>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</si>
  <si>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</si>
  <si>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</si>
  <si>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</si>
  <si>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</si>
  <si>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</si>
  <si>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</si>
  <si>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</si>
  <si>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</si>
  <si>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</si>
  <si>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</si>
  <si>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</si>
  <si>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</si>
  <si>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</si>
  <si>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</si>
  <si>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</si>
  <si>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</si>
  <si>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</si>
  <si>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</si>
  <si>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</si>
  <si>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</si>
  <si>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</si>
  <si>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</si>
  <si>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</si>
  <si>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</si>
  <si>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</si>
  <si>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</si>
  <si>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</si>
  <si>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</si>
  <si>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</si>
  <si>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</si>
  <si>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</si>
  <si>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</si>
  <si>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</si>
  <si>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</si>
  <si>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</si>
  <si>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</si>
  <si>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</si>
  <si>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</si>
  <si>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</si>
  <si>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</si>
  <si>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이제야 안심이구나ㅋ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</si>
  <si>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</si>
  <si>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</si>
  <si>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</si>
  <si>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</si>
  <si>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</si>
  <si>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</si>
  <si>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</si>
  <si>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</si>
  <si>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</si>
  <si>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</si>
  <si>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</si>
  <si>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</si>
  <si>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</si>
  <si>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</si>
  <si>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</si>
  <si>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이야앗!!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</si>
  <si>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</si>
  <si>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</si>
  <si>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</si>
  <si>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</si>
  <si>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</si>
  <si>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</si>
  <si>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3년동안 제삿밥만 먹더니
살이 좀 빠졌구나, 막내야.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</si>
  <si>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</si>
  <si>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</si>
  <si>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</si>
  <si>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</si>
  <si>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 xml:space="preserve"> '동소'라고 했던가? 네 놈을 위왕에
봉하라는 상소를 올렸다지?ㅋ</t>
    <phoneticPr fontId="1" type="noConversion"/>
  </si>
  <si>
    <t>어리석은!! 난 한 나라의 신하일 뿐,
천하를 편안하게 하는 것 외엔 관심없다!</t>
    <phoneticPr fontId="1" type="noConversion"/>
  </si>
  <si>
    <t>ㅋㅋ 곧 죽을 놈이 말이 많구나!!</t>
    <phoneticPr fontId="1" type="noConversion"/>
  </si>
  <si>
    <t>..번개?</t>
    <phoneticPr fontId="1" type="noConversion"/>
  </si>
  <si>
    <t>ㅋㅋㅋ 오거라ㅋ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</si>
  <si>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</si>
  <si>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</si>
  <si>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</si>
  <si>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</si>
  <si>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ㅋㅋㅋ 겨우 이정도가
장익덕의 힘이더냐?ㅋ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</si>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</sst>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7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8"/>
  <sheetViews>
    <sheetView topLeftCell="A40" workbookViewId="0">
      <selection activeCell="D58" sqref="D58"/>
    </sheetView>
  </sheetViews>
  <sheetFormatPr defaultRowHeight="17"/>
  <cols>
    <col min="2" max="2" width="38.08203125" bestFit="1" customWidth="1"/>
    <col min="3" max="4" width="40.83203125" customWidth="1"/>
  </cols>
  <sheetData>
    <row r="1" spans="1:4">
      <c r="A1" s="1" t="s">
        <v>384</v>
      </c>
      <c r="B1" s="1" t="s">
        <v>3</v>
      </c>
      <c r="C1" s="2" t="s">
        <v>0</v>
      </c>
      <c r="D1" s="2" t="s">
        <v>1</v>
      </c>
    </row>
    <row r="2" spans="1:4">
      <c r="A2" s="1" t="s">
        <v>2</v>
      </c>
      <c r="B2" s="1" t="s">
        <v>2</v>
      </c>
      <c r="C2" s="2" t="s">
        <v>2</v>
      </c>
      <c r="D2" s="2" t="s">
        <v>2</v>
      </c>
    </row>
    <row r="3" spans="1:4">
      <c r="B3" t="s">
        <v>83</v>
      </c>
      <c r="C3" t="s">
        <v>84</v>
      </c>
    </row>
    <row r="4" spans="1:4">
      <c r="B4" t="s">
        <v>86</v>
      </c>
      <c r="C4" s="3" t="s">
        <v>95</v>
      </c>
    </row>
    <row r="5" spans="1:4">
      <c r="B5" t="s">
        <v>93</v>
      </c>
      <c r="C5" s="3" t="s">
        <v>102</v>
      </c>
    </row>
    <row r="6" spans="1:4">
      <c r="B6" t="s">
        <v>91</v>
      </c>
      <c r="C6" s="3" t="s">
        <v>100</v>
      </c>
    </row>
    <row r="7" spans="1:4">
      <c r="B7" t="s">
        <v>92</v>
      </c>
      <c r="C7" s="3" t="s">
        <v>101</v>
      </c>
    </row>
    <row r="8" spans="1:4">
      <c r="B8" t="s">
        <v>90</v>
      </c>
      <c r="C8" s="3" t="s">
        <v>99</v>
      </c>
    </row>
    <row r="9" spans="1:4">
      <c r="B9" t="s">
        <v>85</v>
      </c>
      <c r="C9" s="3" t="s">
        <v>94</v>
      </c>
    </row>
    <row r="10" spans="1:4">
      <c r="B10" t="s">
        <v>87</v>
      </c>
      <c r="C10" s="3" t="s">
        <v>96</v>
      </c>
    </row>
    <row r="11" spans="1:4">
      <c r="B11" t="s">
        <v>89</v>
      </c>
      <c r="C11" s="3" t="s">
        <v>98</v>
      </c>
    </row>
    <row r="12" spans="1:4">
      <c r="B12" t="s">
        <v>88</v>
      </c>
      <c r="C12" s="3" t="s">
        <v>97</v>
      </c>
    </row>
    <row r="13" spans="1:4">
      <c r="B13" t="s">
        <v>114</v>
      </c>
      <c r="C13" s="3" t="s">
        <v>123</v>
      </c>
    </row>
    <row r="14" spans="1:4">
      <c r="B14" t="s">
        <v>118</v>
      </c>
      <c r="C14" t="s">
        <v>119</v>
      </c>
    </row>
    <row r="15" spans="1:4">
      <c r="B15" t="s">
        <v>115</v>
      </c>
      <c r="C15" s="3" t="s">
        <v>122</v>
      </c>
    </row>
    <row r="16" spans="1:4">
      <c r="B16" t="s">
        <v>117</v>
      </c>
      <c r="C16" t="s">
        <v>120</v>
      </c>
    </row>
    <row r="17" spans="2:3">
      <c r="B17" t="s">
        <v>116</v>
      </c>
      <c r="C17" t="s">
        <v>121</v>
      </c>
    </row>
    <row r="18" spans="2:3">
      <c r="B18" t="s">
        <v>113</v>
      </c>
      <c r="C18" s="3" t="s">
        <v>124</v>
      </c>
    </row>
    <row r="19" spans="2:3">
      <c r="B19" t="s">
        <v>106</v>
      </c>
      <c r="C19" s="3" t="s">
        <v>111</v>
      </c>
    </row>
    <row r="20" spans="2:3">
      <c r="B20" t="s">
        <v>112</v>
      </c>
      <c r="C20" s="3" t="s">
        <v>109</v>
      </c>
    </row>
    <row r="21" spans="2:3">
      <c r="B21" t="s">
        <v>103</v>
      </c>
      <c r="C21" s="3" t="s">
        <v>107</v>
      </c>
    </row>
    <row r="22" spans="2:3">
      <c r="B22" t="s">
        <v>105</v>
      </c>
      <c r="C22" s="3" t="s">
        <v>110</v>
      </c>
    </row>
    <row r="23" spans="2:3">
      <c r="B23" t="s">
        <v>104</v>
      </c>
      <c r="C23" s="3" t="s">
        <v>108</v>
      </c>
    </row>
    <row r="24" spans="2:3">
      <c r="B24" s="17" t="s">
        <v>154</v>
      </c>
      <c r="C24" s="17" t="s">
        <v>146</v>
      </c>
    </row>
    <row r="25" spans="2:3">
      <c r="B25" s="17" t="s">
        <v>155</v>
      </c>
      <c r="C25" s="17" t="s">
        <v>147</v>
      </c>
    </row>
    <row r="26" spans="2:3">
      <c r="B26" s="17" t="s">
        <v>156</v>
      </c>
      <c r="C26" s="17" t="s">
        <v>148</v>
      </c>
    </row>
    <row r="27" spans="2:3">
      <c r="B27" s="17" t="s">
        <v>157</v>
      </c>
      <c r="C27" s="17" t="s">
        <v>149</v>
      </c>
    </row>
    <row r="28" spans="2:3">
      <c r="B28" s="17" t="s">
        <v>153</v>
      </c>
      <c r="C28" s="17" t="s">
        <v>62</v>
      </c>
    </row>
    <row r="29" spans="2:3">
      <c r="B29" t="s">
        <v>63</v>
      </c>
      <c r="C29" s="3" t="s">
        <v>64</v>
      </c>
    </row>
    <row r="30" spans="2:3">
      <c r="B30" t="s">
        <v>65</v>
      </c>
      <c r="C30" s="3" t="s">
        <v>68</v>
      </c>
    </row>
    <row r="31" spans="2:3">
      <c r="B31" t="s">
        <v>66</v>
      </c>
      <c r="C31" s="3" t="s">
        <v>67</v>
      </c>
    </row>
    <row r="32" spans="2:3">
      <c r="B32" t="s">
        <v>69</v>
      </c>
      <c r="C32" s="3" t="s">
        <v>70</v>
      </c>
    </row>
    <row r="33" spans="1:4">
      <c r="B33" t="s">
        <v>61</v>
      </c>
      <c r="C33" s="3" t="s">
        <v>62</v>
      </c>
    </row>
    <row r="34" spans="1:4">
      <c r="B34" t="s">
        <v>151</v>
      </c>
      <c r="C34" t="s">
        <v>77</v>
      </c>
    </row>
    <row r="35" spans="1:4">
      <c r="B35" t="s">
        <v>74</v>
      </c>
      <c r="C35" t="s">
        <v>75</v>
      </c>
    </row>
    <row r="36" spans="1:4">
      <c r="B36" t="s">
        <v>150</v>
      </c>
      <c r="C36" t="s">
        <v>79</v>
      </c>
    </row>
    <row r="37" spans="1:4">
      <c r="B37" t="s">
        <v>80</v>
      </c>
      <c r="C37" t="s">
        <v>76</v>
      </c>
    </row>
    <row r="38" spans="1:4">
      <c r="B38" t="s">
        <v>152</v>
      </c>
      <c r="C38" t="s">
        <v>78</v>
      </c>
    </row>
    <row r="39" spans="1:4">
      <c r="B39" t="s">
        <v>53</v>
      </c>
      <c r="C39" s="3" t="s">
        <v>54</v>
      </c>
      <c r="D39" s="3"/>
    </row>
    <row r="40" spans="1:4">
      <c r="B40" t="s">
        <v>164</v>
      </c>
      <c r="C40" t="s">
        <v>165</v>
      </c>
    </row>
    <row r="41" spans="1:4">
      <c r="B41" t="s">
        <v>267</v>
      </c>
      <c r="C41" t="s">
        <v>263</v>
      </c>
    </row>
    <row r="42" spans="1:4">
      <c r="B42" t="s">
        <v>265</v>
      </c>
      <c r="C42" t="s">
        <v>261</v>
      </c>
    </row>
    <row r="43" spans="1:4">
      <c r="B43" t="s">
        <v>264</v>
      </c>
      <c r="C43" t="s">
        <v>260</v>
      </c>
    </row>
    <row r="44" spans="1:4">
      <c r="B44" t="s">
        <v>266</v>
      </c>
      <c r="C44" t="s">
        <v>262</v>
      </c>
    </row>
    <row r="45" spans="1:4">
      <c r="B45" t="s">
        <v>163</v>
      </c>
      <c r="C45" t="s">
        <v>159</v>
      </c>
    </row>
    <row r="46" spans="1:4">
      <c r="B46" t="s">
        <v>161</v>
      </c>
      <c r="C46" t="s">
        <v>158</v>
      </c>
    </row>
    <row r="47" spans="1:4">
      <c r="B47" t="s">
        <v>162</v>
      </c>
      <c r="C47" t="s">
        <v>160</v>
      </c>
    </row>
    <row r="48" spans="1:4">
      <c r="A48" t="s">
        <v>543</v>
      </c>
      <c r="B48" t="str">
        <f>"SORTTYPE_"&amp;A48</f>
        <v>SORTTYPE_CLASS</v>
      </c>
      <c r="C48" t="s">
        <v>548</v>
      </c>
    </row>
    <row r="49" spans="1:4">
      <c r="A49" t="s">
        <v>544</v>
      </c>
      <c r="B49" t="str">
        <f>"SORTTYPE_"&amp;A49</f>
        <v>SORTTYPE_GRADE</v>
      </c>
      <c r="C49" t="s">
        <v>549</v>
      </c>
    </row>
    <row r="50" spans="1:4">
      <c r="A50" t="s">
        <v>545</v>
      </c>
      <c r="B50" t="str">
        <f>"SORTTYPE_"&amp;A50</f>
        <v>SORTTYPE_LEVEL</v>
      </c>
      <c r="C50" t="s">
        <v>550</v>
      </c>
    </row>
    <row r="51" spans="1:4">
      <c r="A51" t="s">
        <v>546</v>
      </c>
      <c r="B51" t="str">
        <f>"SORTTYPE_"&amp;A51</f>
        <v>SORTTYPE_POWER</v>
      </c>
      <c r="C51" t="s">
        <v>551</v>
      </c>
    </row>
    <row r="52" spans="1:4">
      <c r="A52" t="s">
        <v>542</v>
      </c>
      <c r="B52" t="str">
        <f>"SORTTYPE_"&amp;A52</f>
        <v>SORTTYPE_REGION</v>
      </c>
      <c r="C52" t="s">
        <v>547</v>
      </c>
    </row>
    <row r="53" spans="1:4">
      <c r="B53" t="s">
        <v>552</v>
      </c>
      <c r="C53" t="s">
        <v>368</v>
      </c>
    </row>
    <row r="54" spans="1:4">
      <c r="B54" t="s">
        <v>520</v>
      </c>
      <c r="C54" t="s">
        <v>529</v>
      </c>
    </row>
    <row r="55" spans="1:4">
      <c r="B55" t="s">
        <v>516</v>
      </c>
      <c r="C55" t="s">
        <v>523</v>
      </c>
    </row>
    <row r="56" spans="1:4">
      <c r="B56" t="s">
        <v>521</v>
      </c>
      <c r="C56" t="s">
        <v>528</v>
      </c>
    </row>
    <row r="57" spans="1:4">
      <c r="B57" t="s">
        <v>517</v>
      </c>
      <c r="C57" t="s">
        <v>524</v>
      </c>
    </row>
    <row r="58" spans="1:4">
      <c r="B58" t="s">
        <v>519</v>
      </c>
      <c r="C58" t="s">
        <v>526</v>
      </c>
    </row>
    <row r="59" spans="1:4">
      <c r="B59" t="s">
        <v>515</v>
      </c>
      <c r="C59" t="s">
        <v>553</v>
      </c>
    </row>
    <row r="60" spans="1:4">
      <c r="B60" t="s">
        <v>522</v>
      </c>
      <c r="C60" t="s">
        <v>527</v>
      </c>
    </row>
    <row r="61" spans="1:4">
      <c r="B61" t="s">
        <v>518</v>
      </c>
      <c r="C61" t="s">
        <v>525</v>
      </c>
    </row>
    <row r="62" spans="1:4">
      <c r="B62" t="s">
        <v>286</v>
      </c>
      <c r="C62" t="s">
        <v>292</v>
      </c>
      <c r="D62" t="s">
        <v>299</v>
      </c>
    </row>
    <row r="63" spans="1:4">
      <c r="B63" t="s">
        <v>282</v>
      </c>
      <c r="C63" t="s">
        <v>281</v>
      </c>
      <c r="D63" t="s">
        <v>295</v>
      </c>
    </row>
    <row r="64" spans="1:4">
      <c r="B64" t="s">
        <v>287</v>
      </c>
      <c r="C64" t="s">
        <v>293</v>
      </c>
      <c r="D64" t="s">
        <v>300</v>
      </c>
    </row>
    <row r="65" spans="2:4">
      <c r="B65" t="s">
        <v>288</v>
      </c>
      <c r="C65" t="s">
        <v>294</v>
      </c>
      <c r="D65" t="s">
        <v>301</v>
      </c>
    </row>
    <row r="66" spans="2:4">
      <c r="B66" t="s">
        <v>285</v>
      </c>
      <c r="C66" t="s">
        <v>291</v>
      </c>
      <c r="D66" t="s">
        <v>298</v>
      </c>
    </row>
    <row r="67" spans="2:4">
      <c r="B67" t="s">
        <v>283</v>
      </c>
      <c r="C67" t="s">
        <v>289</v>
      </c>
      <c r="D67" t="s">
        <v>296</v>
      </c>
    </row>
    <row r="68" spans="2:4">
      <c r="B68" t="s">
        <v>284</v>
      </c>
      <c r="C68" t="s">
        <v>290</v>
      </c>
      <c r="D68" t="s">
        <v>297</v>
      </c>
    </row>
  </sheetData>
  <sortState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selection activeCell="B29" sqref="B29"/>
    </sheetView>
  </sheetViews>
  <sheetFormatPr defaultRowHeight="17"/>
  <cols>
    <col min="1" max="1" width="24.33203125" style="6" customWidth="1"/>
    <col min="2" max="2" width="28.25" style="6" bestFit="1" customWidth="1"/>
    <col min="3" max="3" width="18.83203125" style="6" customWidth="1"/>
  </cols>
  <sheetData>
    <row r="1" spans="1:4">
      <c r="A1" s="4" t="s">
        <v>125</v>
      </c>
      <c r="B1" s="4" t="s">
        <v>3</v>
      </c>
      <c r="C1" s="5" t="s">
        <v>0</v>
      </c>
      <c r="D1" s="2" t="s">
        <v>1</v>
      </c>
    </row>
    <row r="2" spans="1:4">
      <c r="A2" s="13" t="s">
        <v>2</v>
      </c>
      <c r="B2" s="13" t="s">
        <v>2</v>
      </c>
      <c r="C2" s="14" t="s">
        <v>2</v>
      </c>
      <c r="D2" s="15" t="s">
        <v>2</v>
      </c>
    </row>
    <row r="3" spans="1:4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>
      <c r="A13" s="17"/>
      <c r="D13" s="18"/>
    </row>
    <row r="14" spans="1:4">
      <c r="A14" s="17"/>
      <c r="D14" s="18"/>
    </row>
    <row r="15" spans="1:4">
      <c r="A15" s="17"/>
      <c r="D15" s="18"/>
    </row>
    <row r="16" spans="1:4">
      <c r="A16" s="17"/>
      <c r="D16" s="18"/>
    </row>
    <row r="17" spans="1:4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02"/>
  <sheetViews>
    <sheetView topLeftCell="A82" workbookViewId="0">
      <selection activeCell="C94" sqref="C94"/>
    </sheetView>
  </sheetViews>
  <sheetFormatPr defaultRowHeight="17"/>
  <cols>
    <col min="1" max="1" width="11.25" bestFit="1" customWidth="1"/>
    <col min="2" max="2" width="13.08203125" bestFit="1" customWidth="1"/>
    <col min="4" max="4" width="48" bestFit="1" customWidth="1"/>
    <col min="5" max="6" width="50.33203125" style="3" customWidth="1"/>
    <col min="7" max="7" width="6.08203125" bestFit="1" customWidth="1"/>
  </cols>
  <sheetData>
    <row r="1" spans="1:7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4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4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4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4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4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4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4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4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4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4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4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4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4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4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4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4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4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4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>
      <c r="A81" s="27"/>
      <c r="B81" s="27"/>
      <c r="C81" s="27"/>
      <c r="D81" s="27" t="s">
        <v>39</v>
      </c>
      <c r="E81" s="27" t="s">
        <v>40</v>
      </c>
      <c r="F81" s="38"/>
    </row>
    <row r="82" spans="1:6">
      <c r="A82" s="27"/>
      <c r="B82" s="27"/>
      <c r="C82" s="27"/>
      <c r="D82" s="27" t="s">
        <v>41</v>
      </c>
      <c r="E82" s="27" t="s">
        <v>42</v>
      </c>
      <c r="F82" s="38"/>
    </row>
    <row r="83" spans="1:6">
      <c r="A83" s="27"/>
      <c r="B83" s="27"/>
      <c r="C83" s="27"/>
      <c r="D83" s="27" t="s">
        <v>44</v>
      </c>
      <c r="E83" s="27" t="s">
        <v>50</v>
      </c>
      <c r="F83" s="38"/>
    </row>
    <row r="84" spans="1:6">
      <c r="A84" s="27"/>
      <c r="B84" s="27"/>
      <c r="C84" s="27"/>
      <c r="D84" s="27" t="s">
        <v>46</v>
      </c>
      <c r="E84" s="27" t="s">
        <v>49</v>
      </c>
      <c r="F84" s="38"/>
    </row>
    <row r="85" spans="1:6">
      <c r="A85" s="27"/>
      <c r="B85" s="27"/>
      <c r="C85" s="27"/>
      <c r="D85" s="27" t="s">
        <v>43</v>
      </c>
      <c r="E85" s="27" t="s">
        <v>47</v>
      </c>
      <c r="F85" s="38"/>
    </row>
    <row r="86" spans="1:6">
      <c r="A86" s="27"/>
      <c r="B86" s="27"/>
      <c r="C86" s="27"/>
      <c r="D86" s="27" t="s">
        <v>45</v>
      </c>
      <c r="E86" s="27" t="s">
        <v>48</v>
      </c>
      <c r="F86" s="38"/>
    </row>
    <row r="87" spans="1:6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>
      <c r="A93" s="27" t="s">
        <v>451</v>
      </c>
      <c r="B93" s="27" t="s">
        <v>702</v>
      </c>
      <c r="C93" s="27" t="s">
        <v>447</v>
      </c>
      <c r="D93" s="27" t="str">
        <f t="shared" si="2"/>
        <v>NAME_WEI_FANJIANG</v>
      </c>
      <c r="E93" s="38" t="s">
        <v>691</v>
      </c>
      <c r="F93" s="38"/>
    </row>
    <row r="94" spans="1:6">
      <c r="A94" s="27" t="s">
        <v>451</v>
      </c>
      <c r="B94" s="27" t="s">
        <v>703</v>
      </c>
      <c r="C94" s="27" t="s">
        <v>447</v>
      </c>
      <c r="D94" s="27" t="str">
        <f t="shared" si="2"/>
        <v>NAME_WEI_ZHANGDA</v>
      </c>
      <c r="E94" s="38" t="s">
        <v>692</v>
      </c>
      <c r="F94" s="38"/>
    </row>
    <row r="95" spans="1:6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4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4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4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4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47"/>
  <sheetViews>
    <sheetView topLeftCell="A25" workbookViewId="0">
      <selection activeCell="B26" sqref="B26"/>
    </sheetView>
  </sheetViews>
  <sheetFormatPr defaultColWidth="9" defaultRowHeight="17"/>
  <cols>
    <col min="1" max="1" width="29.25" style="8" bestFit="1" customWidth="1"/>
    <col min="2" max="2" width="46.75" style="8" bestFit="1" customWidth="1"/>
    <col min="3" max="3" width="13.58203125" style="8" bestFit="1" customWidth="1"/>
    <col min="4" max="4" width="50.33203125" style="8" customWidth="1"/>
    <col min="5" max="5" width="6.08203125" style="8" bestFit="1" customWidth="1"/>
    <col min="6" max="16384" width="9" style="8"/>
  </cols>
  <sheetData>
    <row r="1" spans="1:5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98"/>
  <sheetViews>
    <sheetView tabSelected="1" topLeftCell="A277" workbookViewId="0">
      <selection activeCell="L280" sqref="L280"/>
    </sheetView>
  </sheetViews>
  <sheetFormatPr defaultRowHeight="17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58203125" customWidth="1"/>
    <col min="6" max="6" width="7.75" bestFit="1" customWidth="1"/>
    <col min="7" max="7" width="37.83203125" style="3" customWidth="1"/>
    <col min="8" max="8" width="50.33203125" style="3" customWidth="1"/>
    <col min="9" max="9" width="6.08203125" bestFit="1" customWidth="1"/>
  </cols>
  <sheetData>
    <row r="1" spans="1:9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4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4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4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4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4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4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4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51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4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4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4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51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4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4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4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4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4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4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4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4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4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4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726</v>
      </c>
    </row>
    <row r="43" spans="1:7" ht="34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4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4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4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4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4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4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4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4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4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4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722</v>
      </c>
    </row>
    <row r="64" spans="1:7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770</v>
      </c>
    </row>
    <row r="65" spans="1:9" ht="34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771</v>
      </c>
    </row>
    <row r="66" spans="1:9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4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4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4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4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736</v>
      </c>
    </row>
    <row r="72" spans="1:9" ht="34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724</v>
      </c>
      <c r="H72"/>
      <c r="I72" s="3"/>
    </row>
    <row r="73" spans="1:9" ht="34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4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4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4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834</v>
      </c>
    </row>
    <row r="84" spans="1:7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4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835</v>
      </c>
    </row>
    <row r="88" spans="1:7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4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705</v>
      </c>
    </row>
    <row r="92" spans="1:7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4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725</v>
      </c>
    </row>
    <row r="96" spans="1:7" ht="34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833</v>
      </c>
    </row>
    <row r="97" spans="1:7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4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4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4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4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4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4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4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4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4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832</v>
      </c>
    </row>
    <row r="112" spans="1:7" ht="34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4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831</v>
      </c>
    </row>
    <row r="115" spans="1:10" ht="34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830</v>
      </c>
    </row>
    <row r="116" spans="1:10" ht="34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4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709</v>
      </c>
    </row>
    <row r="118" spans="1:10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706</v>
      </c>
    </row>
    <row r="119" spans="1:10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707</v>
      </c>
    </row>
    <row r="122" spans="1:10" ht="34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720</v>
      </c>
    </row>
    <row r="123" spans="1:10" ht="34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704</v>
      </c>
    </row>
    <row r="124" spans="1:10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717</v>
      </c>
    </row>
    <row r="125" spans="1:10" ht="34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718</v>
      </c>
      <c r="J125" s="3"/>
    </row>
    <row r="126" spans="1:10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772</v>
      </c>
    </row>
    <row r="127" spans="1:10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4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723</v>
      </c>
    </row>
    <row r="130" spans="1:7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712</v>
      </c>
    </row>
    <row r="131" spans="1:7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4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727</v>
      </c>
    </row>
    <row r="133" spans="1:7" ht="34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732</v>
      </c>
    </row>
    <row r="134" spans="1:7" ht="34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728</v>
      </c>
    </row>
    <row r="135" spans="1:7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773</v>
      </c>
    </row>
    <row r="137" spans="1:7" ht="34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708</v>
      </c>
    </row>
    <row r="138" spans="1:7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713</v>
      </c>
    </row>
    <row r="139" spans="1:7" ht="51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729</v>
      </c>
    </row>
    <row r="140" spans="1:7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714</v>
      </c>
    </row>
    <row r="143" spans="1:7" ht="34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4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4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730</v>
      </c>
    </row>
    <row r="147" spans="1:7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719</v>
      </c>
    </row>
    <row r="148" spans="1:7" ht="34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4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4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733</v>
      </c>
    </row>
    <row r="151" spans="1:7" ht="34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734</v>
      </c>
    </row>
    <row r="152" spans="1:7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715</v>
      </c>
    </row>
    <row r="153" spans="1:7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731</v>
      </c>
    </row>
    <row r="154" spans="1:7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4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721</v>
      </c>
    </row>
    <row r="156" spans="1:7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4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716</v>
      </c>
    </row>
    <row r="158" spans="1:7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774</v>
      </c>
    </row>
    <row r="162" spans="1:7" ht="34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4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4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797</v>
      </c>
    </row>
    <row r="165" spans="1:7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737</v>
      </c>
    </row>
    <row r="168" spans="1:7" ht="34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735</v>
      </c>
    </row>
    <row r="169" spans="1:7" ht="34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715</v>
      </c>
    </row>
    <row r="171" spans="1:7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738</v>
      </c>
      <c r="F173" t="s">
        <v>738</v>
      </c>
      <c r="G173" s="3" t="s">
        <v>746</v>
      </c>
    </row>
    <row r="174" spans="1:7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738</v>
      </c>
      <c r="F174" t="s">
        <v>738</v>
      </c>
      <c r="G174" s="3" t="s">
        <v>747</v>
      </c>
    </row>
    <row r="175" spans="1:7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738</v>
      </c>
      <c r="F175" t="s">
        <v>738</v>
      </c>
      <c r="G175" s="3" t="s">
        <v>749</v>
      </c>
    </row>
    <row r="176" spans="1:7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748</v>
      </c>
    </row>
    <row r="177" spans="1:7" ht="34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742</v>
      </c>
    </row>
    <row r="178" spans="1:7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743</v>
      </c>
    </row>
    <row r="180" spans="1:7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744</v>
      </c>
    </row>
    <row r="181" spans="1:7" ht="34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798</v>
      </c>
    </row>
    <row r="182" spans="1:7" ht="34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739</v>
      </c>
    </row>
    <row r="183" spans="1:7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755</v>
      </c>
    </row>
    <row r="184" spans="1:7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740</v>
      </c>
    </row>
    <row r="185" spans="1:7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752</v>
      </c>
    </row>
    <row r="187" spans="1:7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741</v>
      </c>
    </row>
    <row r="188" spans="1:7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4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756</v>
      </c>
    </row>
    <row r="192" spans="1:7" ht="34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750</v>
      </c>
    </row>
    <row r="193" spans="1:7" ht="34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753</v>
      </c>
    </row>
    <row r="194" spans="1:7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4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757</v>
      </c>
    </row>
    <row r="196" spans="1:7" ht="34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751</v>
      </c>
    </row>
    <row r="197" spans="1:7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780</v>
      </c>
    </row>
    <row r="198" spans="1:7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4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754</v>
      </c>
    </row>
    <row r="201" spans="1:7" ht="34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758</v>
      </c>
    </row>
    <row r="202" spans="1:7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799</v>
      </c>
    </row>
    <row r="203" spans="1:7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787</v>
      </c>
    </row>
    <row r="205" spans="1:7" ht="34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788</v>
      </c>
    </row>
    <row r="206" spans="1:7" ht="34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775</v>
      </c>
    </row>
    <row r="207" spans="1:7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759</v>
      </c>
    </row>
    <row r="208" spans="1:7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789</v>
      </c>
    </row>
    <row r="210" spans="1:7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790</v>
      </c>
    </row>
    <row r="211" spans="1:7" ht="34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836</v>
      </c>
    </row>
    <row r="213" spans="1:7" ht="34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786</v>
      </c>
    </row>
    <row r="214" spans="1:7" ht="34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760</v>
      </c>
    </row>
    <row r="215" spans="1:7" ht="34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761</v>
      </c>
    </row>
    <row r="216" spans="1:7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762</v>
      </c>
    </row>
    <row r="217" spans="1:7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791</v>
      </c>
    </row>
    <row r="218" spans="1:7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776</v>
      </c>
    </row>
    <row r="219" spans="1:7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792</v>
      </c>
    </row>
    <row r="220" spans="1:7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4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763</v>
      </c>
    </row>
    <row r="222" spans="1:7" ht="34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793</v>
      </c>
    </row>
    <row r="223" spans="1:7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4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794</v>
      </c>
    </row>
    <row r="225" spans="1:7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795</v>
      </c>
    </row>
    <row r="226" spans="1:7" ht="34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837</v>
      </c>
    </row>
    <row r="227" spans="1:7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777</v>
      </c>
    </row>
    <row r="228" spans="1:7" ht="34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764</v>
      </c>
    </row>
    <row r="229" spans="1:7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765</v>
      </c>
    </row>
    <row r="230" spans="1:7" ht="34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766</v>
      </c>
    </row>
    <row r="231" spans="1:7" ht="34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767</v>
      </c>
    </row>
    <row r="232" spans="1:7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768</v>
      </c>
    </row>
    <row r="233" spans="1:7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4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838</v>
      </c>
    </row>
    <row r="236" spans="1:7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769</v>
      </c>
    </row>
    <row r="237" spans="1:7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796</v>
      </c>
    </row>
    <row r="238" spans="1:7" ht="34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829</v>
      </c>
    </row>
    <row r="239" spans="1:7" ht="34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820</v>
      </c>
    </row>
    <row r="241" spans="1:7">
      <c r="A241" t="s">
        <v>693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809</v>
      </c>
    </row>
    <row r="242" spans="1:7">
      <c r="A242" t="str">
        <f>A241</f>
        <v>NODE_31</v>
      </c>
      <c r="B242">
        <f t="shared" ref="B242:B298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810</v>
      </c>
    </row>
    <row r="243" spans="1:7" ht="34">
      <c r="A243" t="str">
        <f t="shared" ref="A243:A261" si="29">A242</f>
        <v>NODE_31</v>
      </c>
      <c r="B243">
        <f t="shared" si="27"/>
        <v>2</v>
      </c>
      <c r="C243" t="str">
        <f t="shared" ref="C243:C250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811</v>
      </c>
    </row>
    <row r="244" spans="1:7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802</v>
      </c>
    </row>
    <row r="245" spans="1:7" ht="34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803</v>
      </c>
    </row>
    <row r="246" spans="1:7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778</v>
      </c>
    </row>
    <row r="247" spans="1:7" ht="34">
      <c r="A247" t="str">
        <f t="shared" si="29"/>
        <v>NODE_31</v>
      </c>
      <c r="B247">
        <f t="shared" si="27"/>
        <v>6</v>
      </c>
      <c r="C247" t="str">
        <f t="shared" si="30"/>
        <v>NODE_31_6</v>
      </c>
      <c r="E247" t="str">
        <f>VLOOKUP(F247,[1]HeroData!$A$3:$B$118,2, FALSE)</f>
        <v>ZhangFei</v>
      </c>
      <c r="F247" t="s">
        <v>9</v>
      </c>
      <c r="G247" s="39" t="s">
        <v>812</v>
      </c>
    </row>
    <row r="248" spans="1:7" ht="34">
      <c r="A248" t="str">
        <f t="shared" si="29"/>
        <v>NODE_31</v>
      </c>
      <c r="B248">
        <f t="shared" si="27"/>
        <v>7</v>
      </c>
      <c r="C248" t="str">
        <f t="shared" si="30"/>
        <v>NODE_31_7</v>
      </c>
      <c r="E248" t="str">
        <f>VLOOKUP(F248,[1]HeroData!$A$3:$B$118,2, FALSE)</f>
        <v>CaoCao</v>
      </c>
      <c r="F248" t="s">
        <v>51</v>
      </c>
      <c r="G248" s="3" t="s">
        <v>813</v>
      </c>
    </row>
    <row r="249" spans="1:7">
      <c r="A249" t="str">
        <f t="shared" si="29"/>
        <v>NODE_31</v>
      </c>
      <c r="B249">
        <f t="shared" si="27"/>
        <v>8</v>
      </c>
      <c r="C249" t="str">
        <f t="shared" si="30"/>
        <v>NODE_31_8</v>
      </c>
      <c r="E249" t="str">
        <f>VLOOKUP(F249,[1]HeroData!$A$3:$B$118,2, FALSE)</f>
        <v>ZhangFei</v>
      </c>
      <c r="F249" t="s">
        <v>9</v>
      </c>
      <c r="G249" s="3" t="s">
        <v>814</v>
      </c>
    </row>
    <row r="250" spans="1:7">
      <c r="A250" t="str">
        <f t="shared" si="29"/>
        <v>NODE_31</v>
      </c>
      <c r="B250">
        <f t="shared" si="27"/>
        <v>9</v>
      </c>
      <c r="C250" t="str">
        <f t="shared" si="30"/>
        <v>NODE_31_9</v>
      </c>
      <c r="E250" t="str">
        <f>VLOOKUP(F250,[1]HeroData!$A$3:$B$118,2, FALSE)</f>
        <v>CaoCao</v>
      </c>
      <c r="F250" t="s">
        <v>51</v>
      </c>
      <c r="G250" s="3" t="s">
        <v>800</v>
      </c>
    </row>
    <row r="251" spans="1:7">
      <c r="A251" t="str">
        <f t="shared" si="29"/>
        <v>NODE_31</v>
      </c>
      <c r="B251">
        <f t="shared" si="27"/>
        <v>10</v>
      </c>
      <c r="C251" t="str">
        <f t="shared" ref="C251:C254" si="31">CONCATENATE(A251, "_", B251, IF(D251&lt;&gt;"", "_"&amp;D251, ""))</f>
        <v>NODE_31_10</v>
      </c>
      <c r="E251" t="str">
        <f>VLOOKUP(F251,[1]HeroData!$A$3:$B$118,2, FALSE)</f>
        <v>ZhangFei</v>
      </c>
      <c r="F251" t="s">
        <v>9</v>
      </c>
      <c r="G251" s="3" t="s">
        <v>789</v>
      </c>
    </row>
    <row r="252" spans="1:7">
      <c r="A252" t="str">
        <f t="shared" si="29"/>
        <v>NODE_31</v>
      </c>
      <c r="B252">
        <f t="shared" si="27"/>
        <v>11</v>
      </c>
      <c r="C252" t="str">
        <f t="shared" si="31"/>
        <v>NODE_31_11</v>
      </c>
      <c r="E252" t="str">
        <f>VLOOKUP(F252,[1]HeroData!$A$3:$B$118,2, FALSE)</f>
        <v>CaoCao</v>
      </c>
      <c r="F252" t="s">
        <v>51</v>
      </c>
      <c r="G252" s="3" t="s">
        <v>801</v>
      </c>
    </row>
    <row r="253" spans="1:7" ht="34">
      <c r="A253" t="str">
        <f t="shared" si="29"/>
        <v>NODE_31</v>
      </c>
      <c r="B253">
        <f t="shared" si="27"/>
        <v>12</v>
      </c>
      <c r="C253" t="str">
        <f t="shared" si="31"/>
        <v>NODE_31_12</v>
      </c>
      <c r="E253" t="str">
        <f>VLOOKUP(F253,[1]HeroData!$A$3:$B$118,2, FALSE)</f>
        <v>GuanYu</v>
      </c>
      <c r="F253" t="s">
        <v>7</v>
      </c>
      <c r="G253" s="3" t="s">
        <v>818</v>
      </c>
    </row>
    <row r="254" spans="1:7">
      <c r="A254" t="str">
        <f t="shared" si="29"/>
        <v>NODE_31</v>
      </c>
      <c r="B254">
        <f t="shared" si="27"/>
        <v>13</v>
      </c>
      <c r="C254" t="str">
        <f t="shared" si="31"/>
        <v>NODE_31_13</v>
      </c>
      <c r="E254" t="str">
        <f>VLOOKUP(F254,[1]HeroData!$A$3:$B$118,2, FALSE)</f>
        <v>CaoCao</v>
      </c>
      <c r="F254" t="s">
        <v>51</v>
      </c>
      <c r="G254" s="3" t="s">
        <v>674</v>
      </c>
    </row>
    <row r="255" spans="1:7" ht="34">
      <c r="A255" t="str">
        <f t="shared" si="29"/>
        <v>NODE_31</v>
      </c>
      <c r="B255">
        <f t="shared" si="27"/>
        <v>14</v>
      </c>
      <c r="C255" t="str">
        <f t="shared" ref="C255:C261" si="32">CONCATENATE(A255, "_", B255, IF(D255&lt;&gt;"", "_"&amp;D255, ""))</f>
        <v>NODE_31_14</v>
      </c>
      <c r="E255" t="str">
        <f>VLOOKUP(F255,[1]HeroData!$A$3:$B$118,2, FALSE)</f>
        <v>ZhangLiao</v>
      </c>
      <c r="F255" t="s">
        <v>591</v>
      </c>
      <c r="G255" s="3" t="s">
        <v>819</v>
      </c>
    </row>
    <row r="256" spans="1:7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815</v>
      </c>
    </row>
    <row r="257" spans="1:7" ht="34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ZhangFei</v>
      </c>
      <c r="F257" t="s">
        <v>9</v>
      </c>
      <c r="G257" s="3" t="s">
        <v>804</v>
      </c>
    </row>
    <row r="258" spans="1:7" ht="34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GuanYu</v>
      </c>
      <c r="F258" t="s">
        <v>7</v>
      </c>
      <c r="G258" s="3" t="s">
        <v>807</v>
      </c>
    </row>
    <row r="259" spans="1:7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805</v>
      </c>
    </row>
    <row r="260" spans="1:7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ZhangFei</v>
      </c>
      <c r="F260" t="s">
        <v>9</v>
      </c>
      <c r="G260" s="3" t="s">
        <v>806</v>
      </c>
    </row>
    <row r="261" spans="1:7" ht="34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GuanYu</v>
      </c>
      <c r="F261" t="s">
        <v>7</v>
      </c>
      <c r="G261" s="3" t="s">
        <v>681</v>
      </c>
    </row>
    <row r="262" spans="1:7" ht="34">
      <c r="A262" t="str">
        <f t="shared" ref="A262" si="33">A261</f>
        <v>NODE_31</v>
      </c>
      <c r="B262">
        <f t="shared" si="27"/>
        <v>21</v>
      </c>
      <c r="C262" t="str">
        <f t="shared" ref="C262:C280" si="34">CONCATENATE(A262, "_", B262, IF(D262&lt;&gt;"", "_"&amp;D262, ""))</f>
        <v>NODE_31_21</v>
      </c>
      <c r="E262" t="str">
        <f>VLOOKUP(F262,[1]HeroData!$A$3:$B$118,2, FALSE)</f>
        <v>ZhangFei</v>
      </c>
      <c r="F262" t="s">
        <v>9</v>
      </c>
      <c r="G262" s="3" t="s">
        <v>817</v>
      </c>
    </row>
    <row r="263" spans="1:7">
      <c r="A263" t="str">
        <f t="shared" ref="A263" si="35">A262</f>
        <v>NODE_31</v>
      </c>
      <c r="B263">
        <f t="shared" si="27"/>
        <v>22</v>
      </c>
      <c r="C263" t="str">
        <f t="shared" si="34"/>
        <v>NODE_31_22</v>
      </c>
      <c r="E263" t="str">
        <f>VLOOKUP(F263,[1]HeroData!$A$3:$B$118,2, FALSE)</f>
        <v>GuanYu</v>
      </c>
      <c r="F263" t="s">
        <v>7</v>
      </c>
      <c r="G263" s="3" t="s">
        <v>816</v>
      </c>
    </row>
    <row r="264" spans="1:7">
      <c r="A264" t="str">
        <f t="shared" ref="A264" si="36">A263</f>
        <v>NODE_31</v>
      </c>
      <c r="B264">
        <f t="shared" si="27"/>
        <v>23</v>
      </c>
      <c r="C264" t="str">
        <f t="shared" si="34"/>
        <v>NODE_31_23</v>
      </c>
    </row>
    <row r="265" spans="1:7">
      <c r="A265" t="str">
        <f t="shared" ref="A265" si="37">A264</f>
        <v>NODE_31</v>
      </c>
      <c r="B265">
        <f t="shared" si="27"/>
        <v>24</v>
      </c>
      <c r="C265" t="str">
        <f t="shared" si="34"/>
        <v>NODE_31_24</v>
      </c>
      <c r="E265" t="str">
        <f>VLOOKUP(F265,[1]HeroData!$A$3:$B$118,2, FALSE)</f>
        <v>ZhangFei</v>
      </c>
      <c r="F265" t="s">
        <v>9</v>
      </c>
      <c r="G265" s="3" t="s">
        <v>674</v>
      </c>
    </row>
    <row r="266" spans="1:7" ht="34">
      <c r="A266" t="str">
        <f t="shared" ref="A266" si="38">A265</f>
        <v>NODE_31</v>
      </c>
      <c r="B266">
        <f t="shared" si="27"/>
        <v>25</v>
      </c>
      <c r="C266" t="str">
        <f t="shared" si="34"/>
        <v>NODE_31_25</v>
      </c>
      <c r="E266" t="str">
        <f>VLOOKUP(F266,[1]HeroData!$A$3:$B$118,2, FALSE)</f>
        <v>ZhangFei</v>
      </c>
      <c r="F266" t="s">
        <v>9</v>
      </c>
      <c r="G266" s="3" t="s">
        <v>682</v>
      </c>
    </row>
    <row r="267" spans="1:7" ht="34">
      <c r="A267" t="str">
        <f t="shared" ref="A267" si="39">A266</f>
        <v>NODE_31</v>
      </c>
      <c r="B267">
        <f t="shared" si="27"/>
        <v>26</v>
      </c>
      <c r="C267" t="str">
        <f t="shared" si="34"/>
        <v>NODE_31_26</v>
      </c>
      <c r="E267" t="str">
        <f>VLOOKUP(F267,[1]HeroData!$A$3:$B$118,2, FALSE)</f>
        <v>GuanYu</v>
      </c>
      <c r="F267" t="s">
        <v>7</v>
      </c>
      <c r="G267" s="3" t="s">
        <v>782</v>
      </c>
    </row>
    <row r="268" spans="1:7" ht="34">
      <c r="A268" t="str">
        <f t="shared" ref="A268" si="40">A267</f>
        <v>NODE_31</v>
      </c>
      <c r="B268">
        <f t="shared" si="27"/>
        <v>27</v>
      </c>
      <c r="C268" t="str">
        <f t="shared" si="34"/>
        <v>NODE_31_27</v>
      </c>
      <c r="E268" t="str">
        <f>VLOOKUP(F268,[1]HeroData!$A$3:$B$118,2, FALSE)</f>
        <v>GuanYu</v>
      </c>
      <c r="F268" t="s">
        <v>7</v>
      </c>
      <c r="G268" s="3" t="s">
        <v>821</v>
      </c>
    </row>
    <row r="269" spans="1:7">
      <c r="A269" t="str">
        <f t="shared" ref="A269" si="41">A268</f>
        <v>NODE_31</v>
      </c>
      <c r="B269">
        <f t="shared" si="27"/>
        <v>28</v>
      </c>
      <c r="C269" t="str">
        <f t="shared" si="34"/>
        <v>NODE_31_28</v>
      </c>
      <c r="E269" t="str">
        <f>VLOOKUP(F269,[1]HeroData!$A$3:$B$118,2, FALSE)</f>
        <v>ZhangFei</v>
      </c>
      <c r="F269" t="s">
        <v>9</v>
      </c>
      <c r="G269" s="3" t="s">
        <v>779</v>
      </c>
    </row>
    <row r="270" spans="1:7">
      <c r="A270" t="str">
        <f t="shared" ref="A270" si="42">A269</f>
        <v>NODE_31</v>
      </c>
      <c r="B270">
        <f t="shared" si="27"/>
        <v>29</v>
      </c>
      <c r="C270" t="str">
        <f t="shared" si="34"/>
        <v>NODE_31_29</v>
      </c>
      <c r="E270" t="str">
        <f>VLOOKUP(F270,[1]HeroData!$A$3:$B$118,2, FALSE)</f>
        <v>GuanYu</v>
      </c>
      <c r="F270" t="s">
        <v>7</v>
      </c>
      <c r="G270" s="3" t="s">
        <v>783</v>
      </c>
    </row>
    <row r="271" spans="1:7" ht="34">
      <c r="A271" t="str">
        <f t="shared" ref="A271" si="43">A270</f>
        <v>NODE_31</v>
      </c>
      <c r="B271">
        <f t="shared" si="27"/>
        <v>30</v>
      </c>
      <c r="C271" t="str">
        <f t="shared" si="34"/>
        <v>NODE_31_30</v>
      </c>
      <c r="E271" t="str">
        <f>VLOOKUP(F271,[1]HeroData!$A$3:$B$118,2, FALSE)</f>
        <v>ZhangFei</v>
      </c>
      <c r="F271" t="s">
        <v>9</v>
      </c>
      <c r="G271" s="3" t="s">
        <v>683</v>
      </c>
    </row>
    <row r="272" spans="1:7">
      <c r="A272" t="str">
        <f t="shared" ref="A272" si="44">A271</f>
        <v>NODE_31</v>
      </c>
      <c r="B272">
        <f t="shared" si="27"/>
        <v>31</v>
      </c>
      <c r="C272" t="str">
        <f t="shared" si="34"/>
        <v>NODE_31_31</v>
      </c>
      <c r="E272" t="str">
        <f>VLOOKUP(F272,[1]HeroData!$A$3:$B$118,2, FALSE)</f>
        <v>GuanYu</v>
      </c>
      <c r="F272" t="s">
        <v>7</v>
      </c>
      <c r="G272" s="3" t="s">
        <v>784</v>
      </c>
    </row>
    <row r="273" spans="1:9">
      <c r="A273" t="str">
        <f t="shared" ref="A273" si="45">A272</f>
        <v>NODE_31</v>
      </c>
      <c r="B273">
        <f t="shared" si="27"/>
        <v>32</v>
      </c>
      <c r="C273" t="str">
        <f t="shared" si="34"/>
        <v>NODE_31_32</v>
      </c>
      <c r="E273" t="str">
        <f>VLOOKUP(F273,[1]HeroData!$A$3:$B$118,2, FALSE)</f>
        <v>ZhangFei</v>
      </c>
      <c r="F273" t="s">
        <v>9</v>
      </c>
      <c r="G273" s="3" t="s">
        <v>684</v>
      </c>
    </row>
    <row r="274" spans="1:9" ht="34">
      <c r="A274" t="str">
        <f t="shared" ref="A274" si="46">A273</f>
        <v>NODE_31</v>
      </c>
      <c r="B274">
        <f t="shared" si="27"/>
        <v>33</v>
      </c>
      <c r="C274" t="str">
        <f t="shared" si="34"/>
        <v>NODE_31_33</v>
      </c>
      <c r="E274" t="str">
        <f>VLOOKUP(F274,[1]HeroData!$A$3:$B$118,2, FALSE)</f>
        <v>GuanYu</v>
      </c>
      <c r="F274" t="s">
        <v>7</v>
      </c>
      <c r="G274" s="3" t="s">
        <v>781</v>
      </c>
    </row>
    <row r="275" spans="1:9" ht="34">
      <c r="A275" t="str">
        <f t="shared" ref="A275" si="47">A274</f>
        <v>NODE_31</v>
      </c>
      <c r="B275">
        <f t="shared" si="27"/>
        <v>34</v>
      </c>
      <c r="C275" t="str">
        <f t="shared" si="34"/>
        <v>NODE_31_34</v>
      </c>
      <c r="E275" t="str">
        <f>VLOOKUP(F275,[1]HeroData!$A$3:$B$118,2, FALSE)</f>
        <v>GuanYu</v>
      </c>
      <c r="F275" t="s">
        <v>7</v>
      </c>
      <c r="G275" s="3" t="s">
        <v>785</v>
      </c>
    </row>
    <row r="276" spans="1:9" ht="34">
      <c r="A276" t="str">
        <f t="shared" ref="A276" si="48">A275</f>
        <v>NODE_31</v>
      </c>
      <c r="B276">
        <f t="shared" si="27"/>
        <v>35</v>
      </c>
      <c r="C276" t="str">
        <f t="shared" si="34"/>
        <v>NODE_31_35</v>
      </c>
      <c r="E276" t="str">
        <f>VLOOKUP(F276,[1]HeroData!$A$3:$B$118,2, FALSE)</f>
        <v>ZhangFei</v>
      </c>
      <c r="F276" t="s">
        <v>9</v>
      </c>
      <c r="G276" s="3" t="s">
        <v>685</v>
      </c>
    </row>
    <row r="277" spans="1:9" ht="51">
      <c r="A277" t="str">
        <f t="shared" ref="A277" si="49">A276</f>
        <v>NODE_31</v>
      </c>
      <c r="B277">
        <f t="shared" si="27"/>
        <v>36</v>
      </c>
      <c r="C277" t="str">
        <f t="shared" si="34"/>
        <v>NODE_31_36</v>
      </c>
      <c r="E277" t="str">
        <f>VLOOKUP(F277,[1]HeroData!$A$3:$B$118,2, FALSE)</f>
        <v>GuanYu</v>
      </c>
      <c r="F277" t="s">
        <v>7</v>
      </c>
      <c r="G277" s="3" t="s">
        <v>710</v>
      </c>
    </row>
    <row r="278" spans="1:9">
      <c r="A278" t="str">
        <f t="shared" ref="A278" si="50">A277</f>
        <v>NODE_31</v>
      </c>
      <c r="B278">
        <f t="shared" si="27"/>
        <v>37</v>
      </c>
      <c r="C278" t="str">
        <f t="shared" si="34"/>
        <v>NODE_31_37</v>
      </c>
      <c r="E278" t="str">
        <f>VLOOKUP(F278,[1]HeroData!$A$3:$B$118,2, FALSE)</f>
        <v>ZhangFei</v>
      </c>
      <c r="F278" t="s">
        <v>9</v>
      </c>
      <c r="G278" s="3" t="s">
        <v>686</v>
      </c>
    </row>
    <row r="279" spans="1:9" ht="34">
      <c r="A279" t="str">
        <f t="shared" ref="A279" si="51">A278</f>
        <v>NODE_31</v>
      </c>
      <c r="B279">
        <f t="shared" si="27"/>
        <v>38</v>
      </c>
      <c r="C279" t="str">
        <f t="shared" si="34"/>
        <v>NODE_31_38</v>
      </c>
      <c r="E279" t="str">
        <f>VLOOKUP(F279,[1]HeroData!$A$3:$B$118,2, FALSE)</f>
        <v>GuanYu</v>
      </c>
      <c r="F279" t="s">
        <v>7</v>
      </c>
      <c r="G279" s="3" t="s">
        <v>822</v>
      </c>
    </row>
    <row r="280" spans="1:9">
      <c r="A280" t="str">
        <f t="shared" ref="A280:A298" si="52">A279</f>
        <v>NODE_31</v>
      </c>
      <c r="B280">
        <f t="shared" si="27"/>
        <v>39</v>
      </c>
      <c r="C280" t="str">
        <f t="shared" si="34"/>
        <v>NODE_31_39</v>
      </c>
      <c r="E280" t="str">
        <f>VLOOKUP(F280,[1]HeroData!$A$3:$B$118,2, FALSE)</f>
        <v>FanJiang</v>
      </c>
      <c r="F280" t="s">
        <v>691</v>
      </c>
      <c r="G280" s="3" t="s">
        <v>843</v>
      </c>
      <c r="H280"/>
      <c r="I280" s="3"/>
    </row>
    <row r="281" spans="1:9">
      <c r="A281" t="str">
        <f t="shared" si="52"/>
        <v>NODE_31</v>
      </c>
      <c r="B281">
        <f t="shared" si="27"/>
        <v>40</v>
      </c>
      <c r="C281" t="str">
        <f t="shared" ref="C281:C298" si="53">CONCATENATE(A281, "_", B281, IF(D281&lt;&gt;"", "_"&amp;D281, ""))</f>
        <v>NODE_31_40</v>
      </c>
      <c r="E281" t="str">
        <f>VLOOKUP(F281,[1]HeroData!$A$3:$B$118,2, FALSE)</f>
        <v>ZhangFei</v>
      </c>
      <c r="F281" t="s">
        <v>9</v>
      </c>
      <c r="G281" s="3" t="s">
        <v>594</v>
      </c>
    </row>
    <row r="282" spans="1:9">
      <c r="A282" t="str">
        <f t="shared" si="52"/>
        <v>NODE_31</v>
      </c>
      <c r="B282">
        <f t="shared" si="27"/>
        <v>41</v>
      </c>
      <c r="C282" t="str">
        <f t="shared" si="53"/>
        <v>NODE_31_41</v>
      </c>
      <c r="E282" t="str">
        <f>VLOOKUP(F282,[1]HeroData!$A$3:$B$118,2, FALSE)</f>
        <v>FanJiang</v>
      </c>
      <c r="F282" t="s">
        <v>691</v>
      </c>
      <c r="G282" s="3" t="s">
        <v>827</v>
      </c>
    </row>
    <row r="283" spans="1:9">
      <c r="A283" t="str">
        <f t="shared" si="52"/>
        <v>NODE_31</v>
      </c>
      <c r="B283">
        <f t="shared" si="27"/>
        <v>42</v>
      </c>
      <c r="C283" t="str">
        <f t="shared" si="53"/>
        <v>NODE_31_42</v>
      </c>
      <c r="E283" t="str">
        <f>VLOOKUP(F283,[1]HeroData!$A$3:$B$118,2, FALSE)</f>
        <v>ZhangDa</v>
      </c>
      <c r="F283" t="s">
        <v>692</v>
      </c>
      <c r="G283" s="3" t="s">
        <v>844</v>
      </c>
    </row>
    <row r="284" spans="1:9" ht="34">
      <c r="A284" t="str">
        <f t="shared" si="52"/>
        <v>NODE_31</v>
      </c>
      <c r="B284">
        <f t="shared" si="27"/>
        <v>43</v>
      </c>
      <c r="C284" t="str">
        <f t="shared" si="53"/>
        <v>NODE_31_43</v>
      </c>
      <c r="E284" t="str">
        <f>VLOOKUP(F284,[1]HeroData!$A$3:$B$118,2, FALSE)</f>
        <v>ZhangDa</v>
      </c>
      <c r="F284" t="s">
        <v>692</v>
      </c>
      <c r="G284" s="3" t="s">
        <v>828</v>
      </c>
    </row>
    <row r="285" spans="1:9">
      <c r="A285" t="str">
        <f t="shared" si="52"/>
        <v>NODE_31</v>
      </c>
      <c r="B285">
        <f t="shared" si="27"/>
        <v>44</v>
      </c>
      <c r="C285" t="str">
        <f t="shared" si="53"/>
        <v>NODE_31_44</v>
      </c>
      <c r="E285" t="str">
        <f>VLOOKUP(F285,[1]HeroData!$A$3:$B$118,2, FALSE)</f>
        <v>ZhangFei</v>
      </c>
      <c r="F285" t="s">
        <v>9</v>
      </c>
      <c r="G285" s="3" t="s">
        <v>823</v>
      </c>
    </row>
    <row r="286" spans="1:9">
      <c r="A286" t="str">
        <f t="shared" si="52"/>
        <v>NODE_31</v>
      </c>
      <c r="B286">
        <f t="shared" si="27"/>
        <v>45</v>
      </c>
      <c r="C286" t="str">
        <f t="shared" si="53"/>
        <v>NODE_31_45</v>
      </c>
      <c r="E286" t="str">
        <f>VLOOKUP(F286,[1]HeroData!$A$3:$B$118,2, FALSE)</f>
        <v>GuanYu</v>
      </c>
      <c r="F286" t="s">
        <v>7</v>
      </c>
      <c r="G286" s="3" t="s">
        <v>824</v>
      </c>
    </row>
    <row r="287" spans="1:9">
      <c r="A287" t="str">
        <f t="shared" si="52"/>
        <v>NODE_31</v>
      </c>
      <c r="B287">
        <f t="shared" si="27"/>
        <v>46</v>
      </c>
      <c r="C287" t="str">
        <f t="shared" si="53"/>
        <v>NODE_31_46</v>
      </c>
      <c r="E287" t="str">
        <f>VLOOKUP(F287,[1]HeroData!$A$3:$B$118,2, FALSE)</f>
        <v>GuanYu</v>
      </c>
      <c r="F287" t="s">
        <v>7</v>
      </c>
      <c r="G287" s="3" t="s">
        <v>825</v>
      </c>
    </row>
    <row r="288" spans="1:9">
      <c r="A288" t="str">
        <f t="shared" si="52"/>
        <v>NODE_31</v>
      </c>
      <c r="B288">
        <f t="shared" si="27"/>
        <v>47</v>
      </c>
      <c r="C288" t="str">
        <f t="shared" si="53"/>
        <v>NODE_31_47</v>
      </c>
      <c r="E288" t="str">
        <f>VLOOKUP(F288,[1]HeroData!$A$3:$B$118,2, FALSE)</f>
        <v>GuanYu</v>
      </c>
      <c r="F288" t="s">
        <v>7</v>
      </c>
      <c r="G288" s="3" t="s">
        <v>826</v>
      </c>
    </row>
    <row r="289" spans="1:7">
      <c r="A289" t="str">
        <f t="shared" si="52"/>
        <v>NODE_31</v>
      </c>
      <c r="B289">
        <f t="shared" si="27"/>
        <v>48</v>
      </c>
      <c r="C289" t="str">
        <f t="shared" si="53"/>
        <v>NODE_31_48</v>
      </c>
      <c r="E289" t="str">
        <f>VLOOKUP(F289,[1]HeroData!$A$3:$B$118,2, FALSE)</f>
        <v>ZhaoYun</v>
      </c>
      <c r="F289" t="s">
        <v>11</v>
      </c>
      <c r="G289" s="3" t="s">
        <v>687</v>
      </c>
    </row>
    <row r="290" spans="1:7">
      <c r="A290" t="str">
        <f t="shared" si="52"/>
        <v>NODE_31</v>
      </c>
      <c r="B290">
        <f t="shared" si="27"/>
        <v>49</v>
      </c>
      <c r="C290" t="str">
        <f t="shared" si="53"/>
        <v>NODE_31_49</v>
      </c>
      <c r="E290" t="str">
        <f>VLOOKUP(F290,[1]HeroData!$A$3:$B$118,2, FALSE)</f>
        <v>ZhaoYun</v>
      </c>
      <c r="F290" t="s">
        <v>11</v>
      </c>
      <c r="G290" s="3" t="s">
        <v>839</v>
      </c>
    </row>
    <row r="291" spans="1:7" ht="34">
      <c r="A291" t="str">
        <f t="shared" si="52"/>
        <v>NODE_31</v>
      </c>
      <c r="B291">
        <f t="shared" si="27"/>
        <v>50</v>
      </c>
      <c r="C291" t="str">
        <f t="shared" si="53"/>
        <v>NODE_31_50</v>
      </c>
      <c r="E291" t="str">
        <f>VLOOKUP(F291,[1]HeroData!$A$3:$B$118,2, FALSE)</f>
        <v>ZhaoYun</v>
      </c>
      <c r="F291" t="s">
        <v>11</v>
      </c>
      <c r="G291" s="3" t="s">
        <v>840</v>
      </c>
    </row>
    <row r="292" spans="1:7">
      <c r="A292" t="str">
        <f t="shared" si="52"/>
        <v>NODE_31</v>
      </c>
      <c r="B292">
        <f t="shared" si="27"/>
        <v>51</v>
      </c>
      <c r="C292" t="str">
        <f t="shared" si="53"/>
        <v>NODE_31_51</v>
      </c>
      <c r="E292" t="str">
        <f>VLOOKUP(F292,[1]HeroData!$A$3:$B$118,2, FALSE)</f>
        <v>LiuBei</v>
      </c>
      <c r="F292" t="s">
        <v>5</v>
      </c>
      <c r="G292" s="3" t="s">
        <v>688</v>
      </c>
    </row>
    <row r="293" spans="1:7" ht="34">
      <c r="A293" t="str">
        <f t="shared" si="52"/>
        <v>NODE_31</v>
      </c>
      <c r="B293">
        <f t="shared" si="27"/>
        <v>52</v>
      </c>
      <c r="C293" t="str">
        <f t="shared" si="53"/>
        <v>NODE_31_52</v>
      </c>
      <c r="E293" t="str">
        <f>VLOOKUP(F293,[1]HeroData!$A$3:$B$118,2, FALSE)</f>
        <v>LiuBei</v>
      </c>
      <c r="F293" t="s">
        <v>5</v>
      </c>
      <c r="G293" s="3" t="s">
        <v>808</v>
      </c>
    </row>
    <row r="294" spans="1:7" ht="34">
      <c r="A294" t="str">
        <f t="shared" si="52"/>
        <v>NODE_31</v>
      </c>
      <c r="B294">
        <f t="shared" si="27"/>
        <v>53</v>
      </c>
      <c r="C294" t="str">
        <f t="shared" si="53"/>
        <v>NODE_31_53</v>
      </c>
      <c r="E294" t="str">
        <f>VLOOKUP(F294,[1]HeroData!$A$3:$B$118,2, FALSE)</f>
        <v>LiuBei</v>
      </c>
      <c r="F294" t="s">
        <v>5</v>
      </c>
      <c r="G294" s="3" t="s">
        <v>841</v>
      </c>
    </row>
    <row r="295" spans="1:7" ht="34">
      <c r="A295" t="str">
        <f t="shared" si="52"/>
        <v>NODE_31</v>
      </c>
      <c r="B295">
        <f t="shared" si="27"/>
        <v>54</v>
      </c>
      <c r="C295" t="str">
        <f t="shared" si="53"/>
        <v>NODE_31_54</v>
      </c>
      <c r="E295" t="str">
        <f>VLOOKUP(F295,[1]HeroData!$A$3:$B$118,2, FALSE)</f>
        <v>LiuBei</v>
      </c>
      <c r="F295" t="s">
        <v>5</v>
      </c>
      <c r="G295" s="3" t="s">
        <v>842</v>
      </c>
    </row>
    <row r="296" spans="1:7" ht="34">
      <c r="A296" t="str">
        <f t="shared" si="52"/>
        <v>NODE_31</v>
      </c>
      <c r="B296">
        <f t="shared" si="27"/>
        <v>55</v>
      </c>
      <c r="C296" t="str">
        <f t="shared" si="53"/>
        <v>NODE_31_55</v>
      </c>
      <c r="E296" t="str">
        <f>VLOOKUP(F296,[1]HeroData!$A$3:$B$118,2, FALSE)</f>
        <v>LiuBei</v>
      </c>
      <c r="F296" t="s">
        <v>5</v>
      </c>
      <c r="G296" s="3" t="s">
        <v>689</v>
      </c>
    </row>
    <row r="297" spans="1:7" ht="34">
      <c r="A297" t="str">
        <f t="shared" si="52"/>
        <v>NODE_31</v>
      </c>
      <c r="B297">
        <f t="shared" si="27"/>
        <v>56</v>
      </c>
      <c r="C297" t="str">
        <f t="shared" si="53"/>
        <v>NODE_31_56</v>
      </c>
      <c r="E297" t="str">
        <f>VLOOKUP(F297,[1]HeroData!$A$3:$B$118,2, FALSE)</f>
        <v>LiuBei</v>
      </c>
      <c r="F297" t="s">
        <v>5</v>
      </c>
      <c r="G297" s="3" t="s">
        <v>690</v>
      </c>
    </row>
    <row r="298" spans="1:7">
      <c r="A298" t="str">
        <f t="shared" si="52"/>
        <v>NODE_31</v>
      </c>
      <c r="B298">
        <f t="shared" si="27"/>
        <v>57</v>
      </c>
      <c r="C298" t="str">
        <f t="shared" si="53"/>
        <v>NODE_31_57</v>
      </c>
      <c r="E298" t="str">
        <f>VLOOKUP(F298,[1]HeroData!$A$3:$B$118,2, FALSE)</f>
        <v>LiuBei</v>
      </c>
      <c r="F298" t="s">
        <v>5</v>
      </c>
      <c r="G298" s="3" t="s">
        <v>711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26"/>
  <sheetViews>
    <sheetView topLeftCell="A52" workbookViewId="0">
      <selection activeCell="E78" sqref="E78"/>
    </sheetView>
  </sheetViews>
  <sheetFormatPr defaultRowHeight="17"/>
  <cols>
    <col min="1" max="1" width="13.83203125" bestFit="1" customWidth="1"/>
    <col min="2" max="2" width="13.8320312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695</v>
      </c>
      <c r="F34" s="21"/>
    </row>
    <row r="35" spans="1:6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696</v>
      </c>
      <c r="F35" s="24"/>
    </row>
    <row r="36" spans="1:6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697</v>
      </c>
      <c r="F36" s="21"/>
    </row>
    <row r="37" spans="1:6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>
      <c r="A40" s="21" t="s">
        <v>364</v>
      </c>
      <c r="B40" s="19" t="s">
        <v>694</v>
      </c>
      <c r="C40" s="19"/>
      <c r="D40" s="20" t="str">
        <f t="shared" si="2"/>
        <v>NODE_31_TITLE</v>
      </c>
      <c r="E40" s="28" t="s">
        <v>698</v>
      </c>
      <c r="F40" s="21"/>
    </row>
    <row r="41" spans="1:6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699</v>
      </c>
      <c r="F72" s="21"/>
    </row>
    <row r="73" spans="1:7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700</v>
      </c>
      <c r="F73" s="24"/>
    </row>
    <row r="74" spans="1:7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745</v>
      </c>
      <c r="F74" s="21"/>
    </row>
    <row r="75" spans="1:7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>
      <c r="A78" s="27" t="s">
        <v>369</v>
      </c>
      <c r="B78" s="19" t="s">
        <v>694</v>
      </c>
      <c r="C78" s="19"/>
      <c r="D78" s="20" t="str">
        <f>UPPER(B78)&amp;"_DESC"</f>
        <v>NODE_31_DESC</v>
      </c>
      <c r="E78" s="33" t="s">
        <v>701</v>
      </c>
      <c r="F78" s="21"/>
    </row>
    <row r="79" spans="1:7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2026-07-26T03:54:36Z</dcterms:modified>
</cp:coreProperties>
</file>