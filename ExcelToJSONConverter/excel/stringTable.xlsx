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C1E17BA-8A48-444A-9FE9-2981B4572C4F}" xr6:coauthVersionLast="47" xr6:coauthVersionMax="47" xr10:uidLastSave="{00000000-0000-0000-0000-000000000000}"/>
  <bookViews>
    <workbookView xWindow="-18015" yWindow="4110" windowWidth="16200" windowHeight="11295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3" i="8" l="1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84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<sst xmlns="http://schemas.openxmlformats.org/spreadsheetml/2006/main" count="645" uniqueCount="451">
  <si>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</si>
  <si>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</si>
  <si>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</si>
  <si>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</si>
  <si>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</si>
  <si>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</si>
  <si>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</si>
  <si>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</si>
  <si>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</si>
  <si>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</si>
  <si>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</si>
  <si>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</si>
  <si>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</si>
  <si>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</si>
  <si>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</si>
  <si>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</si>
  <si>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</si>
  <si>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</si>
  <si>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</si>
  <si>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</si>
  <si>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</si>
  <si>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</si>
  <si>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</si>
  <si>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</si>
  <si>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</si>
  <si>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</si>
  <si>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</si>
  <si>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</si>
  <si>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</si>
  <si>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</si>
  <si>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</si>
  <si>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</si>
  <si>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</si>
  <si>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</si>
  <si>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</si>
  <si>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</si>
  <si>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</si>
  <si>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</si>
  <si>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</si>
  <si>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</si>
  <si>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</si>
  <si>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</si>
  <si>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</si>
  <si>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</si>
  <si>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</si>
  <si>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</si>
  <si>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</si>
  <si>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</si>
  <si>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</si>
  <si>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</si>
  <si>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</si>
  <si>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</si>
  <si>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</si>
  <si>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</si>
  <si>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</si>
  <si>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</si>
  <si>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</si>
  <si>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</si>
  <si>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</si>
  <si>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</si>
  <si>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</si>
  <si>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</si>
  <si>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</si>
  <si>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</si>
  <si>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</si>
  <si>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</si>
  <si>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</si>
  <si>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</si>
  <si>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</si>
  <si>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</si>
  <si>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</si>
  <si>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</si>
  <si>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</si>
  <si>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</si>
  <si>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</si>
  <si>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</si>
  <si>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</si>
  <si>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</si>
  <si>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</si>
  <si>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</si>
  <si>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</si>
  <si>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</si>
  <si>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</si>
  <si>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</si>
  <si>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</si>
  <si>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</si>
  <si>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</si>
  <si>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</si>
  <si>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</si>
  <si>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</si>
  <si>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</si>
  <si>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</si>
  <si>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</si>
  <si>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</si>
  <si>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</si>
  <si>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</si>
  <si>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</si>
  <si>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</si>
  <si>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</si>
  <si>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</si>
  <si>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</si>
  <si>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</si>
  <si>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</si>
  <si>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</si>
  <si>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</si>
  <si>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</si>
  <si>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</si>
  <si>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</si>
  <si>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</si>
  <si>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</si>
  <si>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</si>
  <si>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</si>
  <si>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</si>
  <si>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</si>
  <si>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</si>
  <si>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</si>
  <si>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</si>
  <si>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</si>
  <si>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</si>
  <si>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</si>
  <si>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</si>
  <si>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</si>
  <si>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</si>
  <si>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</si>
  <si>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</si>
  <si>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</si>
  <si>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</si>
  <si>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</si>
  <si>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</si>
  <si>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</si>
  <si>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</si>
  <si>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</si>
  <si>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</si>
  <si>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</si>
  <si>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</si>
  <si>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</si>
  <si>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</si>
  <si>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</si>
  <si>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</si>
  <si>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</si>
  <si>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</si>
  <si>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</si>
  <si>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</si>
  <si>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</si>
  <si>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</si>
  <si>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</si>
  <si>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</si>
  <si>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</si>
  <si>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</si>
  <si>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</si>
  <si>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</si>
  <si>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</si>
  <si>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</si>
  <si>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</si>
  <si>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</si>
  <si>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</si>
  <si>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</si>
  <si>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</si>
  <si>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</si>
  <si>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</si>
  <si>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</si>
  <si>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</si>
  <si>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</si>
  <si>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</si>
  <si>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</si>
  <si>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</si>
  <si>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</si>
  <si>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</si>
  <si>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</si>
  <si>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</si>
  <si>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</si>
  <si>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</si>
  <si>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</si>
  <si>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</si>
  <si>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</si>
  <si>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</si>
  <si>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</si>
  <si>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</si>
  <si>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</si>
  <si>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</si>
  <si>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</si>
  <si>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</si>
  <si>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</si>
  <si>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</si>
  <si>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</si>
  <si>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</si>
  <si>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</si>
  <si>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</si>
  <si>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</si>
  <si>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</si>
  <si>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</si>
  <si>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</si>
  <si>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</si>
  <si>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</si>
  <si>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</si>
  <si>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</si>
  <si>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</si>
  <si>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</si>
  <si>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</si>
  <si>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</si>
  <si>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</si>
  <si>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</si>
  <si>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</si>
  <si>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</si>
  <si>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</si>
  <si>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</si>
  <si>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</si>
  <si>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</si>
  <si>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</si>
  <si>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</si>
  <si>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</si>
  <si>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</si>
  <si>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</si>
  <si>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</si>
  <si>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</si>
  <si>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</si>
  <si>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</si>
  <si>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</si>
  <si>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</si>
  <si>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</si>
  <si>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</si>
  <si>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</si>
  <si>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</si>
  <si>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</si>
  <si>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</si>
  <si>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</si>
  <si>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</si>
  <si>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</si>
  <si>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</si>
  <si>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</si>
  <si>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</si>
  <si>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</si>
  <si>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</si>
  <si>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</si>
  <si>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</si>
  <si>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</si>
  <si>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</si>
  <si>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</si>
  <si>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</si>
  <si>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</si>
  <si>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</si>
  <si>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</si>
  <si>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</si>
  <si>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</si>
  <si>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</si>
  <si>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</si>
  <si>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</si>
  <si>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</si>
  <si>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</si>
  <si>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</si>
  <si>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</si>
  <si>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</si>
  <si>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</si>
  <si>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</si>
  <si>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</si>
  <si>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</si>
  <si>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</si>
  <si>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</si>
  <si>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</si>
  <si>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</si>
  <si>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</si>
  <si>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</si>
  <si>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</si>
  <si>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</si>
  <si>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</si>
  <si>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</si>
  <si>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</si>
  <si>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</si>
  <si>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</si>
  <si>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</si>
  <si>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</si>
  <si>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</si>
  <si>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</si>
  <si>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</si>
  <si>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</si>
  <si>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</si>
  <si>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</si>
  <si>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</si>
  <si>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</si>
  <si>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</si>
  <si>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</si>
  <si>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</si>
  <si>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</si>
  <si>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</si>
  <si>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</si>
  <si>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</si>
  <si>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</si>
  <si>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</si>
  <si>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</si>
  <si>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</si>
  <si>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</si>
  <si>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</si>
  <si>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</si>
  <si>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</si>
  <si>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</si>
  <si>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</si>
  <si>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</si>
  <si>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</si>
  <si>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</si>
  <si>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</si>
  <si>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</si>
  <si>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</si>
  <si>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</si>
  <si>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</si>
  <si>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</si>
  <si>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</si>
  <si>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</si>
  <si>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</si>
  <si>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</si>
  <si>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</si>
  <si>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NAME_ETC_LUBU</t>
    <phoneticPr fontId="1" type="noConversion"/>
  </si>
  <si>
    <t>여포</t>
    <phoneticPr fontId="1" type="noConversion"/>
  </si>
  <si>
    <t>LuBu</t>
    <phoneticPr fontId="1" type="noConversion"/>
  </si>
  <si>
    <t>COURTESY_ETC_LUBU</t>
    <phoneticPr fontId="1" type="noConversion"/>
  </si>
  <si>
    <t>DESC_TALK_ETC_LUBU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</si>
  <si>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</si>
  <si>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</si>
  <si>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</si>
  <si>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</si>
  <si>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</si>
  <si>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</si>
  <si>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</si>
  <si>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</si>
  <si>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</si>
  <si>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</si>
  <si>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NAME_HISTORICAL_QINSHIHUANG</t>
    <phoneticPr fontId="1" type="noConversion"/>
  </si>
  <si>
    <t>진시황</t>
    <phoneticPr fontId="1" type="noConversion"/>
  </si>
  <si>
    <t>NAME_HISTORICAL_LIANPO</t>
    <phoneticPr fontId="1" type="noConversion"/>
  </si>
  <si>
    <t>NAME_HISTORICAL_XIANGYU</t>
    <phoneticPr fontId="1" type="noConversion"/>
  </si>
  <si>
    <t>NAME_HISTORICAL_YUEYI</t>
    <phoneticPr fontId="1" type="noConversion"/>
  </si>
  <si>
    <t>NAME_HISTORICAL_YANGYOUJI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</si>
  <si>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</si>
  <si>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</si>
  <si>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</si>
  <si>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</si>
  <si>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</si>
  <si>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NAME_HISTORICAL_QINSHIHUANG_DESC</t>
    <phoneticPr fontId="1" type="noConversion"/>
  </si>
  <si>
    <t>NAME_HISTORICAL_LIANPO_DESC</t>
    <phoneticPr fontId="1" type="noConversion"/>
  </si>
  <si>
    <t>NAME_HISTORICAL_XIANGYU_DESC</t>
    <phoneticPr fontId="1" type="noConversion"/>
  </si>
  <si>
    <t>NAME_HISTORICAL_YUEYI_DESC</t>
    <phoneticPr fontId="1" type="noConversion"/>
  </si>
  <si>
    <t>NAME_HISTORICAL_YANGYOUJI_DESC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</si>
  <si>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</si>
  <si>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</si>
  <si>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</si>
  <si>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</si>
  <si>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</si>
  <si>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</si>
  <si>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</si>
  <si>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</si>
  <si>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</si>
  <si>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</si>
  <si>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</si>
  <si>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</si>
  <si>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</si>
  <si>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</si>
  <si>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</si>
  <si>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</si>
  <si>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</si>
  <si>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</si>
  <si>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</si>
  <si>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</si>
  <si>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</si>
  <si>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</si>
  <si>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</si>
  <si>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</si>
  <si>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</si>
  <si>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</si>
  <si>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</si>
  <si>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NAME_HISTORICAL_JIANGSHANG_DESC</t>
    <phoneticPr fontId="1" type="noConversion"/>
  </si>
  <si>
    <t>NAME_HISTORICAL_JIANGSHANG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</si>
  <si>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</si>
  <si>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</si>
  <si>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</si>
  <si>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</si>
  <si>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</si>
  <si>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</si>
  <si>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</si>
  <si>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</si>
  <si>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</si>
  <si>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</si>
  <si>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</si>
  <si>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</si>
  <si>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</si>
  <si>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</si>
  <si>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</si>
  <si>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</si>
  <si>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</si>
  <si>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</si>
  <si>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</si>
  <si>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</si>
  <si>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</si>
  <si>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</si>
  <si>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</si>
  <si>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</si>
  <si>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</si>
  <si>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</si>
  <si>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</si>
  <si>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</si>
  <si>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</si>
  <si>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</si>
  <si>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</si>
  <si>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</si>
  <si>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</si>
  <si>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</si>
  <si>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</si>
  <si>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</si>
  <si>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</si>
  <si>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</si>
  <si>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</si>
  <si>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</si>
  <si>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</si>
  <si>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</si>
  <si>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강동의 미주랑</t>
  </si>
  <si>
    <t>칠척극</t>
  </si>
  <si>
    <t>헌제 옹립</t>
  </si>
  <si>
    <t>백호 사냥 A</t>
  </si>
  <si>
    <t>백호 사냥 B</t>
  </si>
  <si>
    <t>여포의 최후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</si>
  <si>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</si>
  <si>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</si>
  <si>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</si>
  <si>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</si>
  <si>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</si>
  <si>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</si>
  <si>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</si>
  <si>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</si>
  <si>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</si>
  <si>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</si>
  <si>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</si>
  <si>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</si>
  <si>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</si>
  <si>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</si>
  <si>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</si>
  <si>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</si>
  <si>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백발의 명궁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</si>
  <si>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</si>
  <si>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</si>
  <si>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</si>
  <si>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</si>
  <si>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</si>
  <si>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</si>
  <si>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</si>
  <si>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</si>
  <si>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복수의 칼날을 휘두른다.</t>
    <phoneticPr fontId="1" type="noConversion"/>
  </si>
  <si>
    <t>학살을 막고 민심을 챙긴다.</t>
    <phoneticPr fontId="1" type="noConversion"/>
  </si>
  <si>
    <t>백성을 향한 마음만 받아간다.</t>
    <phoneticPr fontId="1" type="noConversion"/>
  </si>
  <si>
    <t>창천의 뜻을 잇는다.</t>
    <phoneticPr fontId="1" type="noConversion"/>
  </si>
  <si>
    <t>옥새를 맡기고 병력 지원을 받는다.</t>
    <phoneticPr fontId="1" type="noConversion"/>
  </si>
  <si>
    <t>스스로의 힘으로 일어선다.</t>
    <phoneticPr fontId="1" type="noConversion"/>
  </si>
  <si>
    <t>REGION_NAME_FULL_ALL</t>
    <phoneticPr fontId="1" type="noConversion"/>
  </si>
  <si>
    <t>전체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</si>
</sst>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A9" t="str">
            <v>여포</v>
          </cell>
          <cell r="B9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abSelected="1" topLeftCell="A36" workbookViewId="0">
      <selection activeCell="A42" sqref="A42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136</v>
      </c>
      <c r="B3" t="s">
        <v>137</v>
      </c>
    </row>
    <row r="4" spans="1:3" x14ac:dyDescent="0.3">
      <c r="A4" t="s">
        <v>139</v>
      </c>
      <c r="B4" s="3" t="s">
        <v>148</v>
      </c>
    </row>
    <row r="5" spans="1:3" x14ac:dyDescent="0.3">
      <c r="A5" t="s">
        <v>146</v>
      </c>
      <c r="B5" s="3" t="s">
        <v>155</v>
      </c>
    </row>
    <row r="6" spans="1:3" x14ac:dyDescent="0.3">
      <c r="A6" t="s">
        <v>144</v>
      </c>
      <c r="B6" s="3" t="s">
        <v>153</v>
      </c>
    </row>
    <row r="7" spans="1:3" x14ac:dyDescent="0.3">
      <c r="A7" t="s">
        <v>145</v>
      </c>
      <c r="B7" s="3" t="s">
        <v>154</v>
      </c>
    </row>
    <row r="8" spans="1:3" x14ac:dyDescent="0.3">
      <c r="A8" t="s">
        <v>143</v>
      </c>
      <c r="B8" s="3" t="s">
        <v>152</v>
      </c>
    </row>
    <row r="9" spans="1:3" x14ac:dyDescent="0.3">
      <c r="A9" t="s">
        <v>138</v>
      </c>
      <c r="B9" s="3" t="s">
        <v>147</v>
      </c>
    </row>
    <row r="10" spans="1:3" x14ac:dyDescent="0.3">
      <c r="A10" t="s">
        <v>140</v>
      </c>
      <c r="B10" s="3" t="s">
        <v>149</v>
      </c>
    </row>
    <row r="11" spans="1:3" x14ac:dyDescent="0.3">
      <c r="A11" t="s">
        <v>142</v>
      </c>
      <c r="B11" s="3" t="s">
        <v>151</v>
      </c>
    </row>
    <row r="12" spans="1:3" x14ac:dyDescent="0.3">
      <c r="A12" t="s">
        <v>141</v>
      </c>
      <c r="B12" s="3" t="s">
        <v>150</v>
      </c>
    </row>
    <row r="13" spans="1:3" x14ac:dyDescent="0.3">
      <c r="A13" t="s">
        <v>167</v>
      </c>
      <c r="B13" s="3" t="s">
        <v>176</v>
      </c>
    </row>
    <row r="14" spans="1:3" x14ac:dyDescent="0.3">
      <c r="A14" t="s">
        <v>171</v>
      </c>
      <c r="B14" t="s">
        <v>172</v>
      </c>
    </row>
    <row r="15" spans="1:3" x14ac:dyDescent="0.3">
      <c r="A15" t="s">
        <v>168</v>
      </c>
      <c r="B15" s="3" t="s">
        <v>175</v>
      </c>
    </row>
    <row r="16" spans="1:3" x14ac:dyDescent="0.3">
      <c r="A16" t="s">
        <v>170</v>
      </c>
      <c r="B16" t="s">
        <v>173</v>
      </c>
    </row>
    <row r="17" spans="1:2" x14ac:dyDescent="0.3">
      <c r="A17" t="s">
        <v>169</v>
      </c>
      <c r="B17" t="s">
        <v>174</v>
      </c>
    </row>
    <row r="18" spans="1:2" x14ac:dyDescent="0.3">
      <c r="A18" t="s">
        <v>166</v>
      </c>
      <c r="B18" s="3" t="s">
        <v>177</v>
      </c>
    </row>
    <row r="19" spans="1:2" x14ac:dyDescent="0.3">
      <c r="A19" t="s">
        <v>159</v>
      </c>
      <c r="B19" s="3" t="s">
        <v>164</v>
      </c>
    </row>
    <row r="20" spans="1:2" x14ac:dyDescent="0.3">
      <c r="A20" t="s">
        <v>165</v>
      </c>
      <c r="B20" s="3" t="s">
        <v>162</v>
      </c>
    </row>
    <row r="21" spans="1:2" x14ac:dyDescent="0.3">
      <c r="A21" t="s">
        <v>156</v>
      </c>
      <c r="B21" s="3" t="s">
        <v>160</v>
      </c>
    </row>
    <row r="22" spans="1:2" x14ac:dyDescent="0.3">
      <c r="A22" t="s">
        <v>158</v>
      </c>
      <c r="B22" s="3" t="s">
        <v>163</v>
      </c>
    </row>
    <row r="23" spans="1:2" x14ac:dyDescent="0.3">
      <c r="A23" t="s">
        <v>157</v>
      </c>
      <c r="B23" s="3" t="s">
        <v>161</v>
      </c>
    </row>
    <row r="24" spans="1:2" x14ac:dyDescent="0.3">
      <c r="A24" s="17" t="s">
        <v>207</v>
      </c>
      <c r="B24" s="17" t="s">
        <v>199</v>
      </c>
    </row>
    <row r="25" spans="1:2" x14ac:dyDescent="0.3">
      <c r="A25" s="17" t="s">
        <v>208</v>
      </c>
      <c r="B25" s="17" t="s">
        <v>200</v>
      </c>
    </row>
    <row r="26" spans="1:2" x14ac:dyDescent="0.3">
      <c r="A26" s="17" t="s">
        <v>209</v>
      </c>
      <c r="B26" s="17" t="s">
        <v>201</v>
      </c>
    </row>
    <row r="27" spans="1:2" x14ac:dyDescent="0.3">
      <c r="A27" s="17" t="s">
        <v>210</v>
      </c>
      <c r="B27" s="17" t="s">
        <v>202</v>
      </c>
    </row>
    <row r="28" spans="1:2" x14ac:dyDescent="0.3">
      <c r="A28" s="17" t="s">
        <v>206</v>
      </c>
      <c r="B28" s="17" t="s">
        <v>94</v>
      </c>
    </row>
    <row r="29" spans="1:2" x14ac:dyDescent="0.3">
      <c r="A29" t="s">
        <v>95</v>
      </c>
      <c r="B29" s="3" t="s">
        <v>96</v>
      </c>
    </row>
    <row r="30" spans="1:2" x14ac:dyDescent="0.3">
      <c r="A30" t="s">
        <v>97</v>
      </c>
      <c r="B30" s="3" t="s">
        <v>100</v>
      </c>
    </row>
    <row r="31" spans="1:2" x14ac:dyDescent="0.3">
      <c r="A31" t="s">
        <v>98</v>
      </c>
      <c r="B31" s="3" t="s">
        <v>99</v>
      </c>
    </row>
    <row r="32" spans="1:2" x14ac:dyDescent="0.3">
      <c r="A32" t="s">
        <v>101</v>
      </c>
      <c r="B32" s="3" t="s">
        <v>102</v>
      </c>
    </row>
    <row r="33" spans="1:3" x14ac:dyDescent="0.3">
      <c r="A33" t="s">
        <v>93</v>
      </c>
      <c r="B33" s="3" t="s">
        <v>94</v>
      </c>
    </row>
    <row r="34" spans="1:3" x14ac:dyDescent="0.3">
      <c r="A34" t="s">
        <v>204</v>
      </c>
      <c r="B34" t="s">
        <v>127</v>
      </c>
    </row>
    <row r="35" spans="1:3" x14ac:dyDescent="0.3">
      <c r="A35" t="s">
        <v>124</v>
      </c>
      <c r="B35" t="s">
        <v>125</v>
      </c>
    </row>
    <row r="36" spans="1:3" x14ac:dyDescent="0.3">
      <c r="A36" t="s">
        <v>203</v>
      </c>
      <c r="B36" t="s">
        <v>129</v>
      </c>
    </row>
    <row r="37" spans="1:3" x14ac:dyDescent="0.3">
      <c r="A37" t="s">
        <v>130</v>
      </c>
      <c r="B37" t="s">
        <v>126</v>
      </c>
    </row>
    <row r="38" spans="1:3" x14ac:dyDescent="0.3">
      <c r="A38" t="s">
        <v>205</v>
      </c>
      <c r="B38" t="s">
        <v>128</v>
      </c>
    </row>
    <row r="39" spans="1:3" x14ac:dyDescent="0.3">
      <c r="A39" t="s">
        <v>72</v>
      </c>
      <c r="B39" s="3" t="s">
        <v>73</v>
      </c>
      <c r="C39" s="3"/>
    </row>
    <row r="40" spans="1:3" x14ac:dyDescent="0.3">
      <c r="A40" t="s">
        <v>217</v>
      </c>
      <c r="B40" t="s">
        <v>218</v>
      </c>
    </row>
    <row r="41" spans="1:3" x14ac:dyDescent="0.3">
      <c r="A41" t="s">
        <v>449</v>
      </c>
      <c r="B41" t="s">
        <v>450</v>
      </c>
    </row>
    <row r="42" spans="1:3" x14ac:dyDescent="0.3">
      <c r="A42" t="s">
        <v>323</v>
      </c>
      <c r="B42" t="s">
        <v>319</v>
      </c>
    </row>
    <row r="43" spans="1:3" x14ac:dyDescent="0.3">
      <c r="A43" t="s">
        <v>321</v>
      </c>
      <c r="B43" t="s">
        <v>317</v>
      </c>
    </row>
    <row r="44" spans="1:3" x14ac:dyDescent="0.3">
      <c r="A44" t="s">
        <v>320</v>
      </c>
      <c r="B44" t="s">
        <v>316</v>
      </c>
    </row>
    <row r="45" spans="1:3" x14ac:dyDescent="0.3">
      <c r="A45" t="s">
        <v>322</v>
      </c>
      <c r="B45" t="s">
        <v>318</v>
      </c>
    </row>
    <row r="46" spans="1:3" x14ac:dyDescent="0.3">
      <c r="A46" t="s">
        <v>216</v>
      </c>
      <c r="B46" t="s">
        <v>212</v>
      </c>
    </row>
    <row r="47" spans="1:3" x14ac:dyDescent="0.3">
      <c r="A47" t="s">
        <v>214</v>
      </c>
      <c r="B47" t="s">
        <v>211</v>
      </c>
    </row>
    <row r="48" spans="1:3" x14ac:dyDescent="0.3">
      <c r="A48" t="s">
        <v>215</v>
      </c>
      <c r="B48" t="s">
        <v>213</v>
      </c>
    </row>
    <row r="49" spans="1:3" x14ac:dyDescent="0.3">
      <c r="A49" t="s">
        <v>352</v>
      </c>
      <c r="B49" t="s">
        <v>358</v>
      </c>
      <c r="C49" t="s">
        <v>365</v>
      </c>
    </row>
    <row r="50" spans="1:3" x14ac:dyDescent="0.3">
      <c r="A50" t="s">
        <v>348</v>
      </c>
      <c r="B50" t="s">
        <v>347</v>
      </c>
      <c r="C50" t="s">
        <v>361</v>
      </c>
    </row>
    <row r="51" spans="1:3" x14ac:dyDescent="0.3">
      <c r="A51" t="s">
        <v>353</v>
      </c>
      <c r="B51" t="s">
        <v>359</v>
      </c>
      <c r="C51" t="s">
        <v>366</v>
      </c>
    </row>
    <row r="52" spans="1:3" x14ac:dyDescent="0.3">
      <c r="A52" t="s">
        <v>354</v>
      </c>
      <c r="B52" t="s">
        <v>360</v>
      </c>
      <c r="C52" t="s">
        <v>367</v>
      </c>
    </row>
    <row r="53" spans="1:3" x14ac:dyDescent="0.3">
      <c r="A53" t="s">
        <v>351</v>
      </c>
      <c r="B53" t="s">
        <v>357</v>
      </c>
      <c r="C53" t="s">
        <v>364</v>
      </c>
    </row>
    <row r="54" spans="1:3" x14ac:dyDescent="0.3">
      <c r="A54" t="s">
        <v>349</v>
      </c>
      <c r="B54" t="s">
        <v>355</v>
      </c>
      <c r="C54" t="s">
        <v>362</v>
      </c>
    </row>
    <row r="55" spans="1:3" x14ac:dyDescent="0.3">
      <c r="A55" t="s">
        <v>350</v>
      </c>
      <c r="B55" t="s">
        <v>356</v>
      </c>
      <c r="C55" t="s">
        <v>363</v>
      </c>
    </row>
  </sheetData>
  <sortState xmlns:xlrd2="http://schemas.microsoft.com/office/spreadsheetml/2017/richdata2" ref="A3:C54">
    <sortCondition ref="A2:A5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179</v>
      </c>
      <c r="B3" s="17" t="str">
        <f>UPPER(A3)&amp;"_TITLE"</f>
        <v>MILITARY_TRAINING_TITLE</v>
      </c>
      <c r="C3" s="16" t="s">
        <v>189</v>
      </c>
      <c r="D3" s="18"/>
    </row>
    <row r="4" spans="1:4" x14ac:dyDescent="0.3">
      <c r="A4" s="16" t="s">
        <v>180</v>
      </c>
      <c r="B4" s="17" t="str">
        <f t="shared" ref="B4:B12" si="0">UPPER(A4)&amp;"_TITLE"</f>
        <v>RALLY_REMNANTS_TITLE</v>
      </c>
      <c r="C4" s="16" t="s">
        <v>190</v>
      </c>
      <c r="D4" s="18"/>
    </row>
    <row r="5" spans="1:4" x14ac:dyDescent="0.3">
      <c r="A5" s="16" t="s">
        <v>181</v>
      </c>
      <c r="B5" s="17" t="str">
        <f t="shared" si="0"/>
        <v>BANDIT_SUBJUGATION_TITLE</v>
      </c>
      <c r="C5" s="16" t="s">
        <v>191</v>
      </c>
      <c r="D5" s="18"/>
    </row>
    <row r="6" spans="1:4" x14ac:dyDescent="0.3">
      <c r="A6" s="16" t="s">
        <v>182</v>
      </c>
      <c r="B6" s="17" t="str">
        <f t="shared" si="0"/>
        <v>BORDER_DEFENSE_TITLE</v>
      </c>
      <c r="C6" s="16" t="s">
        <v>192</v>
      </c>
      <c r="D6" s="18"/>
    </row>
    <row r="7" spans="1:4" x14ac:dyDescent="0.3">
      <c r="A7" s="16" t="s">
        <v>183</v>
      </c>
      <c r="B7" s="17" t="str">
        <f t="shared" si="0"/>
        <v>TAX_REFORM_TITLE</v>
      </c>
      <c r="C7" s="16" t="s">
        <v>193</v>
      </c>
      <c r="D7" s="18"/>
    </row>
    <row r="8" spans="1:4" x14ac:dyDescent="0.3">
      <c r="A8" s="16" t="s">
        <v>184</v>
      </c>
      <c r="B8" s="17" t="str">
        <f t="shared" si="0"/>
        <v>FOREIGN_DIPLOMACY_TITLE</v>
      </c>
      <c r="C8" s="16" t="s">
        <v>194</v>
      </c>
      <c r="D8" s="18"/>
    </row>
    <row r="9" spans="1:4" x14ac:dyDescent="0.3">
      <c r="A9" s="16" t="s">
        <v>185</v>
      </c>
      <c r="B9" s="17" t="str">
        <f t="shared" si="0"/>
        <v>ENEMY_INTELLIGENCE_TITLE</v>
      </c>
      <c r="C9" s="16" t="s">
        <v>195</v>
      </c>
      <c r="D9" s="18"/>
    </row>
    <row r="10" spans="1:4" x14ac:dyDescent="0.3">
      <c r="A10" s="16" t="s">
        <v>186</v>
      </c>
      <c r="B10" s="17" t="str">
        <f t="shared" si="0"/>
        <v>TACTICS_RESEARCH_TITLE</v>
      </c>
      <c r="C10" s="16" t="s">
        <v>196</v>
      </c>
      <c r="D10" s="18"/>
    </row>
    <row r="11" spans="1:4" x14ac:dyDescent="0.3">
      <c r="A11" s="16" t="s">
        <v>187</v>
      </c>
      <c r="B11" s="17" t="str">
        <f t="shared" si="0"/>
        <v>REFUGEE_PERSUASION_TITLE</v>
      </c>
      <c r="C11" s="16" t="s">
        <v>197</v>
      </c>
      <c r="D11" s="18"/>
    </row>
    <row r="12" spans="1:4" x14ac:dyDescent="0.3">
      <c r="A12" s="16" t="s">
        <v>188</v>
      </c>
      <c r="B12" s="17" t="str">
        <f t="shared" si="0"/>
        <v>RECRUIT_TALENT_TITLE</v>
      </c>
      <c r="C12" s="16" t="s">
        <v>198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topLeftCell="A19" workbookViewId="0">
      <selection activeCell="A41" sqref="A41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29</v>
      </c>
      <c r="B3" s="3" t="s">
        <v>27</v>
      </c>
      <c r="C3" s="3" t="s">
        <v>24</v>
      </c>
    </row>
    <row r="4" spans="1:4" x14ac:dyDescent="0.3">
      <c r="A4" t="s">
        <v>135</v>
      </c>
      <c r="B4" s="3" t="s">
        <v>18</v>
      </c>
      <c r="C4" s="3" t="s">
        <v>19</v>
      </c>
    </row>
    <row r="5" spans="1:4" x14ac:dyDescent="0.3">
      <c r="A5" t="s">
        <v>134</v>
      </c>
      <c r="B5" s="3" t="s">
        <v>28</v>
      </c>
      <c r="C5" s="3" t="s">
        <v>23</v>
      </c>
    </row>
    <row r="6" spans="1:4" x14ac:dyDescent="0.3">
      <c r="A6" t="s">
        <v>15</v>
      </c>
      <c r="B6" s="3" t="s">
        <v>16</v>
      </c>
      <c r="C6" s="3" t="s">
        <v>17</v>
      </c>
    </row>
    <row r="7" spans="1:4" x14ac:dyDescent="0.3">
      <c r="A7" t="s">
        <v>30</v>
      </c>
      <c r="B7" s="3" t="s">
        <v>26</v>
      </c>
      <c r="C7" s="3" t="s">
        <v>25</v>
      </c>
    </row>
    <row r="8" spans="1:4" x14ac:dyDescent="0.3">
      <c r="A8" t="s">
        <v>20</v>
      </c>
      <c r="B8" s="3" t="s">
        <v>21</v>
      </c>
      <c r="C8" s="3" t="s">
        <v>22</v>
      </c>
    </row>
    <row r="9" spans="1:4" x14ac:dyDescent="0.3">
      <c r="A9" t="s">
        <v>313</v>
      </c>
      <c r="B9" s="3" t="s">
        <v>315</v>
      </c>
    </row>
    <row r="10" spans="1:4" x14ac:dyDescent="0.3">
      <c r="A10" t="s">
        <v>42</v>
      </c>
      <c r="B10" s="3" t="s">
        <v>32</v>
      </c>
    </row>
    <row r="11" spans="1:4" x14ac:dyDescent="0.3">
      <c r="A11" t="s">
        <v>41</v>
      </c>
      <c r="B11" s="3" t="s">
        <v>31</v>
      </c>
    </row>
    <row r="12" spans="1:4" x14ac:dyDescent="0.3">
      <c r="A12" t="s">
        <v>43</v>
      </c>
      <c r="B12" s="3" t="s">
        <v>33</v>
      </c>
    </row>
    <row r="13" spans="1:4" x14ac:dyDescent="0.3">
      <c r="A13" t="s">
        <v>44</v>
      </c>
      <c r="B13" s="3" t="s">
        <v>34</v>
      </c>
    </row>
    <row r="14" spans="1:4" x14ac:dyDescent="0.3">
      <c r="A14" t="s">
        <v>45</v>
      </c>
      <c r="B14" s="3" t="s">
        <v>35</v>
      </c>
    </row>
    <row r="15" spans="1:4" ht="33" x14ac:dyDescent="0.3">
      <c r="A15" t="s">
        <v>314</v>
      </c>
      <c r="B15" s="3" t="s">
        <v>324</v>
      </c>
    </row>
    <row r="16" spans="1:4" ht="33" x14ac:dyDescent="0.3">
      <c r="A16" t="s">
        <v>48</v>
      </c>
      <c r="B16" s="3" t="s">
        <v>50</v>
      </c>
    </row>
    <row r="17" spans="1:3" ht="33" x14ac:dyDescent="0.3">
      <c r="A17" t="s">
        <v>46</v>
      </c>
      <c r="B17" s="3" t="s">
        <v>47</v>
      </c>
    </row>
    <row r="18" spans="1:3" ht="33" x14ac:dyDescent="0.3">
      <c r="A18" t="s">
        <v>51</v>
      </c>
      <c r="B18" s="3" t="s">
        <v>49</v>
      </c>
    </row>
    <row r="19" spans="1:3" ht="33" x14ac:dyDescent="0.3">
      <c r="A19" t="s">
        <v>52</v>
      </c>
      <c r="B19" s="3" t="s">
        <v>104</v>
      </c>
    </row>
    <row r="20" spans="1:3" ht="33" x14ac:dyDescent="0.3">
      <c r="A20" t="s">
        <v>53</v>
      </c>
      <c r="B20" s="3" t="s">
        <v>103</v>
      </c>
    </row>
    <row r="21" spans="1:3" x14ac:dyDescent="0.3">
      <c r="A21" t="s">
        <v>310</v>
      </c>
      <c r="B21" s="3" t="s">
        <v>311</v>
      </c>
      <c r="C21" s="3" t="s">
        <v>312</v>
      </c>
    </row>
    <row r="22" spans="1:3" x14ac:dyDescent="0.3">
      <c r="A22" t="s">
        <v>37</v>
      </c>
      <c r="B22" s="3" t="s">
        <v>7</v>
      </c>
      <c r="C22" s="3" t="s">
        <v>8</v>
      </c>
    </row>
    <row r="23" spans="1:3" x14ac:dyDescent="0.3">
      <c r="A23" t="s">
        <v>36</v>
      </c>
      <c r="B23" s="3" t="s">
        <v>5</v>
      </c>
      <c r="C23" s="3" t="s">
        <v>6</v>
      </c>
    </row>
    <row r="24" spans="1:3" x14ac:dyDescent="0.3">
      <c r="A24" t="s">
        <v>38</v>
      </c>
      <c r="B24" s="3" t="s">
        <v>9</v>
      </c>
      <c r="C24" s="3" t="s">
        <v>10</v>
      </c>
    </row>
    <row r="25" spans="1:3" x14ac:dyDescent="0.3">
      <c r="A25" t="s">
        <v>39</v>
      </c>
      <c r="B25" s="3" t="s">
        <v>11</v>
      </c>
      <c r="C25" s="3" t="s">
        <v>13</v>
      </c>
    </row>
    <row r="26" spans="1:3" x14ac:dyDescent="0.3">
      <c r="A26" t="s">
        <v>40</v>
      </c>
      <c r="B26" s="3" t="s">
        <v>12</v>
      </c>
      <c r="C26" s="3" t="s">
        <v>14</v>
      </c>
    </row>
    <row r="27" spans="1:3" x14ac:dyDescent="0.3">
      <c r="A27" t="s">
        <v>66</v>
      </c>
      <c r="B27" s="3" t="s">
        <v>67</v>
      </c>
      <c r="C27" s="3" t="s">
        <v>68</v>
      </c>
    </row>
    <row r="28" spans="1:3" x14ac:dyDescent="0.3">
      <c r="A28" t="s">
        <v>69</v>
      </c>
      <c r="B28" s="3" t="s">
        <v>70</v>
      </c>
      <c r="C28" s="3" t="s">
        <v>71</v>
      </c>
    </row>
    <row r="29" spans="1:3" x14ac:dyDescent="0.3">
      <c r="A29" t="s">
        <v>54</v>
      </c>
      <c r="B29" t="s">
        <v>55</v>
      </c>
    </row>
    <row r="30" spans="1:3" x14ac:dyDescent="0.3">
      <c r="A30" t="s">
        <v>56</v>
      </c>
      <c r="B30" t="s">
        <v>57</v>
      </c>
    </row>
    <row r="31" spans="1:3" x14ac:dyDescent="0.3">
      <c r="A31" t="s">
        <v>59</v>
      </c>
      <c r="B31" t="s">
        <v>65</v>
      </c>
    </row>
    <row r="32" spans="1:3" x14ac:dyDescent="0.3">
      <c r="A32" t="s">
        <v>61</v>
      </c>
      <c r="B32" t="s">
        <v>64</v>
      </c>
    </row>
    <row r="33" spans="1:2" x14ac:dyDescent="0.3">
      <c r="A33" t="s">
        <v>58</v>
      </c>
      <c r="B33" t="s">
        <v>62</v>
      </c>
    </row>
    <row r="34" spans="1:2" x14ac:dyDescent="0.3">
      <c r="A34" t="s">
        <v>60</v>
      </c>
      <c r="B34" t="s">
        <v>63</v>
      </c>
    </row>
    <row r="35" spans="1:2" x14ac:dyDescent="0.3">
      <c r="A35" t="s">
        <v>325</v>
      </c>
      <c r="B35" s="3" t="s">
        <v>326</v>
      </c>
    </row>
    <row r="36" spans="1:2" x14ac:dyDescent="0.3">
      <c r="A36" t="s">
        <v>327</v>
      </c>
      <c r="B36" s="3" t="s">
        <v>334</v>
      </c>
    </row>
    <row r="37" spans="1:2" x14ac:dyDescent="0.3">
      <c r="A37" t="s">
        <v>328</v>
      </c>
      <c r="B37" s="3" t="s">
        <v>335</v>
      </c>
    </row>
    <row r="38" spans="1:2" x14ac:dyDescent="0.3">
      <c r="A38" t="s">
        <v>329</v>
      </c>
      <c r="B38" s="3" t="s">
        <v>333</v>
      </c>
    </row>
    <row r="39" spans="1:2" x14ac:dyDescent="0.3">
      <c r="A39" t="s">
        <v>330</v>
      </c>
      <c r="B39" s="3" t="s">
        <v>332</v>
      </c>
    </row>
    <row r="40" spans="1:2" x14ac:dyDescent="0.3">
      <c r="A40" t="s">
        <v>369</v>
      </c>
      <c r="B40" s="3" t="s">
        <v>331</v>
      </c>
    </row>
    <row r="41" spans="1:2" x14ac:dyDescent="0.3">
      <c r="A41" t="s">
        <v>336</v>
      </c>
      <c r="B41" s="3" t="s">
        <v>341</v>
      </c>
    </row>
    <row r="42" spans="1:2" x14ac:dyDescent="0.3">
      <c r="A42" t="s">
        <v>337</v>
      </c>
      <c r="B42" s="3" t="s">
        <v>346</v>
      </c>
    </row>
    <row r="43" spans="1:2" x14ac:dyDescent="0.3">
      <c r="A43" t="s">
        <v>338</v>
      </c>
      <c r="B43" s="3" t="s">
        <v>345</v>
      </c>
    </row>
    <row r="44" spans="1:2" x14ac:dyDescent="0.3">
      <c r="A44" t="s">
        <v>339</v>
      </c>
      <c r="B44" s="3" t="s">
        <v>344</v>
      </c>
    </row>
    <row r="45" spans="1:2" x14ac:dyDescent="0.3">
      <c r="A45" t="s">
        <v>340</v>
      </c>
      <c r="B45" s="3" t="s">
        <v>343</v>
      </c>
    </row>
    <row r="46" spans="1:2" x14ac:dyDescent="0.3">
      <c r="A46" t="s">
        <v>368</v>
      </c>
      <c r="B46" s="3" t="s">
        <v>342</v>
      </c>
    </row>
  </sheetData>
  <sortState xmlns:xlrd2="http://schemas.microsoft.com/office/spreadsheetml/2017/richdata2" ref="A3:C34">
    <sortCondition ref="A3:A34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219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221</v>
      </c>
      <c r="B3" s="11" t="str">
        <f>"NAME_" &amp; UPPER(A3)</f>
        <v>NAME_LIUTAO</v>
      </c>
      <c r="C3" s="12" t="s">
        <v>265</v>
      </c>
      <c r="D3" s="11"/>
      <c r="E3" s="11"/>
    </row>
    <row r="4" spans="1:5" x14ac:dyDescent="0.3">
      <c r="A4" s="10" t="s">
        <v>222</v>
      </c>
      <c r="B4" s="11" t="str">
        <f t="shared" ref="B4:B47" si="0">"NAME_" &amp; UPPER(A4)</f>
        <v>NAME_SANLUE</v>
      </c>
      <c r="C4" s="12" t="s">
        <v>266</v>
      </c>
      <c r="D4" s="11"/>
      <c r="E4" s="11"/>
    </row>
    <row r="5" spans="1:5" x14ac:dyDescent="0.3">
      <c r="A5" s="10" t="s">
        <v>223</v>
      </c>
      <c r="B5" s="11" t="str">
        <f t="shared" si="0"/>
        <v>NAME_WEILIAOZI</v>
      </c>
      <c r="C5" s="12" t="s">
        <v>267</v>
      </c>
      <c r="D5" s="11"/>
      <c r="E5" s="11"/>
    </row>
    <row r="6" spans="1:5" x14ac:dyDescent="0.3">
      <c r="A6" s="10" t="s">
        <v>224</v>
      </c>
      <c r="B6" s="11" t="str">
        <f t="shared" si="0"/>
        <v>NAME_COMMANDERS_BANNER</v>
      </c>
      <c r="C6" s="12" t="s">
        <v>268</v>
      </c>
      <c r="D6" s="11"/>
      <c r="E6" s="11"/>
    </row>
    <row r="7" spans="1:5" x14ac:dyDescent="0.3">
      <c r="A7" s="10" t="s">
        <v>225</v>
      </c>
      <c r="B7" s="11" t="str">
        <f t="shared" si="0"/>
        <v>NAME_TIGER_TALLY</v>
      </c>
      <c r="C7" s="12" t="s">
        <v>269</v>
      </c>
      <c r="D7" s="11"/>
      <c r="E7" s="11"/>
    </row>
    <row r="8" spans="1:5" x14ac:dyDescent="0.3">
      <c r="A8" s="10" t="s">
        <v>226</v>
      </c>
      <c r="B8" s="11" t="str">
        <f t="shared" si="0"/>
        <v>NAME_WAR_DRUM_GONG</v>
      </c>
      <c r="C8" s="12" t="s">
        <v>270</v>
      </c>
      <c r="D8" s="11"/>
      <c r="E8" s="11"/>
    </row>
    <row r="9" spans="1:5" x14ac:dyDescent="0.3">
      <c r="A9" s="10" t="s">
        <v>227</v>
      </c>
      <c r="B9" s="11" t="str">
        <f t="shared" si="0"/>
        <v>NAME_SIMA_FA</v>
      </c>
      <c r="C9" s="12" t="s">
        <v>271</v>
      </c>
      <c r="D9" s="11"/>
      <c r="E9" s="11"/>
    </row>
    <row r="10" spans="1:5" x14ac:dyDescent="0.3">
      <c r="A10" s="10" t="s">
        <v>228</v>
      </c>
      <c r="B10" s="11" t="str">
        <f t="shared" si="0"/>
        <v>NAME_WUZI</v>
      </c>
      <c r="C10" s="12" t="s">
        <v>272</v>
      </c>
      <c r="D10" s="11"/>
      <c r="E10" s="11"/>
    </row>
    <row r="11" spans="1:5" x14ac:dyDescent="0.3">
      <c r="A11" s="10" t="s">
        <v>229</v>
      </c>
      <c r="B11" s="11" t="str">
        <f t="shared" si="0"/>
        <v>NAME_RED_CLIFF_FLAME</v>
      </c>
      <c r="C11" s="12" t="s">
        <v>273</v>
      </c>
      <c r="D11" s="11"/>
      <c r="E11" s="11"/>
    </row>
    <row r="12" spans="1:5" x14ac:dyDescent="0.3">
      <c r="A12" s="10" t="s">
        <v>230</v>
      </c>
      <c r="B12" s="11" t="str">
        <f t="shared" si="0"/>
        <v>NAME_BANGCHEONHWAGUG_SHARD</v>
      </c>
      <c r="C12" s="12" t="s">
        <v>274</v>
      </c>
      <c r="D12" s="11"/>
      <c r="E12" s="11"/>
    </row>
    <row r="13" spans="1:5" x14ac:dyDescent="0.3">
      <c r="A13" s="10" t="s">
        <v>220</v>
      </c>
      <c r="B13" s="11" t="str">
        <f t="shared" si="0"/>
        <v>NAME_GANJIANG_MOYE</v>
      </c>
      <c r="C13" s="12" t="s">
        <v>275</v>
      </c>
      <c r="D13" s="11"/>
      <c r="E13" s="11"/>
    </row>
    <row r="14" spans="1:5" x14ac:dyDescent="0.3">
      <c r="A14" s="10" t="s">
        <v>231</v>
      </c>
      <c r="B14" s="11" t="str">
        <f t="shared" si="0"/>
        <v>NAME_CHUNGOU</v>
      </c>
      <c r="C14" s="12" t="s">
        <v>276</v>
      </c>
      <c r="D14" s="11"/>
      <c r="E14" s="11"/>
    </row>
    <row r="15" spans="1:5" x14ac:dyDescent="0.3">
      <c r="A15" s="10" t="s">
        <v>232</v>
      </c>
      <c r="B15" s="11" t="str">
        <f t="shared" si="0"/>
        <v>NAME_ZHANLU</v>
      </c>
      <c r="C15" s="12" t="s">
        <v>277</v>
      </c>
      <c r="D15" s="11"/>
      <c r="E15" s="11"/>
    </row>
    <row r="16" spans="1:5" x14ac:dyDescent="0.3">
      <c r="A16" s="10" t="s">
        <v>233</v>
      </c>
      <c r="B16" s="11" t="str">
        <f t="shared" si="0"/>
        <v>NAME_YUCHANG</v>
      </c>
      <c r="C16" s="12" t="s">
        <v>278</v>
      </c>
      <c r="D16" s="11"/>
      <c r="E16" s="11"/>
    </row>
    <row r="17" spans="1:5" x14ac:dyDescent="0.3">
      <c r="A17" s="10" t="s">
        <v>234</v>
      </c>
      <c r="B17" s="11" t="str">
        <f t="shared" si="0"/>
        <v>NAME_TAIE</v>
      </c>
      <c r="C17" s="12" t="s">
        <v>279</v>
      </c>
      <c r="D17" s="11"/>
      <c r="E17" s="11"/>
    </row>
    <row r="18" spans="1:5" x14ac:dyDescent="0.3">
      <c r="A18" s="10" t="s">
        <v>235</v>
      </c>
      <c r="B18" s="11" t="str">
        <f t="shared" si="0"/>
        <v>NAME_JUQUE</v>
      </c>
      <c r="C18" s="12" t="s">
        <v>280</v>
      </c>
      <c r="D18" s="11"/>
      <c r="E18" s="11"/>
    </row>
    <row r="19" spans="1:5" x14ac:dyDescent="0.3">
      <c r="A19" s="10" t="s">
        <v>236</v>
      </c>
      <c r="B19" s="11" t="str">
        <f t="shared" si="0"/>
        <v>NAME_SHENGXIE</v>
      </c>
      <c r="C19" s="12" t="s">
        <v>281</v>
      </c>
      <c r="D19" s="11"/>
      <c r="E19" s="11"/>
    </row>
    <row r="20" spans="1:5" x14ac:dyDescent="0.3">
      <c r="A20" s="10" t="s">
        <v>237</v>
      </c>
      <c r="B20" s="11" t="str">
        <f t="shared" si="0"/>
        <v>NAME_LORDS_WAR_BOW</v>
      </c>
      <c r="C20" s="12" t="s">
        <v>282</v>
      </c>
      <c r="D20" s="11"/>
      <c r="E20" s="11"/>
    </row>
    <row r="21" spans="1:5" x14ac:dyDescent="0.3">
      <c r="A21" s="10" t="s">
        <v>238</v>
      </c>
      <c r="B21" s="11" t="str">
        <f t="shared" si="0"/>
        <v>NAME_WUJANGWON_STAR</v>
      </c>
      <c r="C21" s="12" t="s">
        <v>283</v>
      </c>
      <c r="D21" s="11"/>
      <c r="E21" s="11"/>
    </row>
    <row r="22" spans="1:5" x14ac:dyDescent="0.3">
      <c r="A22" s="10" t="s">
        <v>239</v>
      </c>
      <c r="B22" s="11" t="str">
        <f t="shared" si="0"/>
        <v>NAME_ART_OF_WAR</v>
      </c>
      <c r="C22" s="12" t="s">
        <v>284</v>
      </c>
      <c r="D22" s="11"/>
      <c r="E22" s="11"/>
    </row>
    <row r="23" spans="1:5" x14ac:dyDescent="0.3">
      <c r="A23" s="10" t="s">
        <v>240</v>
      </c>
      <c r="B23" s="11" t="str">
        <f t="shared" si="0"/>
        <v>NAME_QIMEN_DUNJIA</v>
      </c>
      <c r="C23" s="12" t="s">
        <v>285</v>
      </c>
      <c r="D23" s="11"/>
      <c r="E23" s="11"/>
    </row>
    <row r="24" spans="1:5" x14ac:dyDescent="0.3">
      <c r="A24" s="10" t="s">
        <v>241</v>
      </c>
      <c r="B24" s="11" t="str">
        <f t="shared" si="0"/>
        <v>NAME_I_CHING</v>
      </c>
      <c r="C24" s="12" t="s">
        <v>286</v>
      </c>
      <c r="D24" s="11"/>
      <c r="E24" s="11"/>
    </row>
    <row r="25" spans="1:5" x14ac:dyDescent="0.3">
      <c r="A25" s="10" t="s">
        <v>242</v>
      </c>
      <c r="B25" s="11" t="str">
        <f t="shared" si="0"/>
        <v>NAME_GUIGUZI</v>
      </c>
      <c r="C25" s="12" t="s">
        <v>287</v>
      </c>
      <c r="D25" s="11"/>
      <c r="E25" s="11"/>
    </row>
    <row r="26" spans="1:5" x14ac:dyDescent="0.3">
      <c r="A26" s="10" t="s">
        <v>243</v>
      </c>
      <c r="B26" s="11" t="str">
        <f t="shared" si="0"/>
        <v>NAME_GUANZI</v>
      </c>
      <c r="C26" s="12" t="s">
        <v>288</v>
      </c>
      <c r="D26" s="11"/>
      <c r="E26" s="11"/>
    </row>
    <row r="27" spans="1:5" x14ac:dyDescent="0.3">
      <c r="A27" s="10" t="s">
        <v>244</v>
      </c>
      <c r="B27" s="11" t="str">
        <f t="shared" si="0"/>
        <v>NAME_HAN_FEIZI</v>
      </c>
      <c r="C27" s="12" t="s">
        <v>289</v>
      </c>
      <c r="D27" s="11"/>
      <c r="E27" s="11"/>
    </row>
    <row r="28" spans="1:5" x14ac:dyDescent="0.3">
      <c r="A28" s="10" t="s">
        <v>245</v>
      </c>
      <c r="B28" s="11" t="str">
        <f t="shared" si="0"/>
        <v>NAME_SU_SHU_OF_HUANGSHI</v>
      </c>
      <c r="C28" s="12" t="s">
        <v>290</v>
      </c>
      <c r="D28" s="11"/>
      <c r="E28" s="11"/>
    </row>
    <row r="29" spans="1:5" x14ac:dyDescent="0.3">
      <c r="A29" s="10" t="s">
        <v>246</v>
      </c>
      <c r="B29" s="11" t="str">
        <f t="shared" si="0"/>
        <v>NAME_MOZI</v>
      </c>
      <c r="C29" s="12" t="s">
        <v>291</v>
      </c>
      <c r="D29" s="11"/>
      <c r="E29" s="11"/>
    </row>
    <row r="30" spans="1:5" x14ac:dyDescent="0.3">
      <c r="A30" s="10" t="s">
        <v>247</v>
      </c>
      <c r="B30" s="11" t="str">
        <f t="shared" si="0"/>
        <v>NAME_EMPERORS_SEAL</v>
      </c>
      <c r="C30" s="12" t="s">
        <v>292</v>
      </c>
      <c r="D30" s="11"/>
      <c r="E30" s="11"/>
    </row>
    <row r="31" spans="1:5" x14ac:dyDescent="0.3">
      <c r="A31" s="10" t="s">
        <v>248</v>
      </c>
      <c r="B31" s="11" t="str">
        <f t="shared" si="0"/>
        <v>NAME_BOOK_OF_LORD_SHANG</v>
      </c>
      <c r="C31" s="12" t="s">
        <v>293</v>
      </c>
      <c r="D31" s="11"/>
      <c r="E31" s="11"/>
    </row>
    <row r="32" spans="1:5" x14ac:dyDescent="0.3">
      <c r="A32" s="10" t="s">
        <v>249</v>
      </c>
      <c r="B32" s="11" t="str">
        <f t="shared" si="0"/>
        <v>NAME_LUSHI_CHUNQIU</v>
      </c>
      <c r="C32" s="12" t="s">
        <v>294</v>
      </c>
      <c r="D32" s="11"/>
      <c r="E32" s="11"/>
    </row>
    <row r="33" spans="1:5" x14ac:dyDescent="0.3">
      <c r="A33" s="10" t="s">
        <v>250</v>
      </c>
      <c r="B33" s="11" t="str">
        <f t="shared" si="0"/>
        <v>NAME_ANALECTS</v>
      </c>
      <c r="C33" s="12" t="s">
        <v>295</v>
      </c>
      <c r="D33" s="11"/>
      <c r="E33" s="11"/>
    </row>
    <row r="34" spans="1:5" x14ac:dyDescent="0.3">
      <c r="A34" s="10" t="s">
        <v>251</v>
      </c>
      <c r="B34" s="11" t="str">
        <f t="shared" si="0"/>
        <v>NAME_WEI_ADMINISTRATIVE_CODE</v>
      </c>
      <c r="C34" s="12" t="s">
        <v>296</v>
      </c>
      <c r="D34" s="11"/>
      <c r="E34" s="11"/>
    </row>
    <row r="35" spans="1:5" x14ac:dyDescent="0.3">
      <c r="A35" s="10" t="s">
        <v>252</v>
      </c>
      <c r="B35" s="11" t="str">
        <f t="shared" si="0"/>
        <v>NAME_STRATAGEMS_OF_WARRING_STATES</v>
      </c>
      <c r="C35" s="12" t="s">
        <v>297</v>
      </c>
      <c r="D35" s="11"/>
      <c r="E35" s="11"/>
    </row>
    <row r="36" spans="1:5" x14ac:dyDescent="0.3">
      <c r="A36" s="10" t="s">
        <v>253</v>
      </c>
      <c r="B36" s="11" t="str">
        <f t="shared" si="0"/>
        <v>NAME_IMPERIAL_JADE_SEAL</v>
      </c>
      <c r="C36" s="12" t="s">
        <v>298</v>
      </c>
      <c r="D36" s="11"/>
      <c r="E36" s="11"/>
    </row>
    <row r="37" spans="1:5" x14ac:dyDescent="0.3">
      <c r="A37" s="10" t="s">
        <v>254</v>
      </c>
      <c r="B37" s="11" t="str">
        <f t="shared" si="0"/>
        <v>NAME_PREFECTS_OFFICIAL_SEAL</v>
      </c>
      <c r="C37" s="12" t="s">
        <v>299</v>
      </c>
      <c r="D37" s="11"/>
      <c r="E37" s="11"/>
    </row>
    <row r="38" spans="1:5" x14ac:dyDescent="0.3">
      <c r="A38" s="10" t="s">
        <v>255</v>
      </c>
      <c r="B38" s="11" t="str">
        <f t="shared" si="0"/>
        <v>NAME_HUANGLAO_SILK_MANUSCRIPT</v>
      </c>
      <c r="C38" s="12" t="s">
        <v>300</v>
      </c>
      <c r="D38" s="11"/>
      <c r="E38" s="11"/>
    </row>
    <row r="39" spans="1:5" x14ac:dyDescent="0.3">
      <c r="A39" s="10" t="s">
        <v>256</v>
      </c>
      <c r="B39" s="11" t="str">
        <f t="shared" si="0"/>
        <v>NAME_DOEWON_CUP</v>
      </c>
      <c r="C39" s="12" t="s">
        <v>301</v>
      </c>
      <c r="D39" s="11"/>
      <c r="E39" s="11"/>
    </row>
    <row r="40" spans="1:5" x14ac:dyDescent="0.3">
      <c r="A40" s="10" t="s">
        <v>257</v>
      </c>
      <c r="B40" s="11" t="str">
        <f t="shared" si="0"/>
        <v>NAME_HES_JADE_DISC</v>
      </c>
      <c r="C40" s="12" t="s">
        <v>302</v>
      </c>
      <c r="D40" s="11"/>
      <c r="E40" s="11"/>
    </row>
    <row r="41" spans="1:5" x14ac:dyDescent="0.3">
      <c r="A41" s="10" t="s">
        <v>258</v>
      </c>
      <c r="B41" s="11" t="str">
        <f t="shared" si="0"/>
        <v>NAME_CLASSIC_OF_MOUNTAINS_AND_SEAS</v>
      </c>
      <c r="C41" s="12" t="s">
        <v>303</v>
      </c>
      <c r="D41" s="11"/>
      <c r="E41" s="11"/>
    </row>
    <row r="42" spans="1:5" x14ac:dyDescent="0.3">
      <c r="A42" s="10" t="s">
        <v>259</v>
      </c>
      <c r="B42" s="11" t="str">
        <f t="shared" si="0"/>
        <v>NAME_XUANHE_QIN</v>
      </c>
      <c r="C42" s="12" t="s">
        <v>304</v>
      </c>
      <c r="D42" s="11"/>
      <c r="E42" s="11"/>
    </row>
    <row r="43" spans="1:5" x14ac:dyDescent="0.3">
      <c r="A43" s="10" t="s">
        <v>260</v>
      </c>
      <c r="B43" s="11" t="str">
        <f t="shared" si="0"/>
        <v>NAME_PHOENIX_JADE_PENDANT</v>
      </c>
      <c r="C43" s="12" t="s">
        <v>305</v>
      </c>
      <c r="D43" s="11"/>
      <c r="E43" s="11"/>
    </row>
    <row r="44" spans="1:5" x14ac:dyDescent="0.3">
      <c r="A44" s="10" t="s">
        <v>261</v>
      </c>
      <c r="B44" s="11" t="str">
        <f t="shared" si="0"/>
        <v>NAME_BOOK_OF_RITES</v>
      </c>
      <c r="C44" s="12" t="s">
        <v>306</v>
      </c>
      <c r="D44" s="11"/>
      <c r="E44" s="11"/>
    </row>
    <row r="45" spans="1:5" x14ac:dyDescent="0.3">
      <c r="A45" s="10" t="s">
        <v>262</v>
      </c>
      <c r="B45" s="11" t="str">
        <f t="shared" si="0"/>
        <v>NAME_ALLIANCE_LETTER</v>
      </c>
      <c r="C45" s="12" t="s">
        <v>307</v>
      </c>
      <c r="D45" s="11"/>
      <c r="E45" s="11"/>
    </row>
    <row r="46" spans="1:5" x14ac:dyDescent="0.3">
      <c r="A46" s="10" t="s">
        <v>263</v>
      </c>
      <c r="B46" s="11" t="str">
        <f t="shared" si="0"/>
        <v>NAME_HETU_LUOSHU</v>
      </c>
      <c r="C46" s="12" t="s">
        <v>308</v>
      </c>
      <c r="D46" s="11"/>
      <c r="E46" s="11"/>
    </row>
    <row r="47" spans="1:5" x14ac:dyDescent="0.3">
      <c r="A47" s="10" t="s">
        <v>264</v>
      </c>
      <c r="B47" s="11" t="str">
        <f t="shared" si="0"/>
        <v>NAME_MAP_OF_QUEEN_MOTHER_OF_THE_WEST</v>
      </c>
      <c r="C47" s="12" t="s">
        <v>309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workbookViewId="0">
      <selection activeCell="E12" sqref="E1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F84"/>
  <sheetViews>
    <sheetView topLeftCell="A40" workbookViewId="0">
      <selection activeCell="G78" sqref="G78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32.875" style="6" bestFit="1" customWidth="1"/>
  </cols>
  <sheetData>
    <row r="1" spans="1:6" x14ac:dyDescent="0.3">
      <c r="A1" s="4" t="s">
        <v>438</v>
      </c>
      <c r="B1" s="4" t="s">
        <v>178</v>
      </c>
      <c r="C1" s="4" t="s">
        <v>441</v>
      </c>
      <c r="D1" s="4" t="s">
        <v>3</v>
      </c>
      <c r="E1" s="5" t="s">
        <v>0</v>
      </c>
      <c r="F1" s="2" t="s">
        <v>1</v>
      </c>
    </row>
    <row r="2" spans="1:6" x14ac:dyDescent="0.3">
      <c r="A2" s="4" t="s">
        <v>2</v>
      </c>
      <c r="B2" s="4" t="s">
        <v>2</v>
      </c>
      <c r="C2" s="4" t="s">
        <v>2</v>
      </c>
      <c r="D2" s="4" t="s">
        <v>2</v>
      </c>
      <c r="E2" s="5" t="s">
        <v>2</v>
      </c>
      <c r="F2" s="2" t="s">
        <v>2</v>
      </c>
    </row>
    <row r="3" spans="1:6" x14ac:dyDescent="0.3">
      <c r="A3" t="s">
        <v>439</v>
      </c>
      <c r="B3" s="19" t="s">
        <v>370</v>
      </c>
      <c r="C3" s="19"/>
      <c r="D3" s="20" t="str">
        <f t="shared" ref="D3:D35" si="0">UPPER(B3)&amp;"_TITLE"</f>
        <v>NODE_1_TITLE</v>
      </c>
      <c r="E3" s="19" t="s">
        <v>404</v>
      </c>
      <c r="F3" s="21"/>
    </row>
    <row r="4" spans="1:6" x14ac:dyDescent="0.3">
      <c r="A4" t="s">
        <v>439</v>
      </c>
      <c r="B4" s="19" t="s">
        <v>371</v>
      </c>
      <c r="C4" s="19"/>
      <c r="D4" s="20" t="str">
        <f t="shared" si="0"/>
        <v>NODE_2_TITLE</v>
      </c>
      <c r="E4" s="19" t="s">
        <v>405</v>
      </c>
      <c r="F4" s="21"/>
    </row>
    <row r="5" spans="1:6" x14ac:dyDescent="0.3">
      <c r="A5" t="s">
        <v>439</v>
      </c>
      <c r="B5" s="19" t="s">
        <v>372</v>
      </c>
      <c r="C5" s="19"/>
      <c r="D5" s="20" t="str">
        <f t="shared" si="0"/>
        <v>NODE_3_TITLE</v>
      </c>
      <c r="E5" s="19" t="s">
        <v>406</v>
      </c>
      <c r="F5" s="21"/>
    </row>
    <row r="6" spans="1:6" x14ac:dyDescent="0.3">
      <c r="A6" t="s">
        <v>439</v>
      </c>
      <c r="B6" s="19" t="s">
        <v>373</v>
      </c>
      <c r="C6" s="19"/>
      <c r="D6" s="20" t="str">
        <f t="shared" si="0"/>
        <v>NODE_4_TITLE</v>
      </c>
      <c r="E6" s="19" t="s">
        <v>407</v>
      </c>
      <c r="F6" s="21"/>
    </row>
    <row r="7" spans="1:6" x14ac:dyDescent="0.3">
      <c r="A7" t="s">
        <v>439</v>
      </c>
      <c r="B7" s="19" t="s">
        <v>374</v>
      </c>
      <c r="C7" s="19"/>
      <c r="D7" s="20" t="str">
        <f t="shared" si="0"/>
        <v>NODE_5_TITLE</v>
      </c>
      <c r="E7" s="19" t="s">
        <v>408</v>
      </c>
      <c r="F7" s="21"/>
    </row>
    <row r="8" spans="1:6" x14ac:dyDescent="0.3">
      <c r="A8" t="s">
        <v>439</v>
      </c>
      <c r="B8" s="19" t="s">
        <v>375</v>
      </c>
      <c r="C8" s="19"/>
      <c r="D8" s="20" t="str">
        <f t="shared" si="0"/>
        <v>NODE_6_TITLE</v>
      </c>
      <c r="E8" s="19" t="s">
        <v>409</v>
      </c>
      <c r="F8" s="21"/>
    </row>
    <row r="9" spans="1:6" x14ac:dyDescent="0.3">
      <c r="A9" t="s">
        <v>439</v>
      </c>
      <c r="B9" s="19" t="s">
        <v>376</v>
      </c>
      <c r="C9" s="19"/>
      <c r="D9" s="20" t="str">
        <f t="shared" si="0"/>
        <v>NODE_7_TITLE</v>
      </c>
      <c r="E9" s="19" t="s">
        <v>410</v>
      </c>
      <c r="F9" s="21"/>
    </row>
    <row r="10" spans="1:6" x14ac:dyDescent="0.3">
      <c r="A10" t="s">
        <v>439</v>
      </c>
      <c r="B10" s="19" t="s">
        <v>377</v>
      </c>
      <c r="C10" s="19"/>
      <c r="D10" s="20" t="str">
        <f t="shared" si="0"/>
        <v>NODE_8_TITLE</v>
      </c>
      <c r="E10" s="19" t="s">
        <v>411</v>
      </c>
      <c r="F10" s="21"/>
    </row>
    <row r="11" spans="1:6" x14ac:dyDescent="0.3">
      <c r="A11" t="s">
        <v>439</v>
      </c>
      <c r="B11" s="19" t="s">
        <v>378</v>
      </c>
      <c r="C11" s="19"/>
      <c r="D11" s="20" t="str">
        <f t="shared" si="0"/>
        <v>NODE_9_TITLE</v>
      </c>
      <c r="E11" s="19" t="s">
        <v>412</v>
      </c>
      <c r="F11" s="21"/>
    </row>
    <row r="12" spans="1:6" x14ac:dyDescent="0.3">
      <c r="A12" t="s">
        <v>439</v>
      </c>
      <c r="B12" s="19" t="s">
        <v>379</v>
      </c>
      <c r="C12" s="19"/>
      <c r="D12" s="20" t="str">
        <f t="shared" si="0"/>
        <v>NODE_10_TITLE</v>
      </c>
      <c r="E12" s="19" t="s">
        <v>413</v>
      </c>
      <c r="F12" s="21"/>
    </row>
    <row r="13" spans="1:6" x14ac:dyDescent="0.3">
      <c r="A13" t="s">
        <v>439</v>
      </c>
      <c r="B13" s="19" t="s">
        <v>380</v>
      </c>
      <c r="C13" s="19"/>
      <c r="D13" s="20" t="str">
        <f t="shared" si="0"/>
        <v>NODE_11_TITLE</v>
      </c>
      <c r="E13" s="19" t="s">
        <v>414</v>
      </c>
      <c r="F13" s="21"/>
    </row>
    <row r="14" spans="1:6" x14ac:dyDescent="0.3">
      <c r="A14" t="s">
        <v>439</v>
      </c>
      <c r="B14" s="19" t="s">
        <v>381</v>
      </c>
      <c r="C14" s="19"/>
      <c r="D14" s="20" t="str">
        <f t="shared" si="0"/>
        <v>NODE_12A_TITLE</v>
      </c>
      <c r="E14" s="19" t="s">
        <v>415</v>
      </c>
      <c r="F14" s="21"/>
    </row>
    <row r="15" spans="1:6" x14ac:dyDescent="0.3">
      <c r="A15" t="s">
        <v>439</v>
      </c>
      <c r="B15" s="19" t="s">
        <v>382</v>
      </c>
      <c r="C15" s="19"/>
      <c r="D15" s="20" t="str">
        <f t="shared" si="0"/>
        <v>NODE_12B_TITLE</v>
      </c>
      <c r="E15" s="19" t="s">
        <v>416</v>
      </c>
      <c r="F15" s="21"/>
    </row>
    <row r="16" spans="1:6" x14ac:dyDescent="0.3">
      <c r="A16" t="s">
        <v>439</v>
      </c>
      <c r="B16" s="19" t="s">
        <v>383</v>
      </c>
      <c r="C16" s="19"/>
      <c r="D16" s="20" t="str">
        <f t="shared" si="0"/>
        <v>NODE_13_TITLE</v>
      </c>
      <c r="E16" s="19" t="s">
        <v>417</v>
      </c>
      <c r="F16" s="21"/>
    </row>
    <row r="17" spans="1:6" x14ac:dyDescent="0.3">
      <c r="A17" t="s">
        <v>439</v>
      </c>
      <c r="B17" s="19" t="s">
        <v>384</v>
      </c>
      <c r="C17" s="19"/>
      <c r="D17" s="20" t="str">
        <f t="shared" si="0"/>
        <v>NODE_14_TITLE</v>
      </c>
      <c r="E17" s="19" t="s">
        <v>418</v>
      </c>
      <c r="F17" s="21"/>
    </row>
    <row r="18" spans="1:6" x14ac:dyDescent="0.3">
      <c r="A18" t="s">
        <v>439</v>
      </c>
      <c r="B18" s="19" t="s">
        <v>385</v>
      </c>
      <c r="C18" s="19"/>
      <c r="D18" s="20" t="str">
        <f t="shared" si="0"/>
        <v>NODE_15_TITLE</v>
      </c>
      <c r="E18" s="19" t="s">
        <v>419</v>
      </c>
      <c r="F18" s="21"/>
    </row>
    <row r="19" spans="1:6" x14ac:dyDescent="0.3">
      <c r="A19" t="s">
        <v>439</v>
      </c>
      <c r="B19" s="19" t="s">
        <v>386</v>
      </c>
      <c r="C19" s="19"/>
      <c r="D19" s="20" t="str">
        <f t="shared" si="0"/>
        <v>NODE_16_TITLE</v>
      </c>
      <c r="E19" s="19" t="s">
        <v>420</v>
      </c>
      <c r="F19" s="21"/>
    </row>
    <row r="20" spans="1:6" x14ac:dyDescent="0.3">
      <c r="A20" t="s">
        <v>439</v>
      </c>
      <c r="B20" s="19" t="s">
        <v>387</v>
      </c>
      <c r="C20" s="19"/>
      <c r="D20" s="20" t="str">
        <f t="shared" si="0"/>
        <v>NODE_17_TITLE</v>
      </c>
      <c r="E20" s="19" t="s">
        <v>421</v>
      </c>
      <c r="F20" s="21"/>
    </row>
    <row r="21" spans="1:6" x14ac:dyDescent="0.3">
      <c r="A21" t="s">
        <v>439</v>
      </c>
      <c r="B21" s="19" t="s">
        <v>388</v>
      </c>
      <c r="C21" s="19"/>
      <c r="D21" s="20" t="str">
        <f t="shared" si="0"/>
        <v>NODE_18_TITLE</v>
      </c>
      <c r="E21" s="19" t="s">
        <v>422</v>
      </c>
      <c r="F21" s="21"/>
    </row>
    <row r="22" spans="1:6" x14ac:dyDescent="0.3">
      <c r="A22" t="s">
        <v>439</v>
      </c>
      <c r="B22" s="19" t="s">
        <v>389</v>
      </c>
      <c r="C22" s="19"/>
      <c r="D22" s="20" t="str">
        <f t="shared" si="0"/>
        <v>NODE_19A_TITLE</v>
      </c>
      <c r="E22" s="19" t="s">
        <v>423</v>
      </c>
      <c r="F22" s="21"/>
    </row>
    <row r="23" spans="1:6" x14ac:dyDescent="0.3">
      <c r="A23" t="s">
        <v>439</v>
      </c>
      <c r="B23" s="19" t="s">
        <v>390</v>
      </c>
      <c r="C23" s="19"/>
      <c r="D23" s="20" t="str">
        <f t="shared" si="0"/>
        <v>NODE_19B_TITLE</v>
      </c>
      <c r="E23" s="19" t="s">
        <v>424</v>
      </c>
      <c r="F23" s="21"/>
    </row>
    <row r="24" spans="1:6" x14ac:dyDescent="0.3">
      <c r="A24" t="s">
        <v>439</v>
      </c>
      <c r="B24" s="19" t="s">
        <v>391</v>
      </c>
      <c r="C24" s="19"/>
      <c r="D24" s="20" t="str">
        <f t="shared" si="0"/>
        <v>NODE_20_TITLE</v>
      </c>
      <c r="E24" s="19" t="s">
        <v>425</v>
      </c>
      <c r="F24" s="21"/>
    </row>
    <row r="25" spans="1:6" x14ac:dyDescent="0.3">
      <c r="A25" t="s">
        <v>439</v>
      </c>
      <c r="B25" s="19" t="s">
        <v>392</v>
      </c>
      <c r="C25" s="19"/>
      <c r="D25" s="20" t="str">
        <f t="shared" si="0"/>
        <v>NODE_21A_TITLE</v>
      </c>
      <c r="E25" s="19" t="s">
        <v>426</v>
      </c>
      <c r="F25" s="21"/>
    </row>
    <row r="26" spans="1:6" x14ac:dyDescent="0.3">
      <c r="A26" t="s">
        <v>439</v>
      </c>
      <c r="B26" s="19" t="s">
        <v>393</v>
      </c>
      <c r="C26" s="19"/>
      <c r="D26" s="20" t="str">
        <f t="shared" si="0"/>
        <v>NODE_21B_TITLE</v>
      </c>
      <c r="E26" s="19" t="s">
        <v>427</v>
      </c>
      <c r="F26" s="21"/>
    </row>
    <row r="27" spans="1:6" x14ac:dyDescent="0.3">
      <c r="A27" t="s">
        <v>439</v>
      </c>
      <c r="B27" s="19" t="s">
        <v>394</v>
      </c>
      <c r="C27" s="19"/>
      <c r="D27" s="20" t="str">
        <f t="shared" si="0"/>
        <v>NODE_22_TITLE</v>
      </c>
      <c r="E27" s="19" t="s">
        <v>428</v>
      </c>
      <c r="F27" s="21"/>
    </row>
    <row r="28" spans="1:6" x14ac:dyDescent="0.3">
      <c r="A28" t="s">
        <v>439</v>
      </c>
      <c r="B28" s="19" t="s">
        <v>395</v>
      </c>
      <c r="C28" s="19"/>
      <c r="D28" s="20" t="str">
        <f t="shared" si="0"/>
        <v>NODE_23A_TITLE</v>
      </c>
      <c r="E28" s="19" t="s">
        <v>429</v>
      </c>
      <c r="F28" s="21"/>
    </row>
    <row r="29" spans="1:6" x14ac:dyDescent="0.3">
      <c r="A29" t="s">
        <v>439</v>
      </c>
      <c r="B29" s="19" t="s">
        <v>396</v>
      </c>
      <c r="C29" s="19"/>
      <c r="D29" s="20" t="str">
        <f t="shared" si="0"/>
        <v>NODE_23B_TITLE</v>
      </c>
      <c r="E29" s="19" t="s">
        <v>430</v>
      </c>
      <c r="F29" s="21"/>
    </row>
    <row r="30" spans="1:6" x14ac:dyDescent="0.3">
      <c r="A30" t="s">
        <v>439</v>
      </c>
      <c r="B30" s="19" t="s">
        <v>397</v>
      </c>
      <c r="C30" s="19"/>
      <c r="D30" s="20" t="str">
        <f t="shared" si="0"/>
        <v>NODE_24A_TITLE</v>
      </c>
      <c r="E30" s="19" t="s">
        <v>431</v>
      </c>
      <c r="F30" s="21"/>
    </row>
    <row r="31" spans="1:6" x14ac:dyDescent="0.3">
      <c r="A31" t="s">
        <v>439</v>
      </c>
      <c r="B31" s="19" t="s">
        <v>398</v>
      </c>
      <c r="C31" s="19"/>
      <c r="D31" s="20" t="str">
        <f t="shared" si="0"/>
        <v>NODE_24B_TITLE</v>
      </c>
      <c r="E31" s="19" t="s">
        <v>432</v>
      </c>
      <c r="F31" s="21"/>
    </row>
    <row r="32" spans="1:6" x14ac:dyDescent="0.3">
      <c r="A32" t="s">
        <v>439</v>
      </c>
      <c r="B32" s="19" t="s">
        <v>399</v>
      </c>
      <c r="C32" s="19"/>
      <c r="D32" s="20" t="str">
        <f t="shared" si="0"/>
        <v>NODE_25_TITLE</v>
      </c>
      <c r="E32" s="19" t="s">
        <v>433</v>
      </c>
      <c r="F32" s="21"/>
    </row>
    <row r="33" spans="1:6" x14ac:dyDescent="0.3">
      <c r="A33" t="s">
        <v>439</v>
      </c>
      <c r="B33" s="19" t="s">
        <v>400</v>
      </c>
      <c r="C33" s="19"/>
      <c r="D33" s="20" t="str">
        <f t="shared" si="0"/>
        <v>NODE_26_TITLE</v>
      </c>
      <c r="E33" s="19" t="s">
        <v>434</v>
      </c>
      <c r="F33" s="21"/>
    </row>
    <row r="34" spans="1:6" x14ac:dyDescent="0.3">
      <c r="A34" t="s">
        <v>439</v>
      </c>
      <c r="B34" s="19" t="s">
        <v>401</v>
      </c>
      <c r="C34" s="19"/>
      <c r="D34" s="20" t="str">
        <f t="shared" si="0"/>
        <v>NODE_27_TITLE</v>
      </c>
      <c r="E34" s="19" t="s">
        <v>435</v>
      </c>
      <c r="F34" s="21"/>
    </row>
    <row r="35" spans="1:6" x14ac:dyDescent="0.3">
      <c r="A35" t="s">
        <v>439</v>
      </c>
      <c r="B35" s="22" t="s">
        <v>402</v>
      </c>
      <c r="C35" s="22"/>
      <c r="D35" s="23" t="str">
        <f t="shared" si="0"/>
        <v>NODE_28_TITLE</v>
      </c>
      <c r="E35" s="22" t="s">
        <v>436</v>
      </c>
      <c r="F35" s="24"/>
    </row>
    <row r="36" spans="1:6" x14ac:dyDescent="0.3">
      <c r="A36" s="21" t="s">
        <v>439</v>
      </c>
      <c r="B36" s="19" t="s">
        <v>403</v>
      </c>
      <c r="C36" s="19"/>
      <c r="D36" s="20" t="str">
        <f t="shared" ref="D36" si="1">UPPER(B36)&amp;"_TITLE"</f>
        <v>NODE_29_TITLE</v>
      </c>
      <c r="E36" s="19" t="s">
        <v>437</v>
      </c>
      <c r="F36" s="21"/>
    </row>
    <row r="37" spans="1:6" x14ac:dyDescent="0.2">
      <c r="A37" s="21" t="s">
        <v>440</v>
      </c>
      <c r="B37" s="25" t="s">
        <v>370</v>
      </c>
      <c r="C37" s="26">
        <v>1</v>
      </c>
      <c r="D37" s="20" t="str">
        <f t="shared" ref="D37:D59" si="2">UPPER(B37)&amp;"_CHOICE_"&amp;C37</f>
        <v>NODE_1_CHOICE_1</v>
      </c>
      <c r="E37" s="20"/>
      <c r="F37" s="21"/>
    </row>
    <row r="38" spans="1:6" x14ac:dyDescent="0.2">
      <c r="A38" s="21" t="s">
        <v>440</v>
      </c>
      <c r="B38" s="25" t="s">
        <v>370</v>
      </c>
      <c r="C38" s="26">
        <v>2</v>
      </c>
      <c r="D38" s="20" t="str">
        <f t="shared" si="2"/>
        <v>NODE_1_CHOICE_2</v>
      </c>
      <c r="E38" s="20"/>
      <c r="F38" s="21"/>
    </row>
    <row r="39" spans="1:6" x14ac:dyDescent="0.2">
      <c r="A39" s="21" t="s">
        <v>440</v>
      </c>
      <c r="B39" s="25" t="s">
        <v>374</v>
      </c>
      <c r="C39" s="26">
        <v>1</v>
      </c>
      <c r="D39" s="20" t="str">
        <f t="shared" si="2"/>
        <v>NODE_5_CHOICE_1</v>
      </c>
      <c r="E39" s="20"/>
      <c r="F39" s="21"/>
    </row>
    <row r="40" spans="1:6" x14ac:dyDescent="0.2">
      <c r="A40" s="21" t="s">
        <v>440</v>
      </c>
      <c r="B40" s="25" t="s">
        <v>374</v>
      </c>
      <c r="C40" s="26">
        <v>2</v>
      </c>
      <c r="D40" s="20" t="str">
        <f t="shared" si="2"/>
        <v>NODE_5_CHOICE_2</v>
      </c>
      <c r="E40" s="20"/>
      <c r="F40" s="21"/>
    </row>
    <row r="41" spans="1:6" x14ac:dyDescent="0.2">
      <c r="A41" s="21" t="s">
        <v>440</v>
      </c>
      <c r="B41" s="25" t="s">
        <v>375</v>
      </c>
      <c r="C41" s="26">
        <v>1</v>
      </c>
      <c r="D41" s="20" t="str">
        <f t="shared" si="2"/>
        <v>NODE_6_CHOICE_1</v>
      </c>
      <c r="E41" s="20"/>
      <c r="F41" s="21"/>
    </row>
    <row r="42" spans="1:6" x14ac:dyDescent="0.2">
      <c r="A42" s="21" t="s">
        <v>440</v>
      </c>
      <c r="B42" s="25" t="s">
        <v>375</v>
      </c>
      <c r="C42" s="26">
        <v>2</v>
      </c>
      <c r="D42" s="20" t="str">
        <f t="shared" si="2"/>
        <v>NODE_6_CHOICE_2</v>
      </c>
      <c r="E42" s="20"/>
      <c r="F42" s="21"/>
    </row>
    <row r="43" spans="1:6" x14ac:dyDescent="0.2">
      <c r="A43" s="21" t="s">
        <v>440</v>
      </c>
      <c r="B43" s="25" t="s">
        <v>376</v>
      </c>
      <c r="C43" s="26">
        <v>1</v>
      </c>
      <c r="D43" s="20" t="str">
        <f t="shared" si="2"/>
        <v>NODE_7_CHOICE_1</v>
      </c>
      <c r="E43" s="20"/>
      <c r="F43" s="21"/>
    </row>
    <row r="44" spans="1:6" x14ac:dyDescent="0.2">
      <c r="A44" s="21" t="s">
        <v>440</v>
      </c>
      <c r="B44" s="25" t="s">
        <v>376</v>
      </c>
      <c r="C44" s="26">
        <v>2</v>
      </c>
      <c r="D44" s="20" t="str">
        <f t="shared" si="2"/>
        <v>NODE_7_CHOICE_2</v>
      </c>
      <c r="E44" s="20"/>
      <c r="F44" s="21"/>
    </row>
    <row r="45" spans="1:6" x14ac:dyDescent="0.2">
      <c r="A45" s="21" t="s">
        <v>440</v>
      </c>
      <c r="B45" s="25" t="s">
        <v>379</v>
      </c>
      <c r="C45" s="26">
        <v>1</v>
      </c>
      <c r="D45" s="20" t="str">
        <f t="shared" si="2"/>
        <v>NODE_10_CHOICE_1</v>
      </c>
      <c r="E45" s="20"/>
      <c r="F45" s="21"/>
    </row>
    <row r="46" spans="1:6" x14ac:dyDescent="0.2">
      <c r="A46" s="21" t="s">
        <v>440</v>
      </c>
      <c r="B46" s="25" t="s">
        <v>379</v>
      </c>
      <c r="C46" s="26">
        <v>2</v>
      </c>
      <c r="D46" s="20" t="str">
        <f t="shared" si="2"/>
        <v>NODE_10_CHOICE_2</v>
      </c>
      <c r="E46" s="20"/>
      <c r="F46" s="21"/>
    </row>
    <row r="47" spans="1:6" x14ac:dyDescent="0.2">
      <c r="A47" s="21" t="s">
        <v>440</v>
      </c>
      <c r="B47" s="25" t="s">
        <v>382</v>
      </c>
      <c r="C47" s="26">
        <v>1</v>
      </c>
      <c r="D47" s="20" t="str">
        <f t="shared" si="2"/>
        <v>NODE_12B_CHOICE_1</v>
      </c>
      <c r="E47" s="20"/>
      <c r="F47" s="21"/>
    </row>
    <row r="48" spans="1:6" x14ac:dyDescent="0.2">
      <c r="A48" s="21" t="s">
        <v>440</v>
      </c>
      <c r="B48" s="25" t="s">
        <v>382</v>
      </c>
      <c r="C48" s="26">
        <v>2</v>
      </c>
      <c r="D48" s="20" t="str">
        <f t="shared" si="2"/>
        <v>NODE_12B_CHOICE_2</v>
      </c>
      <c r="E48" s="20"/>
      <c r="F48" s="21"/>
    </row>
    <row r="49" spans="1:6" x14ac:dyDescent="0.2">
      <c r="A49" s="21" t="s">
        <v>440</v>
      </c>
      <c r="B49" s="25" t="s">
        <v>384</v>
      </c>
      <c r="C49" s="26">
        <v>1</v>
      </c>
      <c r="D49" s="20" t="str">
        <f t="shared" si="2"/>
        <v>NODE_14_CHOICE_1</v>
      </c>
      <c r="E49" s="20"/>
      <c r="F49" s="21"/>
    </row>
    <row r="50" spans="1:6" x14ac:dyDescent="0.2">
      <c r="A50" s="21" t="s">
        <v>440</v>
      </c>
      <c r="B50" s="25" t="s">
        <v>384</v>
      </c>
      <c r="C50" s="26">
        <v>2</v>
      </c>
      <c r="D50" s="20" t="str">
        <f t="shared" si="2"/>
        <v>NODE_14_CHOICE_2</v>
      </c>
      <c r="E50" s="20"/>
      <c r="F50" s="21"/>
    </row>
    <row r="51" spans="1:6" x14ac:dyDescent="0.2">
      <c r="A51" s="21" t="s">
        <v>440</v>
      </c>
      <c r="B51" s="25" t="s">
        <v>385</v>
      </c>
      <c r="C51" s="26">
        <v>1</v>
      </c>
      <c r="D51" s="20" t="str">
        <f t="shared" si="2"/>
        <v>NODE_15_CHOICE_1</v>
      </c>
      <c r="E51" s="20"/>
      <c r="F51" s="21"/>
    </row>
    <row r="52" spans="1:6" x14ac:dyDescent="0.2">
      <c r="A52" s="21" t="s">
        <v>440</v>
      </c>
      <c r="B52" s="25" t="s">
        <v>385</v>
      </c>
      <c r="C52" s="26">
        <v>2</v>
      </c>
      <c r="D52" s="20" t="str">
        <f t="shared" si="2"/>
        <v>NODE_15_CHOICE_2</v>
      </c>
      <c r="E52" s="20"/>
      <c r="F52" s="21"/>
    </row>
    <row r="53" spans="1:6" x14ac:dyDescent="0.2">
      <c r="A53" s="21" t="s">
        <v>440</v>
      </c>
      <c r="B53" s="25" t="s">
        <v>386</v>
      </c>
      <c r="C53" s="26">
        <v>1</v>
      </c>
      <c r="D53" s="20" t="str">
        <f t="shared" si="2"/>
        <v>NODE_16_CHOICE_1</v>
      </c>
      <c r="E53" s="20"/>
      <c r="F53" s="21"/>
    </row>
    <row r="54" spans="1:6" x14ac:dyDescent="0.2">
      <c r="A54" s="21" t="s">
        <v>440</v>
      </c>
      <c r="B54" s="25" t="s">
        <v>386</v>
      </c>
      <c r="C54" s="26">
        <v>2</v>
      </c>
      <c r="D54" s="20" t="str">
        <f t="shared" si="2"/>
        <v>NODE_16_CHOICE_2</v>
      </c>
      <c r="E54" s="20"/>
      <c r="F54" s="21"/>
    </row>
    <row r="55" spans="1:6" x14ac:dyDescent="0.2">
      <c r="A55" s="21" t="s">
        <v>440</v>
      </c>
      <c r="B55" s="25" t="s">
        <v>390</v>
      </c>
      <c r="C55" s="26">
        <v>1</v>
      </c>
      <c r="D55" s="20" t="str">
        <f t="shared" si="2"/>
        <v>NODE_19B_CHOICE_1</v>
      </c>
      <c r="E55" s="20"/>
      <c r="F55" s="21"/>
    </row>
    <row r="56" spans="1:6" x14ac:dyDescent="0.2">
      <c r="A56" s="21" t="s">
        <v>440</v>
      </c>
      <c r="B56" s="25" t="s">
        <v>390</v>
      </c>
      <c r="C56" s="26">
        <v>2</v>
      </c>
      <c r="D56" s="20" t="str">
        <f t="shared" si="2"/>
        <v>NODE_19B_CHOICE_2</v>
      </c>
      <c r="E56" s="20"/>
      <c r="F56" s="21"/>
    </row>
    <row r="57" spans="1:6" x14ac:dyDescent="0.2">
      <c r="A57" s="21" t="s">
        <v>440</v>
      </c>
      <c r="B57" s="25" t="s">
        <v>393</v>
      </c>
      <c r="C57" s="26">
        <v>1</v>
      </c>
      <c r="D57" s="20" t="str">
        <f t="shared" si="2"/>
        <v>NODE_21B_CHOICE_1</v>
      </c>
      <c r="E57" s="20"/>
      <c r="F57" s="21"/>
    </row>
    <row r="58" spans="1:6" x14ac:dyDescent="0.2">
      <c r="A58" s="21" t="s">
        <v>440</v>
      </c>
      <c r="B58" s="25" t="s">
        <v>393</v>
      </c>
      <c r="C58" s="26">
        <v>2</v>
      </c>
      <c r="D58" s="20" t="str">
        <f t="shared" si="2"/>
        <v>NODE_21B_CHOICE_2</v>
      </c>
      <c r="E58" s="20"/>
      <c r="F58" s="21"/>
    </row>
    <row r="59" spans="1:6" x14ac:dyDescent="0.2">
      <c r="A59" s="21" t="s">
        <v>440</v>
      </c>
      <c r="B59" s="25" t="s">
        <v>399</v>
      </c>
      <c r="C59" s="26">
        <v>1</v>
      </c>
      <c r="D59" s="20" t="str">
        <f t="shared" si="2"/>
        <v>NODE_25_CHOICE_1</v>
      </c>
      <c r="E59" s="20"/>
      <c r="F59" s="21"/>
    </row>
    <row r="60" spans="1:6" x14ac:dyDescent="0.2">
      <c r="A60" s="21" t="s">
        <v>440</v>
      </c>
      <c r="B60" s="25" t="s">
        <v>399</v>
      </c>
      <c r="C60" s="26">
        <v>2</v>
      </c>
      <c r="D60" s="20" t="str">
        <f>UPPER(B60)&amp;"_CHOICE_"&amp;C60</f>
        <v>NODE_25_CHOICE_2</v>
      </c>
      <c r="E60" s="20"/>
      <c r="F60" s="21"/>
    </row>
    <row r="61" spans="1:6" x14ac:dyDescent="0.2">
      <c r="A61" s="21" t="s">
        <v>442</v>
      </c>
      <c r="B61" s="25" t="s">
        <v>370</v>
      </c>
      <c r="C61" s="26">
        <v>1</v>
      </c>
      <c r="D61" s="20" t="str">
        <f>UPPER(B61)&amp;"_CHOICE_"&amp;C61&amp;"_DESC"</f>
        <v>NODE_1_CHOICE_1_DESC</v>
      </c>
      <c r="E61" s="20" t="s">
        <v>445</v>
      </c>
      <c r="F61" s="21"/>
    </row>
    <row r="62" spans="1:6" x14ac:dyDescent="0.2">
      <c r="A62" s="21" t="s">
        <v>442</v>
      </c>
      <c r="B62" s="25" t="s">
        <v>370</v>
      </c>
      <c r="C62" s="26">
        <v>2</v>
      </c>
      <c r="D62" s="20" t="str">
        <f t="shared" ref="D62:D84" si="3">UPPER(B62)&amp;"_CHOICE_"&amp;C62&amp;"_DESC"</f>
        <v>NODE_1_CHOICE_2_DESC</v>
      </c>
      <c r="E62" s="20" t="s">
        <v>446</v>
      </c>
      <c r="F62" s="21"/>
    </row>
    <row r="63" spans="1:6" x14ac:dyDescent="0.2">
      <c r="A63" s="21" t="s">
        <v>442</v>
      </c>
      <c r="B63" s="25" t="s">
        <v>374</v>
      </c>
      <c r="C63" s="26">
        <v>1</v>
      </c>
      <c r="D63" s="20" t="str">
        <f t="shared" si="3"/>
        <v>NODE_5_CHOICE_1_DESC</v>
      </c>
      <c r="E63" s="20" t="s">
        <v>443</v>
      </c>
      <c r="F63" s="21"/>
    </row>
    <row r="64" spans="1:6" x14ac:dyDescent="0.2">
      <c r="A64" s="21" t="s">
        <v>442</v>
      </c>
      <c r="B64" s="25" t="s">
        <v>374</v>
      </c>
      <c r="C64" s="26">
        <v>2</v>
      </c>
      <c r="D64" s="20" t="str">
        <f t="shared" si="3"/>
        <v>NODE_5_CHOICE_2_DESC</v>
      </c>
      <c r="E64" s="20" t="s">
        <v>444</v>
      </c>
      <c r="F64" s="21"/>
    </row>
    <row r="65" spans="1:6" x14ac:dyDescent="0.2">
      <c r="A65" s="21" t="s">
        <v>442</v>
      </c>
      <c r="B65" s="25" t="s">
        <v>375</v>
      </c>
      <c r="C65" s="26">
        <v>1</v>
      </c>
      <c r="D65" s="20" t="str">
        <f t="shared" si="3"/>
        <v>NODE_6_CHOICE_1_DESC</v>
      </c>
      <c r="E65" s="20" t="s">
        <v>447</v>
      </c>
      <c r="F65" s="21"/>
    </row>
    <row r="66" spans="1:6" x14ac:dyDescent="0.2">
      <c r="A66" s="21" t="s">
        <v>442</v>
      </c>
      <c r="B66" s="25" t="s">
        <v>375</v>
      </c>
      <c r="C66" s="26">
        <v>2</v>
      </c>
      <c r="D66" s="20" t="str">
        <f t="shared" si="3"/>
        <v>NODE_6_CHOICE_2_DESC</v>
      </c>
      <c r="E66" s="20" t="s">
        <v>448</v>
      </c>
      <c r="F66" s="21"/>
    </row>
    <row r="67" spans="1:6" x14ac:dyDescent="0.2">
      <c r="A67" s="21" t="s">
        <v>442</v>
      </c>
      <c r="B67" s="25" t="s">
        <v>376</v>
      </c>
      <c r="C67" s="26">
        <v>1</v>
      </c>
      <c r="D67" s="20" t="str">
        <f t="shared" si="3"/>
        <v>NODE_7_CHOICE_1_DESC</v>
      </c>
      <c r="E67" s="20" t="str">
        <f t="shared" ref="E67:E83" si="4">"선택"&amp;C67</f>
        <v>선택1</v>
      </c>
      <c r="F67" s="21"/>
    </row>
    <row r="68" spans="1:6" x14ac:dyDescent="0.2">
      <c r="A68" s="21" t="s">
        <v>442</v>
      </c>
      <c r="B68" s="25" t="s">
        <v>376</v>
      </c>
      <c r="C68" s="26">
        <v>2</v>
      </c>
      <c r="D68" s="20" t="str">
        <f t="shared" si="3"/>
        <v>NODE_7_CHOICE_2_DESC</v>
      </c>
      <c r="E68" s="20" t="str">
        <f t="shared" si="4"/>
        <v>선택2</v>
      </c>
      <c r="F68" s="21"/>
    </row>
    <row r="69" spans="1:6" x14ac:dyDescent="0.2">
      <c r="A69" s="21" t="s">
        <v>442</v>
      </c>
      <c r="B69" s="25" t="s">
        <v>379</v>
      </c>
      <c r="C69" s="26">
        <v>1</v>
      </c>
      <c r="D69" s="20" t="str">
        <f t="shared" si="3"/>
        <v>NODE_10_CHOICE_1_DESC</v>
      </c>
      <c r="E69" s="20" t="str">
        <f t="shared" si="4"/>
        <v>선택1</v>
      </c>
      <c r="F69" s="21"/>
    </row>
    <row r="70" spans="1:6" x14ac:dyDescent="0.2">
      <c r="A70" s="21" t="s">
        <v>442</v>
      </c>
      <c r="B70" s="25" t="s">
        <v>379</v>
      </c>
      <c r="C70" s="26">
        <v>2</v>
      </c>
      <c r="D70" s="20" t="str">
        <f t="shared" si="3"/>
        <v>NODE_10_CHOICE_2_DESC</v>
      </c>
      <c r="E70" s="20" t="str">
        <f t="shared" si="4"/>
        <v>선택2</v>
      </c>
      <c r="F70" s="21"/>
    </row>
    <row r="71" spans="1:6" x14ac:dyDescent="0.2">
      <c r="A71" s="21" t="s">
        <v>442</v>
      </c>
      <c r="B71" s="25" t="s">
        <v>382</v>
      </c>
      <c r="C71" s="26">
        <v>1</v>
      </c>
      <c r="D71" s="20" t="str">
        <f t="shared" si="3"/>
        <v>NODE_12B_CHOICE_1_DESC</v>
      </c>
      <c r="E71" s="20" t="str">
        <f t="shared" si="4"/>
        <v>선택1</v>
      </c>
      <c r="F71" s="21"/>
    </row>
    <row r="72" spans="1:6" x14ac:dyDescent="0.2">
      <c r="A72" s="21" t="s">
        <v>442</v>
      </c>
      <c r="B72" s="25" t="s">
        <v>382</v>
      </c>
      <c r="C72" s="26">
        <v>2</v>
      </c>
      <c r="D72" s="20" t="str">
        <f t="shared" si="3"/>
        <v>NODE_12B_CHOICE_2_DESC</v>
      </c>
      <c r="E72" s="20" t="str">
        <f t="shared" si="4"/>
        <v>선택2</v>
      </c>
      <c r="F72" s="21"/>
    </row>
    <row r="73" spans="1:6" x14ac:dyDescent="0.2">
      <c r="A73" s="21" t="s">
        <v>442</v>
      </c>
      <c r="B73" s="25" t="s">
        <v>384</v>
      </c>
      <c r="C73" s="26">
        <v>1</v>
      </c>
      <c r="D73" s="20" t="str">
        <f t="shared" si="3"/>
        <v>NODE_14_CHOICE_1_DESC</v>
      </c>
      <c r="E73" s="20" t="str">
        <f t="shared" si="4"/>
        <v>선택1</v>
      </c>
      <c r="F73" s="21"/>
    </row>
    <row r="74" spans="1:6" x14ac:dyDescent="0.2">
      <c r="A74" s="21" t="s">
        <v>442</v>
      </c>
      <c r="B74" s="25" t="s">
        <v>384</v>
      </c>
      <c r="C74" s="26">
        <v>2</v>
      </c>
      <c r="D74" s="20" t="str">
        <f t="shared" si="3"/>
        <v>NODE_14_CHOICE_2_DESC</v>
      </c>
      <c r="E74" s="20" t="str">
        <f t="shared" si="4"/>
        <v>선택2</v>
      </c>
      <c r="F74" s="21"/>
    </row>
    <row r="75" spans="1:6" x14ac:dyDescent="0.2">
      <c r="A75" s="21" t="s">
        <v>442</v>
      </c>
      <c r="B75" s="25" t="s">
        <v>385</v>
      </c>
      <c r="C75" s="26">
        <v>1</v>
      </c>
      <c r="D75" s="20" t="str">
        <f t="shared" si="3"/>
        <v>NODE_15_CHOICE_1_DESC</v>
      </c>
      <c r="E75" s="20" t="str">
        <f t="shared" si="4"/>
        <v>선택1</v>
      </c>
      <c r="F75" s="21"/>
    </row>
    <row r="76" spans="1:6" x14ac:dyDescent="0.2">
      <c r="A76" s="21" t="s">
        <v>442</v>
      </c>
      <c r="B76" s="25" t="s">
        <v>385</v>
      </c>
      <c r="C76" s="26">
        <v>2</v>
      </c>
      <c r="D76" s="20" t="str">
        <f t="shared" si="3"/>
        <v>NODE_15_CHOICE_2_DESC</v>
      </c>
      <c r="E76" s="20" t="str">
        <f t="shared" si="4"/>
        <v>선택2</v>
      </c>
      <c r="F76" s="21"/>
    </row>
    <row r="77" spans="1:6" x14ac:dyDescent="0.2">
      <c r="A77" s="21" t="s">
        <v>442</v>
      </c>
      <c r="B77" s="25" t="s">
        <v>386</v>
      </c>
      <c r="C77" s="26">
        <v>1</v>
      </c>
      <c r="D77" s="20" t="str">
        <f t="shared" si="3"/>
        <v>NODE_16_CHOICE_1_DESC</v>
      </c>
      <c r="E77" s="20" t="str">
        <f t="shared" si="4"/>
        <v>선택1</v>
      </c>
      <c r="F77" s="21"/>
    </row>
    <row r="78" spans="1:6" x14ac:dyDescent="0.2">
      <c r="A78" s="21" t="s">
        <v>442</v>
      </c>
      <c r="B78" s="25" t="s">
        <v>386</v>
      </c>
      <c r="C78" s="26">
        <v>2</v>
      </c>
      <c r="D78" s="20" t="str">
        <f t="shared" si="3"/>
        <v>NODE_16_CHOICE_2_DESC</v>
      </c>
      <c r="E78" s="20" t="str">
        <f t="shared" si="4"/>
        <v>선택2</v>
      </c>
      <c r="F78" s="21"/>
    </row>
    <row r="79" spans="1:6" x14ac:dyDescent="0.2">
      <c r="A79" s="21" t="s">
        <v>442</v>
      </c>
      <c r="B79" s="25" t="s">
        <v>390</v>
      </c>
      <c r="C79" s="26">
        <v>1</v>
      </c>
      <c r="D79" s="20" t="str">
        <f t="shared" si="3"/>
        <v>NODE_19B_CHOICE_1_DESC</v>
      </c>
      <c r="E79" s="20" t="str">
        <f t="shared" si="4"/>
        <v>선택1</v>
      </c>
      <c r="F79" s="21"/>
    </row>
    <row r="80" spans="1:6" x14ac:dyDescent="0.2">
      <c r="A80" s="21" t="s">
        <v>442</v>
      </c>
      <c r="B80" s="25" t="s">
        <v>390</v>
      </c>
      <c r="C80" s="26">
        <v>2</v>
      </c>
      <c r="D80" s="20" t="str">
        <f t="shared" si="3"/>
        <v>NODE_19B_CHOICE_2_DESC</v>
      </c>
      <c r="E80" s="20" t="str">
        <f t="shared" si="4"/>
        <v>선택2</v>
      </c>
      <c r="F80" s="21"/>
    </row>
    <row r="81" spans="1:6" x14ac:dyDescent="0.2">
      <c r="A81" s="21" t="s">
        <v>442</v>
      </c>
      <c r="B81" s="25" t="s">
        <v>393</v>
      </c>
      <c r="C81" s="26">
        <v>1</v>
      </c>
      <c r="D81" s="20" t="str">
        <f t="shared" si="3"/>
        <v>NODE_21B_CHOICE_1_DESC</v>
      </c>
      <c r="E81" s="20" t="str">
        <f t="shared" si="4"/>
        <v>선택1</v>
      </c>
      <c r="F81" s="21"/>
    </row>
    <row r="82" spans="1:6" x14ac:dyDescent="0.2">
      <c r="A82" s="21" t="s">
        <v>442</v>
      </c>
      <c r="B82" s="25" t="s">
        <v>393</v>
      </c>
      <c r="C82" s="26">
        <v>2</v>
      </c>
      <c r="D82" s="20" t="str">
        <f t="shared" si="3"/>
        <v>NODE_21B_CHOICE_2_DESC</v>
      </c>
      <c r="E82" s="20" t="str">
        <f t="shared" si="4"/>
        <v>선택2</v>
      </c>
      <c r="F82" s="21"/>
    </row>
    <row r="83" spans="1:6" x14ac:dyDescent="0.2">
      <c r="A83" s="21" t="s">
        <v>442</v>
      </c>
      <c r="B83" s="25" t="s">
        <v>399</v>
      </c>
      <c r="C83" s="26">
        <v>1</v>
      </c>
      <c r="D83" s="20" t="str">
        <f t="shared" si="3"/>
        <v>NODE_25_CHOICE_1_DESC</v>
      </c>
      <c r="E83" s="20" t="str">
        <f t="shared" si="4"/>
        <v>선택1</v>
      </c>
      <c r="F83" s="21"/>
    </row>
    <row r="84" spans="1:6" x14ac:dyDescent="0.2">
      <c r="A84" s="21" t="s">
        <v>442</v>
      </c>
      <c r="B84" s="25" t="s">
        <v>399</v>
      </c>
      <c r="C84" s="26">
        <v>2</v>
      </c>
      <c r="D84" s="20" t="str">
        <f t="shared" si="3"/>
        <v>NODE_25_CHOICE_2_DESC</v>
      </c>
      <c r="E84" s="20" t="str">
        <f>"선택"&amp;C84</f>
        <v>선택2</v>
      </c>
      <c r="F8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2026-07-03T11:32:15Z</dcterms:modified>
</cp:coreProperties>
</file>