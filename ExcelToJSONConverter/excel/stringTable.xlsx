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40B8EB3-45C4-4221-B570-AFD13BB6791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5" l="1"/>
  <c r="B29" i="5"/>
  <c r="A29" i="5"/>
  <c r="C29" i="5" s="1"/>
  <c r="E22" i="5"/>
  <c r="A23" i="5"/>
  <c r="A24" i="5" s="1"/>
  <c r="B23" i="5"/>
  <c r="B24" i="5" s="1"/>
  <c r="B25" i="5" s="1"/>
  <c r="B26" i="5" s="1"/>
  <c r="B27" i="5" s="1"/>
  <c r="B28" i="5" s="1"/>
  <c r="C23" i="5"/>
  <c r="E23" i="5"/>
  <c r="E24" i="5"/>
  <c r="E25" i="5"/>
  <c r="E26" i="5"/>
  <c r="E27" i="5"/>
  <c r="E28" i="5"/>
  <c r="E21" i="5"/>
  <c r="B21" i="5"/>
  <c r="B22" i="5" s="1"/>
  <c r="A21" i="5"/>
  <c r="C21" i="5" s="1"/>
  <c r="C19" i="5"/>
  <c r="E19" i="5"/>
  <c r="A20" i="5"/>
  <c r="B20" i="5"/>
  <c r="E20" i="5"/>
  <c r="C3" i="5"/>
  <c r="C24" i="5" l="1"/>
  <c r="A25" i="5"/>
  <c r="A22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5" i="5" l="1"/>
  <c r="A26" i="5"/>
  <c r="C22" i="5"/>
  <c r="A5" i="5"/>
  <c r="C5" i="5" s="1"/>
  <c r="C4" i="5"/>
  <c r="C26" i="5" l="1"/>
  <c r="A27" i="5"/>
  <c r="A6" i="5"/>
  <c r="C6" i="5" s="1"/>
  <c r="C27" i="5" l="1"/>
  <c r="A28" i="5"/>
  <c r="C28" i="5" s="1"/>
  <c r="A7" i="5"/>
  <c r="C7" i="5" s="1"/>
  <c r="A8" i="5" l="1"/>
  <c r="C8" i="5" s="1"/>
  <c r="A9" i="5" l="1"/>
  <c r="C9" i="5" s="1"/>
  <c r="A10" i="5" l="1"/>
  <c r="C10" i="5" s="1"/>
  <c r="A11" i="5" l="1"/>
  <c r="A12" i="5" l="1"/>
  <c r="C11" i="5"/>
  <c r="A13" i="5"/>
  <c r="C13" i="5" l="1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<sst xmlns="http://schemas.openxmlformats.org/spreadsheetml/2006/main" count="162" uniqueCount="125">
  <si>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</si>
  <si>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</si>
  <si>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</si>
  <si>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</si>
  <si>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</si>
  <si>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</si>
  <si>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</si>
  <si>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</si>
  <si>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</si>
  <si>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</si>
  <si>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</si>
  <si>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</si>
  <si>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</si>
  <si>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</si>
  <si>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</si>
  <si>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</si>
  <si>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</si>
  <si>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</si>
  <si>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</si>
  <si>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</si>
  <si>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</si>
  <si>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</si>
  <si>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</si>
  <si>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</si>
  <si>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</si>
  <si>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</si>
  <si>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</si>
  <si>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</si>
  <si>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</si>
  <si>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</si>
  <si>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</si>
  <si>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</si>
  <si>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</si>
  <si>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</si>
  <si>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</si>
  <si>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</si>
  <si>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</si>
  <si>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</si>
  <si>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</si>
  <si>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</si>
  <si>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</si>
  <si>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</si>
  <si>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</si>
  <si>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</si>
  <si>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</si>
  <si>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</si>
  <si>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</si>
  <si>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</si>
  <si>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</si>
  <si>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</si>
  <si>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</si>
  <si>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</si>
  <si>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</si>
  <si>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</si>
  <si>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</si>
  <si>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</si>
  <si>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</si>
  <si>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</si>
  <si>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</si>
  <si>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</si>
  <si>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</si>
  <si>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</si>
  <si>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</si>
  <si>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</si>
  <si>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</si>
  <si>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</si>
  <si>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</si>
  <si>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</si>
  <si>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</si>
  <si>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</si>
  <si>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</si>
  <si>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</si>
  <si>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</si>
  <si>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</si>
  <si>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</si>
  <si>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</si>
  <si>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</si>
  <si>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1.1.1_SHU_START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</si>
  <si>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</si>
  <si>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</si>
  <si>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</si>
  <si>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</si>
  <si>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</si>
  <si>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</si>
  <si>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</si>
  <si>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</si>
  <si>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</si>
  <si>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</si>
  <si>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</si>
  <si>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</si>
  <si>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</si>
  <si>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</si>
  <si>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X가 공격이고, C는 돌진이야.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</si>
  <si>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</si>
  <si>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</si>
  <si>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</si>
  <si>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</si>
  <si>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</si>
  <si>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</si>
  <si>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</si>
  <si>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</si>
  <si>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</si>
  <si>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</si>
  <si>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</si>
  <si>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</si>
  <si>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</si>
  <si>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</si>
  <si>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</si>
  <si>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</si>
  <si>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</si>
  <si>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</si>
  <si>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</si>
  <si>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</si>
  <si>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</si>
  <si>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</si>
  <si>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</si>
  <si>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뭔 소리야. 이 지역 돗자리는 내가 다 납품하고 있구만.</t>
    <phoneticPr fontId="1" type="noConversion"/>
  </si>
  <si>
    <t>..?</t>
    <phoneticPr fontId="1" type="noConversion"/>
  </si>
  <si>
    <t>그렇다네요 형님ㅋㅋ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</si>
  <si>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</si>
  <si>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</si>
  <si>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</si>
  <si>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관우 형님, 첫 출전인데 살살하쇼ㅋㅋ</t>
    <phoneticPr fontId="1" type="noConversion"/>
  </si>
  <si>
    <t>ㅋㅋㅋ</t>
    <phoneticPr fontId="1" type="noConversion"/>
  </si>
  <si>
    <t>으휴.. 넌 힘 조절이나 잘 하거라.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</si>
</sst>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G11" sqref="G11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110</v>
      </c>
    </row>
    <row r="25" spans="1:2" ht="33" x14ac:dyDescent="0.3">
      <c r="A25" t="s">
        <v>55</v>
      </c>
      <c r="B25" s="3" t="s">
        <v>109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99</v>
      </c>
      <c r="B32" s="3" t="s">
        <v>100</v>
      </c>
    </row>
    <row r="33" spans="1:2" x14ac:dyDescent="0.3">
      <c r="A33" t="s">
        <v>101</v>
      </c>
      <c r="B33" s="3" t="s">
        <v>102</v>
      </c>
    </row>
    <row r="34" spans="1:2" x14ac:dyDescent="0.3">
      <c r="A34" t="s">
        <v>103</v>
      </c>
      <c r="B34" s="3" t="s">
        <v>106</v>
      </c>
    </row>
    <row r="35" spans="1:2" x14ac:dyDescent="0.3">
      <c r="A35" t="s">
        <v>104</v>
      </c>
      <c r="B35" s="3" t="s">
        <v>105</v>
      </c>
    </row>
    <row r="36" spans="1:2" x14ac:dyDescent="0.3">
      <c r="A36" t="s">
        <v>107</v>
      </c>
      <c r="B36" s="3" t="s">
        <v>108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"/>
  <sheetViews>
    <sheetView tabSelected="1" topLeftCell="A9" workbookViewId="0">
      <selection activeCell="G31" sqref="G31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80</v>
      </c>
      <c r="C1" s="1" t="s">
        <v>3</v>
      </c>
      <c r="D1" s="1" t="s">
        <v>85</v>
      </c>
      <c r="E1" s="1" t="s">
        <v>79</v>
      </c>
      <c r="F1" s="1" t="s">
        <v>78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81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98</v>
      </c>
      <c r="B3">
        <v>0</v>
      </c>
      <c r="C3" t="str">
        <f>CONCATENATE(A3, "_", B3, IF(D3&lt;&gt;"", "_"&amp;D3, ""))</f>
        <v>TUTORIAL_START_0</v>
      </c>
      <c r="G3" s="3" t="s">
        <v>87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90</v>
      </c>
      <c r="G4" s="3" t="s">
        <v>91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83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97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88</v>
      </c>
      <c r="G7" s="3" t="s">
        <v>82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89</v>
      </c>
      <c r="G8" s="3" t="s">
        <v>86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88</v>
      </c>
      <c r="G9" s="3" t="s">
        <v>93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89</v>
      </c>
      <c r="G10" s="3" t="s">
        <v>92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88</v>
      </c>
      <c r="G11" s="3" t="s">
        <v>94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89</v>
      </c>
      <c r="G12" s="3" t="s">
        <v>95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96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84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112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88</v>
      </c>
      <c r="G16" s="3" t="s">
        <v>113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89</v>
      </c>
      <c r="G17" s="3" t="s">
        <v>114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111</v>
      </c>
    </row>
    <row r="19" spans="1:7" x14ac:dyDescent="0.3">
      <c r="A19" t="s">
        <v>77</v>
      </c>
      <c r="B19">
        <v>0</v>
      </c>
      <c r="C19" t="str">
        <f t="shared" ref="C19:C27" si="9">CONCATENATE(A19, "_", B19, IF(D19&lt;&gt;"", "_"&amp;D19, ""))</f>
        <v>1.1.1_SHU_START_0</v>
      </c>
      <c r="E19" t="str">
        <f>VLOOKUP(F19,[1]HeroData!$A$3:$B$118,2, FALSE)</f>
        <v>ZhangFei</v>
      </c>
      <c r="F19" t="s">
        <v>9</v>
      </c>
      <c r="G19" s="3" t="s">
        <v>122</v>
      </c>
    </row>
    <row r="20" spans="1:7" x14ac:dyDescent="0.3">
      <c r="A20" t="str">
        <f t="shared" ref="A20:A29" si="10">A19</f>
        <v>1.1.1_SHU_START</v>
      </c>
      <c r="B20">
        <f>B19+1</f>
        <v>1</v>
      </c>
      <c r="C20" t="str">
        <f t="shared" si="9"/>
        <v>1.1.1_SHU_START_1</v>
      </c>
      <c r="E20" t="str">
        <f>VLOOKUP(F20,[1]HeroData!$A$3:$B$118,2, FALSE)</f>
        <v>GuanYu</v>
      </c>
      <c r="F20" t="s">
        <v>7</v>
      </c>
      <c r="G20" s="3" t="s">
        <v>124</v>
      </c>
    </row>
    <row r="21" spans="1:7" x14ac:dyDescent="0.3">
      <c r="A21" t="str">
        <f>A20</f>
        <v>1.1.1_SHU_START</v>
      </c>
      <c r="B21">
        <f>B20+1</f>
        <v>2</v>
      </c>
      <c r="C21" t="str">
        <f t="shared" ref="C21:C26" si="11">CONCATENATE(A21, "_", B21, IF(D21&lt;&gt;"", "_"&amp;D21, ""))</f>
        <v>1.1.1_SHU_START_2</v>
      </c>
      <c r="E21" t="str">
        <f>VLOOKUP(F21,[1]HeroData!$A$3:$B$118,2, FALSE)</f>
        <v>ZhangFei</v>
      </c>
      <c r="F21" t="s">
        <v>9</v>
      </c>
      <c r="G21" s="3" t="s">
        <v>123</v>
      </c>
    </row>
    <row r="22" spans="1:7" x14ac:dyDescent="0.3">
      <c r="A22" t="str">
        <f t="shared" si="10"/>
        <v>1.1.1_SHU_START</v>
      </c>
      <c r="B22">
        <f>B21+1</f>
        <v>3</v>
      </c>
      <c r="C22" t="str">
        <f t="shared" si="11"/>
        <v>1.1.1_SHU_START_3</v>
      </c>
      <c r="E22" t="str">
        <f>VLOOKUP(F22,[1]HeroData!$A$3:$B$118,2, FALSE)</f>
        <v>ZhangFei</v>
      </c>
      <c r="F22" t="s">
        <v>9</v>
      </c>
      <c r="G22" s="3" t="s">
        <v>119</v>
      </c>
    </row>
    <row r="23" spans="1:7" ht="33" x14ac:dyDescent="0.3">
      <c r="A23" t="str">
        <f t="shared" si="10"/>
        <v>1.1.1_SHU_START</v>
      </c>
      <c r="B23">
        <f>B22+1</f>
        <v>4</v>
      </c>
      <c r="C23" t="str">
        <f t="shared" ref="C23:C28" si="12">CONCATENATE(A23, "_", B23, IF(D23&lt;&gt;"", "_"&amp;D23, ""))</f>
        <v>1.1.1_SHU_START_4</v>
      </c>
      <c r="E23" t="str">
        <f>VLOOKUP(F23,[1]HeroData!$A$3:$B$118,2, FALSE)</f>
        <v>GuanYu</v>
      </c>
      <c r="F23" t="s">
        <v>7</v>
      </c>
      <c r="G23" s="3" t="s">
        <v>115</v>
      </c>
    </row>
    <row r="24" spans="1:7" x14ac:dyDescent="0.3">
      <c r="A24" t="str">
        <f t="shared" si="10"/>
        <v>1.1.1_SHU_START</v>
      </c>
      <c r="B24">
        <f>B23+1</f>
        <v>5</v>
      </c>
      <c r="C24" t="str">
        <f t="shared" si="12"/>
        <v>1.1.1_SHU_START_5</v>
      </c>
      <c r="E24" t="str">
        <f>VLOOKUP(F24,[1]HeroData!$A$3:$B$118,2, FALSE)</f>
        <v>LiuBei</v>
      </c>
      <c r="F24" t="s">
        <v>5</v>
      </c>
      <c r="G24" s="3" t="s">
        <v>116</v>
      </c>
    </row>
    <row r="25" spans="1:7" x14ac:dyDescent="0.3">
      <c r="A25" t="str">
        <f t="shared" si="10"/>
        <v>1.1.1_SHU_START</v>
      </c>
      <c r="B25">
        <f t="shared" ref="B24:B29" si="13">B24+1</f>
        <v>6</v>
      </c>
      <c r="C25" t="str">
        <f t="shared" si="12"/>
        <v>1.1.1_SHU_START_6</v>
      </c>
      <c r="E25" t="str">
        <f>VLOOKUP(F25,[1]HeroData!$A$3:$B$118,2, FALSE)</f>
        <v>GuanYu</v>
      </c>
      <c r="F25" t="s">
        <v>7</v>
      </c>
      <c r="G25" s="3" t="s">
        <v>117</v>
      </c>
    </row>
    <row r="26" spans="1:7" x14ac:dyDescent="0.3">
      <c r="A26" t="str">
        <f t="shared" si="10"/>
        <v>1.1.1_SHU_START</v>
      </c>
      <c r="B26">
        <f t="shared" si="13"/>
        <v>7</v>
      </c>
      <c r="C26" t="str">
        <f t="shared" si="12"/>
        <v>1.1.1_SHU_START_7</v>
      </c>
      <c r="E26" t="str">
        <f>VLOOKUP(F26,[1]HeroData!$A$3:$B$118,2, FALSE)</f>
        <v>ZhangFei</v>
      </c>
      <c r="F26" t="s">
        <v>9</v>
      </c>
      <c r="G26" s="3" t="s">
        <v>118</v>
      </c>
    </row>
    <row r="27" spans="1:7" x14ac:dyDescent="0.3">
      <c r="A27" t="str">
        <f t="shared" si="10"/>
        <v>1.1.1_SHU_START</v>
      </c>
      <c r="B27">
        <f t="shared" si="13"/>
        <v>8</v>
      </c>
      <c r="C27" t="str">
        <f t="shared" si="12"/>
        <v>1.1.1_SHU_START_8</v>
      </c>
      <c r="E27" t="str">
        <f>VLOOKUP(F27,[1]HeroData!$A$3:$B$118,2, FALSE)</f>
        <v>LiuBei</v>
      </c>
      <c r="F27" t="s">
        <v>5</v>
      </c>
      <c r="G27" s="3" t="s">
        <v>120</v>
      </c>
    </row>
    <row r="28" spans="1:7" x14ac:dyDescent="0.3">
      <c r="A28" t="str">
        <f t="shared" si="10"/>
        <v>1.1.1_SHU_START</v>
      </c>
      <c r="B28">
        <f t="shared" si="13"/>
        <v>9</v>
      </c>
      <c r="C28" t="str">
        <f t="shared" si="12"/>
        <v>1.1.1_SHU_START_9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1.1.1_SHU_START</v>
      </c>
      <c r="B29">
        <f t="shared" si="13"/>
        <v>10</v>
      </c>
      <c r="C29" t="str">
        <f t="shared" ref="C29" si="14">CONCATENATE(A29, "_", B29, IF(D29&lt;&gt;"", "_"&amp;D29, ""))</f>
        <v>1.1.1_SHU_START_10</v>
      </c>
      <c r="E29" t="str">
        <f>VLOOKUP(F29,[1]HeroData!$A$3:$B$118,2, FALSE)</f>
        <v>GuanYu</v>
      </c>
      <c r="F29" t="s">
        <v>7</v>
      </c>
      <c r="G29" s="3" t="s">
        <v>121</v>
      </c>
    </row>
    <row r="30" spans="1:7" x14ac:dyDescent="0.3">
      <c r="G30"/>
    </row>
    <row r="31" spans="1:7" x14ac:dyDescent="0.3">
      <c r="G3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2026-03-23T13:19:07Z</dcterms:modified>
</cp:coreProperties>
</file>