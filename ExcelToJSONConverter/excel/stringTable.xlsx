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7F16CDEC-F9C9-46B3-A23A-1947E6AB2FA7}" xr6:coauthVersionLast="47" xr6:coauthVersionMax="47" xr10:uidLastSave="{00000000-0000-0000-0000-000000000000}"/>
  <bookViews>
    <workbookView xWindow="-28920" yWindow="1395" windowWidth="29040" windowHeight="16440" activeTab="3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</sheets>
  <externalReferences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7" l="1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12" i="6" l="1"/>
  <c r="B11" i="6"/>
  <c r="B10" i="6"/>
  <c r="B9" i="6"/>
  <c r="B8" i="6"/>
  <c r="B7" i="6"/>
  <c r="B6" i="6"/>
  <c r="B5" i="6"/>
  <c r="B4" i="6"/>
  <c r="B3" i="6"/>
  <c r="B33" i="5"/>
  <c r="A33" i="5"/>
  <c r="C33" i="5" s="1"/>
  <c r="E33" i="5"/>
  <c r="E29" i="5"/>
  <c r="E30" i="5"/>
  <c r="E31" i="5"/>
  <c r="E32" i="5"/>
  <c r="B21" i="5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A21" i="5"/>
  <c r="A22" i="5" s="1"/>
  <c r="E27" i="5"/>
  <c r="E26" i="5"/>
  <c r="E24" i="5"/>
  <c r="E22" i="5"/>
  <c r="E23" i="5"/>
  <c r="E25" i="5"/>
  <c r="E28" i="5"/>
  <c r="E21" i="5"/>
  <c r="C19" i="5"/>
  <c r="E19" i="5"/>
  <c r="A20" i="5"/>
  <c r="B20" i="5"/>
  <c r="E20" i="5"/>
  <c r="C3" i="5"/>
  <c r="A23" i="5" l="1"/>
  <c r="C22" i="5"/>
  <c r="C21" i="5"/>
  <c r="C20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C23" i="5" l="1"/>
  <c r="A24" i="5"/>
  <c r="A5" i="5"/>
  <c r="C5" i="5" s="1"/>
  <c r="C4" i="5"/>
  <c r="A25" i="5" l="1"/>
  <c r="C24" i="5"/>
  <c r="A6" i="5"/>
  <c r="C6" i="5" s="1"/>
  <c r="C25" i="5" l="1"/>
  <c r="A26" i="5"/>
  <c r="A7" i="5"/>
  <c r="C7" i="5" s="1"/>
  <c r="A27" i="5" l="1"/>
  <c r="C26" i="5"/>
  <c r="A8" i="5"/>
  <c r="C8" i="5" s="1"/>
  <c r="A28" i="5" l="1"/>
  <c r="C27" i="5"/>
  <c r="A9" i="5"/>
  <c r="C9" i="5" s="1"/>
  <c r="A29" i="5" l="1"/>
  <c r="C28" i="5"/>
  <c r="A10" i="5"/>
  <c r="C10" i="5" s="1"/>
  <c r="A30" i="5" l="1"/>
  <c r="C29" i="5"/>
  <c r="A11" i="5"/>
  <c r="A31" i="5" l="1"/>
  <c r="C30" i="5"/>
  <c r="A12" i="5"/>
  <c r="C11" i="5"/>
  <c r="A13" i="5"/>
  <c r="A32" i="5" l="1"/>
  <c r="C32" i="5" s="1"/>
  <c r="C31" i="5"/>
  <c r="C13" i="5"/>
  <c r="A15" i="5"/>
  <c r="A14" i="5"/>
  <c r="C12" i="5"/>
  <c r="C15" i="5" l="1"/>
  <c r="A17" i="5"/>
  <c r="C17" i="5" s="1"/>
  <c r="C14" i="5"/>
  <c r="A16" i="5"/>
  <c r="C16" i="5" l="1"/>
  <c r="A18" i="5"/>
  <c r="C18" i="5" s="1"/>
</calcChain>
</file>

<file path=xl/sharedStrings.xml><?xml version="1.0" encoding="utf-8"?>
<sst xmlns="http://schemas.openxmlformats.org/spreadsheetml/2006/main" count="382" uniqueCount="325">
  <si>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</si>
  <si>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</si>
  <si>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</si>
  <si>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</si>
  <si>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</si>
  <si>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</si>
  <si>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</si>
  <si>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</si>
  <si>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</si>
  <si>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</si>
  <si>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</si>
  <si>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</si>
  <si>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</si>
  <si>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</si>
  <si>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</si>
  <si>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</si>
  <si>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</si>
  <si>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</si>
  <si>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</si>
  <si>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</si>
  <si>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</si>
  <si>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</si>
  <si>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</si>
  <si>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</si>
  <si>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</si>
  <si>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</si>
  <si>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</si>
  <si>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</si>
  <si>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</si>
  <si>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</si>
  <si>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</si>
  <si>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</si>
  <si>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</si>
  <si>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</si>
  <si>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</si>
  <si>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</si>
  <si>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NAME_SHU_LIUBEI</t>
    <phoneticPr fontId="1" type="noConversion"/>
  </si>
  <si>
    <t>NAME_SHU_GUANYU</t>
    <phoneticPr fontId="1" type="noConversion"/>
  </si>
  <si>
    <t>NAME_SHU_ZHANGFEI</t>
    <phoneticPr fontId="1" type="noConversion"/>
  </si>
  <si>
    <t>NAME_SHU_ZHAYUN</t>
    <phoneticPr fontId="1" type="noConversion"/>
  </si>
  <si>
    <t>NAME_SHU_ZHUGELIANG</t>
    <phoneticPr fontId="1" type="noConversion"/>
  </si>
  <si>
    <t>COURTESY_SHU_LIUBEI</t>
    <phoneticPr fontId="1" type="noConversion"/>
  </si>
  <si>
    <t>COURTESY_SHU_GUANYU</t>
    <phoneticPr fontId="1" type="noConversion"/>
  </si>
  <si>
    <t>COURTESY_SHU_ZHANGFEI</t>
    <phoneticPr fontId="1" type="noConversion"/>
  </si>
  <si>
    <t>COURTESY_SHU_ZHAYUN</t>
    <phoneticPr fontId="1" type="noConversion"/>
  </si>
  <si>
    <t>COURTESY_SHU_ZHUGELIANG</t>
    <phoneticPr fontId="1" type="noConversion"/>
  </si>
  <si>
    <t>DESC_TALK_SHU_LIUBEI</t>
    <phoneticPr fontId="1" type="noConversion"/>
  </si>
  <si>
    <t>"천하는 곧 백성이며, 백성의 마음을
얻는 것이 곧 천하를 얻는 것이다."</t>
    <phoneticPr fontId="1" type="noConversion"/>
  </si>
  <si>
    <t>DESC_TALK_SHU_GUANYU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</si>
  <si>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</si>
  <si>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</si>
  <si>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DESC_TALK_SHU_ZHANGFEI</t>
    <phoneticPr fontId="1" type="noConversion"/>
  </si>
  <si>
    <t>DESC_TALK_SHU_ZHAYUN</t>
    <phoneticPr fontId="1" type="noConversion"/>
  </si>
  <si>
    <t>DESC_TALK_SHU_ZHUGELIANG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</si>
  <si>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</si>
  <si>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</si>
  <si>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</si>
  <si>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</si>
  <si>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</si>
  <si>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</si>
  <si>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</si>
  <si>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</si>
  <si>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</si>
  <si>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</si>
  <si>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</si>
  <si>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</si>
  <si>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NAME_WEI_CAOCAO</t>
    <phoneticPr fontId="1" type="noConversion"/>
  </si>
  <si>
    <t>조조</t>
    <phoneticPr fontId="1" type="noConversion"/>
  </si>
  <si>
    <t>CaoCao</t>
    <phoneticPr fontId="1" type="noConversion"/>
  </si>
  <si>
    <t>NAME_WU_SUNQUAN</t>
    <phoneticPr fontId="1" type="noConversion"/>
  </si>
  <si>
    <t>손권</t>
    <phoneticPr fontId="1" type="noConversion"/>
  </si>
  <si>
    <t>SunQuan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</si>
  <si>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</si>
  <si>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</si>
  <si>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</si>
  <si>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</si>
  <si>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</si>
  <si>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</si>
  <si>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</si>
  <si>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</si>
  <si>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</si>
  <si>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</si>
  <si>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#PC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</si>
  <si>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</si>
  <si>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</si>
  <si>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</si>
  <si>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</si>
  <si>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</si>
  <si>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</si>
  <si>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</si>
  <si>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</si>
  <si>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</si>
  <si>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</si>
  <si>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</si>
  <si>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</si>
  <si>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</si>
  <si>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</si>
  <si>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</si>
  <si>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</si>
  <si>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</si>
  <si>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</si>
  <si>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</si>
  <si>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</si>
  <si>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</si>
  <si>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</si>
  <si>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</si>
  <si>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</si>
  <si>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</si>
  <si>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</si>
  <si>
    <t>그러게 말입니다. 없는 살림에 너무 무리하시는건 아니신지..</t>
    <phoneticPr fontId="1" type="noConversion"/>
  </si>
  <si>
    <t>그런데 큰형님. 대체 돈은 어디서 난거요?</t>
    <phoneticPr fontId="1" type="noConversion"/>
  </si>
  <si>
    <t>자아, 집중하자! 출진이다!!</t>
    <phoneticPr fontId="1" type="noConversion"/>
  </si>
  <si>
    <t>오오!!</t>
    <phoneticPr fontId="1" type="noConversion"/>
  </si>
  <si>
    <t>ㅋㅋㅋ</t>
    <phoneticPr fontId="1" type="noConversion"/>
  </si>
  <si>
    <t>으휴.. 넌 힘 조절이나 잘 하거라.</t>
    <phoneticPr fontId="1" type="noConversion"/>
  </si>
  <si>
    <t>1_1_1_SHU_START</t>
    <phoneticPr fontId="1" type="noConversion"/>
  </si>
  <si>
    <t>역시 큰형님은 다르오ㅋㅋ</t>
    <phoneticPr fontId="1" type="noConversion"/>
  </si>
  <si>
    <t>너만 정신차리면 되겠구나.</t>
    <phoneticPr fontId="1" type="noConversion"/>
  </si>
  <si>
    <t>한왕실의 재건을 위해 하는 일이니
그런소리 마시게.</t>
    <phoneticPr fontId="1" type="noConversion"/>
  </si>
  <si>
    <t>뭔 소리야. 이 지역 돗자리는
내가 다 납품하고 있구만.</t>
    <phoneticPr fontId="1" type="noConversion"/>
  </si>
  <si>
    <t>관우 형님, 첫 출전인데 너무 무리하지 말고 살살하쇼ㅋㅋ</t>
    <phoneticPr fontId="1" type="noConversion"/>
  </si>
  <si>
    <t>아니!! 부자였소?? 그런데 왜 그런 거지꼴로 다녔던거요??</t>
    <phoneticPr fontId="1" type="noConversion"/>
  </si>
  <si>
    <t>뭐 딱히..</t>
    <phoneticPr fontId="1" type="noConversion"/>
  </si>
  <si>
    <t>그렇다는구나 막내야ㅎ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</si>
  <si>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</si>
  <si>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</si>
  <si>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</si>
  <si>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</si>
  <si>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</si>
  <si>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</si>
  <si>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</si>
  <si>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공격과 돌진을 사용해보자.
좌클릭이 공격이고, 스페이스가 돌진이야.</t>
    <phoneticPr fontId="1" type="noConversion"/>
  </si>
  <si>
    <t>키보드 조작으로 내가 움직일 수 있을거 같은데?
[W,A,S,D]를 눌러보까?</t>
    <phoneticPr fontId="1" type="noConversion"/>
  </si>
  <si>
    <t>공격과 돌진을 사용해보자.
아래 버튼을 눌러봐.</t>
    <phoneticPr fontId="1" type="noConversion"/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</si>
  <si>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</si>
  <si>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</si>
  <si>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</si>
  <si>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</si>
  <si>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</si>
  <si>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</si>
  <si>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</si>
  <si>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</si>
  <si>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</si>
  <si>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</si>
  <si>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</si>
  <si>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</si>
  <si>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</si>
  <si>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</si>
  <si>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</si>
  <si>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</si>
  <si>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</si>
  <si>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</si>
  <si>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</si>
  <si>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</si>
  <si>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</si>
  <si>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</si>
  <si>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</si>
  <si>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</si>
  <si>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</si>
  <si>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</si>
  <si>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</si>
  <si>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</si>
  <si>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</si>
  <si>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</si>
  <si>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</si>
  <si>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</si>
  <si>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</si>
  <si>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</si>
  <si>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</si>
  <si>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</si>
  <si>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</si>
  <si>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</si>
  <si>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</si>
  <si>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</si>
  <si>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</si>
  <si>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</si>
  <si>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</si>
  <si>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</si>
  <si>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</si>
  <si>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</si>
  <si>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</si>
  <si>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</si>
  <si>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</si>
  <si>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</si>
  <si>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</si>
  <si>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</si>
  <si>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</si>
  <si>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</si>
  <si>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</si>
  <si>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</si>
  <si>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</si>
  <si>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</si>
  <si>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</si>
  <si>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</si>
  <si>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</si>
  <si>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</si>
  <si>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</si>
  <si>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</si>
  <si>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</si>
  <si>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</si>
  <si>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</si>
  <si>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</si>
  <si>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</si>
  <si>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</si>
  <si>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</si>
  <si>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</si>
  <si>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</si>
  <si>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</si>
  <si>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</si>
  <si>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</si>
  <si>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</si>
  <si>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</si>
  <si>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</si>
  <si>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</si>
  <si>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</si>
  <si>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</si>
  <si>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</si>
  <si>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</si>
  <si>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</si>
  <si>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</si>
  <si>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</si>
  <si>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</si>
  <si>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</si>
  <si>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</si>
  <si>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</si>
  <si>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</si>
  <si>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</si>
  <si>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</si>
  <si>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</si>
  <si>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</si>
  <si>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</si>
  <si>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</si>
  <si>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</si>
  <si>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</si>
  <si>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</si>
  <si>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</si>
  <si>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</si>
  <si>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</si>
  <si>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</si>
  <si>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</si>
  <si>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</si>
  <si>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</si>
  <si>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</si>
  <si>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</si>
  <si>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</si>
  <si>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</si>
  <si>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</si>
  <si>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</si>
  <si>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</si>
  <si>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</si>
  <si>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</si>
  <si>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</si>
  <si>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</si>
  <si>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</si>
  <si>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</si>
  <si>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</si>
  <si>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</si>
  <si>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</si>
  <si>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</si>
  <si>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</si>
  <si>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</si>
  <si>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</si>
  <si>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</si>
  <si>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</si>
  <si>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</si>
  <si>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</si>
  <si>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</si>
  <si>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</si>
  <si>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</si>
  <si>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</si>
  <si>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</si>
  <si>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</si>
  <si>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</si>
  <si>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</si>
  <si>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</si>
  <si>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</si>
  <si>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</si>
  <si>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</si>
  <si>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</si>
  <si>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</si>
  <si>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</si>
  <si>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</si>
  <si>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</si>
  <si>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</si>
  <si>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</si>
  <si>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</si>
  <si>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</si>
  <si>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</si>
  <si>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</si>
  <si>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</si>
  <si>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</si>
  <si>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</si>
  <si>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</si>
  <si>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</si>
  <si>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</si>
  <si>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</si>
  <si>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</si>
  <si>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</si>
  <si>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</si>
  <si>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</si>
  <si>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</si>
  <si>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</si>
  <si>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</si>
  <si>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</si>
  <si>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</si>
  <si>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</si>
  <si>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</si>
  <si>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</si>
  <si>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</si>
  <si>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</si>
  <si>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NAME_ETC_LUBU</t>
    <phoneticPr fontId="1" type="noConversion"/>
  </si>
  <si>
    <t>여포</t>
    <phoneticPr fontId="1" type="noConversion"/>
  </si>
  <si>
    <t>LuBu</t>
    <phoneticPr fontId="1" type="noConversion"/>
  </si>
  <si>
    <t>COURTESY_ETC_LUBU</t>
    <phoneticPr fontId="1" type="noConversion"/>
  </si>
  <si>
    <t>DESC_TALK_ETC_LUBU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</si>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</sst>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ZhaYun</v>
          </cell>
        </row>
        <row r="8">
          <cell r="A8" t="str">
            <v>제갈량</v>
          </cell>
          <cell r="B8" t="str">
            <v>ZhugeLiang</v>
          </cell>
        </row>
        <row r="9">
          <cell r="A9" t="str">
            <v>여포</v>
          </cell>
          <cell r="B9" t="str">
            <v>LuBu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2"/>
  <sheetViews>
    <sheetView topLeftCell="A10" workbookViewId="0">
      <selection activeCell="B43" sqref="B43"/>
    </sheetView>
  </sheetViews>
  <sheetFormatPr defaultRowHeight="16.5" x14ac:dyDescent="0.3"/>
  <cols>
    <col min="1" max="1" width="28" customWidth="1"/>
    <col min="2" max="3" width="40.875" customWidth="1"/>
  </cols>
  <sheetData>
    <row r="1" spans="1:3" x14ac:dyDescent="0.3">
      <c r="A1" s="1" t="s">
        <v>3</v>
      </c>
      <c r="B1" s="2" t="s">
        <v>0</v>
      </c>
      <c r="C1" s="2" t="s">
        <v>1</v>
      </c>
    </row>
    <row r="2" spans="1:3" x14ac:dyDescent="0.3">
      <c r="A2" s="1" t="s">
        <v>2</v>
      </c>
      <c r="B2" s="2" t="s">
        <v>2</v>
      </c>
      <c r="C2" s="2" t="s">
        <v>2</v>
      </c>
    </row>
    <row r="3" spans="1:3" x14ac:dyDescent="0.3">
      <c r="A3" t="s">
        <v>72</v>
      </c>
      <c r="B3" s="3" t="s">
        <v>73</v>
      </c>
      <c r="C3" s="3"/>
    </row>
    <row r="4" spans="1:3" x14ac:dyDescent="0.3">
      <c r="A4" t="s">
        <v>124</v>
      </c>
      <c r="B4" t="s">
        <v>125</v>
      </c>
    </row>
    <row r="5" spans="1:3" x14ac:dyDescent="0.3">
      <c r="A5" t="s">
        <v>130</v>
      </c>
      <c r="B5" t="s">
        <v>126</v>
      </c>
    </row>
    <row r="6" spans="1:3" x14ac:dyDescent="0.3">
      <c r="A6" t="s">
        <v>204</v>
      </c>
      <c r="B6" t="s">
        <v>127</v>
      </c>
    </row>
    <row r="7" spans="1:3" x14ac:dyDescent="0.3">
      <c r="A7" t="s">
        <v>205</v>
      </c>
      <c r="B7" t="s">
        <v>128</v>
      </c>
    </row>
    <row r="8" spans="1:3" x14ac:dyDescent="0.3">
      <c r="A8" t="s">
        <v>203</v>
      </c>
      <c r="B8" t="s">
        <v>129</v>
      </c>
    </row>
    <row r="9" spans="1:3" x14ac:dyDescent="0.3">
      <c r="A9" t="s">
        <v>93</v>
      </c>
      <c r="B9" s="3" t="s">
        <v>94</v>
      </c>
    </row>
    <row r="10" spans="1:3" x14ac:dyDescent="0.3">
      <c r="A10" t="s">
        <v>95</v>
      </c>
      <c r="B10" s="3" t="s">
        <v>96</v>
      </c>
    </row>
    <row r="11" spans="1:3" x14ac:dyDescent="0.3">
      <c r="A11" t="s">
        <v>97</v>
      </c>
      <c r="B11" s="3" t="s">
        <v>100</v>
      </c>
    </row>
    <row r="12" spans="1:3" x14ac:dyDescent="0.3">
      <c r="A12" t="s">
        <v>98</v>
      </c>
      <c r="B12" s="3" t="s">
        <v>99</v>
      </c>
    </row>
    <row r="13" spans="1:3" x14ac:dyDescent="0.3">
      <c r="A13" t="s">
        <v>101</v>
      </c>
      <c r="B13" s="3" t="s">
        <v>102</v>
      </c>
    </row>
    <row r="14" spans="1:3" x14ac:dyDescent="0.3">
      <c r="A14" t="s">
        <v>136</v>
      </c>
      <c r="B14" t="s">
        <v>137</v>
      </c>
    </row>
    <row r="15" spans="1:3" x14ac:dyDescent="0.3">
      <c r="A15" t="s">
        <v>138</v>
      </c>
      <c r="B15" s="3" t="s">
        <v>147</v>
      </c>
    </row>
    <row r="16" spans="1:3" x14ac:dyDescent="0.3">
      <c r="A16" t="s">
        <v>139</v>
      </c>
      <c r="B16" s="3" t="s">
        <v>148</v>
      </c>
    </row>
    <row r="17" spans="1:2" x14ac:dyDescent="0.3">
      <c r="A17" t="s">
        <v>140</v>
      </c>
      <c r="B17" s="3" t="s">
        <v>149</v>
      </c>
    </row>
    <row r="18" spans="1:2" x14ac:dyDescent="0.3">
      <c r="A18" t="s">
        <v>141</v>
      </c>
      <c r="B18" s="3" t="s">
        <v>150</v>
      </c>
    </row>
    <row r="19" spans="1:2" x14ac:dyDescent="0.3">
      <c r="A19" t="s">
        <v>142</v>
      </c>
      <c r="B19" s="3" t="s">
        <v>151</v>
      </c>
    </row>
    <row r="20" spans="1:2" x14ac:dyDescent="0.3">
      <c r="A20" t="s">
        <v>143</v>
      </c>
      <c r="B20" s="3" t="s">
        <v>152</v>
      </c>
    </row>
    <row r="21" spans="1:2" x14ac:dyDescent="0.3">
      <c r="A21" t="s">
        <v>144</v>
      </c>
      <c r="B21" s="3" t="s">
        <v>153</v>
      </c>
    </row>
    <row r="22" spans="1:2" x14ac:dyDescent="0.3">
      <c r="A22" t="s">
        <v>145</v>
      </c>
      <c r="B22" s="3" t="s">
        <v>154</v>
      </c>
    </row>
    <row r="23" spans="1:2" x14ac:dyDescent="0.3">
      <c r="A23" t="s">
        <v>146</v>
      </c>
      <c r="B23" s="3" t="s">
        <v>155</v>
      </c>
    </row>
    <row r="24" spans="1:2" x14ac:dyDescent="0.3">
      <c r="A24" t="s">
        <v>156</v>
      </c>
      <c r="B24" s="3" t="s">
        <v>160</v>
      </c>
    </row>
    <row r="25" spans="1:2" x14ac:dyDescent="0.3">
      <c r="A25" t="s">
        <v>157</v>
      </c>
      <c r="B25" s="3" t="s">
        <v>161</v>
      </c>
    </row>
    <row r="26" spans="1:2" x14ac:dyDescent="0.3">
      <c r="A26" t="s">
        <v>165</v>
      </c>
      <c r="B26" s="3" t="s">
        <v>162</v>
      </c>
    </row>
    <row r="27" spans="1:2" x14ac:dyDescent="0.3">
      <c r="A27" t="s">
        <v>158</v>
      </c>
      <c r="B27" s="3" t="s">
        <v>163</v>
      </c>
    </row>
    <row r="28" spans="1:2" x14ac:dyDescent="0.3">
      <c r="A28" t="s">
        <v>159</v>
      </c>
      <c r="B28" s="3" t="s">
        <v>164</v>
      </c>
    </row>
    <row r="29" spans="1:2" x14ac:dyDescent="0.3">
      <c r="A29" t="s">
        <v>166</v>
      </c>
      <c r="B29" s="3" t="s">
        <v>177</v>
      </c>
    </row>
    <row r="30" spans="1:2" x14ac:dyDescent="0.3">
      <c r="A30" t="s">
        <v>167</v>
      </c>
      <c r="B30" s="3" t="s">
        <v>176</v>
      </c>
    </row>
    <row r="31" spans="1:2" x14ac:dyDescent="0.3">
      <c r="A31" t="s">
        <v>168</v>
      </c>
      <c r="B31" s="3" t="s">
        <v>175</v>
      </c>
    </row>
    <row r="32" spans="1:2" x14ac:dyDescent="0.3">
      <c r="A32" t="s">
        <v>169</v>
      </c>
      <c r="B32" t="s">
        <v>174</v>
      </c>
    </row>
    <row r="33" spans="1:2" x14ac:dyDescent="0.3">
      <c r="A33" t="s">
        <v>170</v>
      </c>
      <c r="B33" t="s">
        <v>173</v>
      </c>
    </row>
    <row r="34" spans="1:2" x14ac:dyDescent="0.3">
      <c r="A34" t="s">
        <v>171</v>
      </c>
      <c r="B34" t="s">
        <v>172</v>
      </c>
    </row>
    <row r="35" spans="1:2" x14ac:dyDescent="0.3">
      <c r="A35" t="s">
        <v>320</v>
      </c>
      <c r="B35" t="s">
        <v>316</v>
      </c>
    </row>
    <row r="36" spans="1:2" x14ac:dyDescent="0.3">
      <c r="A36" t="s">
        <v>321</v>
      </c>
      <c r="B36" t="s">
        <v>317</v>
      </c>
    </row>
    <row r="37" spans="1:2" x14ac:dyDescent="0.3">
      <c r="A37" t="s">
        <v>322</v>
      </c>
      <c r="B37" t="s">
        <v>318</v>
      </c>
    </row>
    <row r="38" spans="1:2" x14ac:dyDescent="0.3">
      <c r="A38" t="s">
        <v>323</v>
      </c>
      <c r="B38" t="s">
        <v>319</v>
      </c>
    </row>
    <row r="39" spans="1:2" x14ac:dyDescent="0.3">
      <c r="A39" t="s">
        <v>214</v>
      </c>
      <c r="B39" t="s">
        <v>211</v>
      </c>
    </row>
    <row r="40" spans="1:2" x14ac:dyDescent="0.3">
      <c r="A40" t="s">
        <v>216</v>
      </c>
      <c r="B40" t="s">
        <v>212</v>
      </c>
    </row>
    <row r="41" spans="1:2" x14ac:dyDescent="0.3">
      <c r="A41" t="s">
        <v>215</v>
      </c>
      <c r="B41" t="s">
        <v>213</v>
      </c>
    </row>
    <row r="42" spans="1:2" x14ac:dyDescent="0.3">
      <c r="A42" t="s">
        <v>217</v>
      </c>
      <c r="B42" t="s">
        <v>218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D17"/>
  <sheetViews>
    <sheetView workbookViewId="0">
      <selection activeCell="C23" sqref="C23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178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179</v>
      </c>
      <c r="B3" s="17" t="str">
        <f>UPPER(A3)&amp;"_TITLE"</f>
        <v>MILITARY_TRAINING_TITLE</v>
      </c>
      <c r="C3" s="16" t="s">
        <v>189</v>
      </c>
      <c r="D3" s="18"/>
    </row>
    <row r="4" spans="1:4" x14ac:dyDescent="0.3">
      <c r="A4" s="16" t="s">
        <v>180</v>
      </c>
      <c r="B4" s="17" t="str">
        <f t="shared" ref="B4:B12" si="0">UPPER(A4)&amp;"_TITLE"</f>
        <v>RALLY_REMNANTS_TITLE</v>
      </c>
      <c r="C4" s="16" t="s">
        <v>190</v>
      </c>
      <c r="D4" s="18"/>
    </row>
    <row r="5" spans="1:4" x14ac:dyDescent="0.3">
      <c r="A5" s="16" t="s">
        <v>181</v>
      </c>
      <c r="B5" s="17" t="str">
        <f t="shared" si="0"/>
        <v>BANDIT_SUBJUGATION_TITLE</v>
      </c>
      <c r="C5" s="16" t="s">
        <v>191</v>
      </c>
      <c r="D5" s="18"/>
    </row>
    <row r="6" spans="1:4" x14ac:dyDescent="0.3">
      <c r="A6" s="16" t="s">
        <v>182</v>
      </c>
      <c r="B6" s="17" t="str">
        <f t="shared" si="0"/>
        <v>BORDER_DEFENSE_TITLE</v>
      </c>
      <c r="C6" s="16" t="s">
        <v>192</v>
      </c>
      <c r="D6" s="18"/>
    </row>
    <row r="7" spans="1:4" x14ac:dyDescent="0.3">
      <c r="A7" s="16" t="s">
        <v>183</v>
      </c>
      <c r="B7" s="17" t="str">
        <f t="shared" si="0"/>
        <v>TAX_REFORM_TITLE</v>
      </c>
      <c r="C7" s="16" t="s">
        <v>193</v>
      </c>
      <c r="D7" s="18"/>
    </row>
    <row r="8" spans="1:4" x14ac:dyDescent="0.3">
      <c r="A8" s="16" t="s">
        <v>184</v>
      </c>
      <c r="B8" s="17" t="str">
        <f t="shared" si="0"/>
        <v>FOREIGN_DIPLOMACY_TITLE</v>
      </c>
      <c r="C8" s="16" t="s">
        <v>194</v>
      </c>
      <c r="D8" s="18"/>
    </row>
    <row r="9" spans="1:4" x14ac:dyDescent="0.3">
      <c r="A9" s="16" t="s">
        <v>185</v>
      </c>
      <c r="B9" s="17" t="str">
        <f t="shared" si="0"/>
        <v>ENEMY_INTELLIGENCE_TITLE</v>
      </c>
      <c r="C9" s="16" t="s">
        <v>195</v>
      </c>
      <c r="D9" s="18"/>
    </row>
    <row r="10" spans="1:4" x14ac:dyDescent="0.3">
      <c r="A10" s="16" t="s">
        <v>186</v>
      </c>
      <c r="B10" s="17" t="str">
        <f t="shared" si="0"/>
        <v>TACTICS_RESEARCH_TITLE</v>
      </c>
      <c r="C10" s="16" t="s">
        <v>196</v>
      </c>
      <c r="D10" s="18"/>
    </row>
    <row r="11" spans="1:4" x14ac:dyDescent="0.3">
      <c r="A11" s="16" t="s">
        <v>187</v>
      </c>
      <c r="B11" s="17" t="str">
        <f t="shared" si="0"/>
        <v>REFUGEE_PERSUASION_TITLE</v>
      </c>
      <c r="C11" s="16" t="s">
        <v>197</v>
      </c>
      <c r="D11" s="18"/>
    </row>
    <row r="12" spans="1:4" x14ac:dyDescent="0.3">
      <c r="A12" s="16" t="s">
        <v>188</v>
      </c>
      <c r="B12" s="17" t="str">
        <f t="shared" si="0"/>
        <v>RECRUIT_TALENT_TITLE</v>
      </c>
      <c r="C12" s="16" t="s">
        <v>198</v>
      </c>
      <c r="D12" s="18"/>
    </row>
    <row r="13" spans="1:4" x14ac:dyDescent="0.3">
      <c r="A13" s="17"/>
      <c r="B13" s="17" t="s">
        <v>206</v>
      </c>
      <c r="C13" s="17" t="s">
        <v>94</v>
      </c>
      <c r="D13" s="18"/>
    </row>
    <row r="14" spans="1:4" x14ac:dyDescent="0.3">
      <c r="A14" s="17"/>
      <c r="B14" s="17" t="s">
        <v>207</v>
      </c>
      <c r="C14" s="17" t="s">
        <v>199</v>
      </c>
      <c r="D14" s="18"/>
    </row>
    <row r="15" spans="1:4" x14ac:dyDescent="0.3">
      <c r="A15" s="17"/>
      <c r="B15" s="17" t="s">
        <v>208</v>
      </c>
      <c r="C15" s="17" t="s">
        <v>200</v>
      </c>
      <c r="D15" s="18"/>
    </row>
    <row r="16" spans="1:4" x14ac:dyDescent="0.3">
      <c r="A16" s="17"/>
      <c r="B16" s="17" t="s">
        <v>209</v>
      </c>
      <c r="C16" s="17" t="s">
        <v>201</v>
      </c>
      <c r="D16" s="18"/>
    </row>
    <row r="17" spans="1:4" x14ac:dyDescent="0.3">
      <c r="A17" s="17"/>
      <c r="B17" s="17" t="s">
        <v>210</v>
      </c>
      <c r="C17" s="17" t="s">
        <v>202</v>
      </c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4"/>
  <sheetViews>
    <sheetView tabSelected="1" topLeftCell="A7" workbookViewId="0">
      <selection activeCell="B15" sqref="B15"/>
    </sheetView>
  </sheetViews>
  <sheetFormatPr defaultRowHeight="16.5" x14ac:dyDescent="0.3"/>
  <cols>
    <col min="1" max="1" width="48" bestFit="1" customWidth="1"/>
    <col min="2" max="3" width="50.375" style="3" customWidth="1"/>
    <col min="4" max="4" width="6.125" bestFit="1" customWidth="1"/>
  </cols>
  <sheetData>
    <row r="1" spans="1:4" x14ac:dyDescent="0.3">
      <c r="A1" s="1" t="s">
        <v>3</v>
      </c>
      <c r="B1" s="2" t="s">
        <v>0</v>
      </c>
      <c r="C1" s="2" t="s">
        <v>1</v>
      </c>
      <c r="D1" s="1" t="s">
        <v>4</v>
      </c>
    </row>
    <row r="2" spans="1:4" x14ac:dyDescent="0.3">
      <c r="A2" s="1" t="s">
        <v>2</v>
      </c>
      <c r="B2" s="2" t="s">
        <v>2</v>
      </c>
      <c r="C2" s="2" t="s">
        <v>2</v>
      </c>
      <c r="D2" s="2"/>
    </row>
    <row r="3" spans="1:4" x14ac:dyDescent="0.3">
      <c r="A3" t="s">
        <v>29</v>
      </c>
      <c r="B3" s="3" t="s">
        <v>27</v>
      </c>
      <c r="C3" s="3" t="s">
        <v>24</v>
      </c>
    </row>
    <row r="4" spans="1:4" x14ac:dyDescent="0.3">
      <c r="A4" t="s">
        <v>135</v>
      </c>
      <c r="B4" s="3" t="s">
        <v>18</v>
      </c>
      <c r="C4" s="3" t="s">
        <v>19</v>
      </c>
    </row>
    <row r="5" spans="1:4" x14ac:dyDescent="0.3">
      <c r="A5" t="s">
        <v>134</v>
      </c>
      <c r="B5" s="3" t="s">
        <v>28</v>
      </c>
      <c r="C5" s="3" t="s">
        <v>23</v>
      </c>
    </row>
    <row r="6" spans="1:4" x14ac:dyDescent="0.3">
      <c r="A6" t="s">
        <v>15</v>
      </c>
      <c r="B6" s="3" t="s">
        <v>16</v>
      </c>
      <c r="C6" s="3" t="s">
        <v>17</v>
      </c>
    </row>
    <row r="7" spans="1:4" x14ac:dyDescent="0.3">
      <c r="A7" t="s">
        <v>30</v>
      </c>
      <c r="B7" s="3" t="s">
        <v>26</v>
      </c>
      <c r="C7" s="3" t="s">
        <v>25</v>
      </c>
    </row>
    <row r="8" spans="1:4" x14ac:dyDescent="0.3">
      <c r="A8" t="s">
        <v>20</v>
      </c>
      <c r="B8" s="3" t="s">
        <v>21</v>
      </c>
      <c r="C8" s="3" t="s">
        <v>22</v>
      </c>
    </row>
    <row r="9" spans="1:4" x14ac:dyDescent="0.3">
      <c r="A9" t="s">
        <v>313</v>
      </c>
      <c r="B9" s="3" t="s">
        <v>315</v>
      </c>
    </row>
    <row r="10" spans="1:4" x14ac:dyDescent="0.3">
      <c r="A10" t="s">
        <v>42</v>
      </c>
      <c r="B10" s="3" t="s">
        <v>32</v>
      </c>
    </row>
    <row r="11" spans="1:4" x14ac:dyDescent="0.3">
      <c r="A11" t="s">
        <v>41</v>
      </c>
      <c r="B11" s="3" t="s">
        <v>31</v>
      </c>
    </row>
    <row r="12" spans="1:4" x14ac:dyDescent="0.3">
      <c r="A12" t="s">
        <v>43</v>
      </c>
      <c r="B12" s="3" t="s">
        <v>33</v>
      </c>
    </row>
    <row r="13" spans="1:4" x14ac:dyDescent="0.3">
      <c r="A13" t="s">
        <v>44</v>
      </c>
      <c r="B13" s="3" t="s">
        <v>34</v>
      </c>
    </row>
    <row r="14" spans="1:4" x14ac:dyDescent="0.3">
      <c r="A14" t="s">
        <v>45</v>
      </c>
      <c r="B14" s="3" t="s">
        <v>35</v>
      </c>
    </row>
    <row r="15" spans="1:4" ht="33" x14ac:dyDescent="0.3">
      <c r="A15" t="s">
        <v>314</v>
      </c>
      <c r="B15" s="3" t="s">
        <v>324</v>
      </c>
    </row>
    <row r="16" spans="1:4" ht="33" x14ac:dyDescent="0.3">
      <c r="A16" t="s">
        <v>48</v>
      </c>
      <c r="B16" s="3" t="s">
        <v>50</v>
      </c>
    </row>
    <row r="17" spans="1:3" ht="33" x14ac:dyDescent="0.3">
      <c r="A17" t="s">
        <v>46</v>
      </c>
      <c r="B17" s="3" t="s">
        <v>47</v>
      </c>
    </row>
    <row r="18" spans="1:3" ht="33" x14ac:dyDescent="0.3">
      <c r="A18" t="s">
        <v>51</v>
      </c>
      <c r="B18" s="3" t="s">
        <v>49</v>
      </c>
    </row>
    <row r="19" spans="1:3" ht="33" x14ac:dyDescent="0.3">
      <c r="A19" t="s">
        <v>52</v>
      </c>
      <c r="B19" s="3" t="s">
        <v>104</v>
      </c>
    </row>
    <row r="20" spans="1:3" ht="33" x14ac:dyDescent="0.3">
      <c r="A20" t="s">
        <v>53</v>
      </c>
      <c r="B20" s="3" t="s">
        <v>103</v>
      </c>
    </row>
    <row r="21" spans="1:3" x14ac:dyDescent="0.3">
      <c r="A21" t="s">
        <v>310</v>
      </c>
      <c r="B21" s="3" t="s">
        <v>311</v>
      </c>
      <c r="C21" s="3" t="s">
        <v>312</v>
      </c>
    </row>
    <row r="22" spans="1:3" x14ac:dyDescent="0.3">
      <c r="A22" t="s">
        <v>37</v>
      </c>
      <c r="B22" s="3" t="s">
        <v>7</v>
      </c>
      <c r="C22" s="3" t="s">
        <v>8</v>
      </c>
    </row>
    <row r="23" spans="1:3" x14ac:dyDescent="0.3">
      <c r="A23" t="s">
        <v>36</v>
      </c>
      <c r="B23" s="3" t="s">
        <v>5</v>
      </c>
      <c r="C23" s="3" t="s">
        <v>6</v>
      </c>
    </row>
    <row r="24" spans="1:3" x14ac:dyDescent="0.3">
      <c r="A24" t="s">
        <v>38</v>
      </c>
      <c r="B24" s="3" t="s">
        <v>9</v>
      </c>
      <c r="C24" s="3" t="s">
        <v>10</v>
      </c>
    </row>
    <row r="25" spans="1:3" x14ac:dyDescent="0.3">
      <c r="A25" t="s">
        <v>39</v>
      </c>
      <c r="B25" s="3" t="s">
        <v>11</v>
      </c>
      <c r="C25" s="3" t="s">
        <v>13</v>
      </c>
    </row>
    <row r="26" spans="1:3" x14ac:dyDescent="0.3">
      <c r="A26" t="s">
        <v>40</v>
      </c>
      <c r="B26" s="3" t="s">
        <v>12</v>
      </c>
      <c r="C26" s="3" t="s">
        <v>14</v>
      </c>
    </row>
    <row r="27" spans="1:3" x14ac:dyDescent="0.3">
      <c r="A27" t="s">
        <v>66</v>
      </c>
      <c r="B27" s="3" t="s">
        <v>67</v>
      </c>
      <c r="C27" s="3" t="s">
        <v>68</v>
      </c>
    </row>
    <row r="28" spans="1:3" x14ac:dyDescent="0.3">
      <c r="A28" t="s">
        <v>69</v>
      </c>
      <c r="B28" s="3" t="s">
        <v>70</v>
      </c>
      <c r="C28" s="3" t="s">
        <v>71</v>
      </c>
    </row>
    <row r="29" spans="1:3" x14ac:dyDescent="0.3">
      <c r="A29" t="s">
        <v>54</v>
      </c>
      <c r="B29" t="s">
        <v>55</v>
      </c>
    </row>
    <row r="30" spans="1:3" x14ac:dyDescent="0.3">
      <c r="A30" t="s">
        <v>56</v>
      </c>
      <c r="B30" t="s">
        <v>57</v>
      </c>
    </row>
    <row r="31" spans="1:3" x14ac:dyDescent="0.3">
      <c r="A31" t="s">
        <v>59</v>
      </c>
      <c r="B31" t="s">
        <v>65</v>
      </c>
    </row>
    <row r="32" spans="1:3" x14ac:dyDescent="0.3">
      <c r="A32" t="s">
        <v>61</v>
      </c>
      <c r="B32" t="s">
        <v>64</v>
      </c>
    </row>
    <row r="33" spans="1:2" x14ac:dyDescent="0.3">
      <c r="A33" t="s">
        <v>58</v>
      </c>
      <c r="B33" t="s">
        <v>62</v>
      </c>
    </row>
    <row r="34" spans="1:2" x14ac:dyDescent="0.3">
      <c r="A34" t="s">
        <v>60</v>
      </c>
      <c r="B34" t="s">
        <v>63</v>
      </c>
    </row>
  </sheetData>
  <sortState xmlns:xlrd2="http://schemas.microsoft.com/office/spreadsheetml/2017/richdata2" ref="A3:C34">
    <sortCondition ref="A3:A34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E6A7D-8E38-47C7-B564-D54B5D506D09}">
  <dimension ref="A1:E47"/>
  <sheetViews>
    <sheetView workbookViewId="0">
      <selection activeCell="D18" sqref="D18"/>
    </sheetView>
  </sheetViews>
  <sheetFormatPr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219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221</v>
      </c>
      <c r="B3" s="11" t="str">
        <f>"NAME_" &amp; UPPER(A3)</f>
        <v>NAME_LIUTAO</v>
      </c>
      <c r="C3" s="12" t="s">
        <v>265</v>
      </c>
      <c r="D3" s="11"/>
      <c r="E3" s="11"/>
    </row>
    <row r="4" spans="1:5" x14ac:dyDescent="0.3">
      <c r="A4" s="10" t="s">
        <v>222</v>
      </c>
      <c r="B4" s="11" t="str">
        <f t="shared" ref="B4:B47" si="0">"NAME_" &amp; UPPER(A4)</f>
        <v>NAME_SANLUE</v>
      </c>
      <c r="C4" s="12" t="s">
        <v>266</v>
      </c>
      <c r="D4" s="11"/>
      <c r="E4" s="11"/>
    </row>
    <row r="5" spans="1:5" x14ac:dyDescent="0.3">
      <c r="A5" s="10" t="s">
        <v>223</v>
      </c>
      <c r="B5" s="11" t="str">
        <f t="shared" si="0"/>
        <v>NAME_WEILIAOZI</v>
      </c>
      <c r="C5" s="12" t="s">
        <v>267</v>
      </c>
      <c r="D5" s="11"/>
      <c r="E5" s="11"/>
    </row>
    <row r="6" spans="1:5" x14ac:dyDescent="0.3">
      <c r="A6" s="10" t="s">
        <v>224</v>
      </c>
      <c r="B6" s="11" t="str">
        <f t="shared" si="0"/>
        <v>NAME_COMMANDERS_BANNER</v>
      </c>
      <c r="C6" s="12" t="s">
        <v>268</v>
      </c>
      <c r="D6" s="11"/>
      <c r="E6" s="11"/>
    </row>
    <row r="7" spans="1:5" x14ac:dyDescent="0.3">
      <c r="A7" s="10" t="s">
        <v>225</v>
      </c>
      <c r="B7" s="11" t="str">
        <f t="shared" si="0"/>
        <v>NAME_TIGER_TALLY</v>
      </c>
      <c r="C7" s="12" t="s">
        <v>269</v>
      </c>
      <c r="D7" s="11"/>
      <c r="E7" s="11"/>
    </row>
    <row r="8" spans="1:5" x14ac:dyDescent="0.3">
      <c r="A8" s="10" t="s">
        <v>226</v>
      </c>
      <c r="B8" s="11" t="str">
        <f t="shared" si="0"/>
        <v>NAME_WAR_DRUM_GONG</v>
      </c>
      <c r="C8" s="12" t="s">
        <v>270</v>
      </c>
      <c r="D8" s="11"/>
      <c r="E8" s="11"/>
    </row>
    <row r="9" spans="1:5" x14ac:dyDescent="0.3">
      <c r="A9" s="10" t="s">
        <v>227</v>
      </c>
      <c r="B9" s="11" t="str">
        <f t="shared" si="0"/>
        <v>NAME_SIMA_FA</v>
      </c>
      <c r="C9" s="12" t="s">
        <v>271</v>
      </c>
      <c r="D9" s="11"/>
      <c r="E9" s="11"/>
    </row>
    <row r="10" spans="1:5" x14ac:dyDescent="0.3">
      <c r="A10" s="10" t="s">
        <v>228</v>
      </c>
      <c r="B10" s="11" t="str">
        <f t="shared" si="0"/>
        <v>NAME_WUZI</v>
      </c>
      <c r="C10" s="12" t="s">
        <v>272</v>
      </c>
      <c r="D10" s="11"/>
      <c r="E10" s="11"/>
    </row>
    <row r="11" spans="1:5" x14ac:dyDescent="0.3">
      <c r="A11" s="10" t="s">
        <v>229</v>
      </c>
      <c r="B11" s="11" t="str">
        <f t="shared" si="0"/>
        <v>NAME_RED_CLIFF_FLAME</v>
      </c>
      <c r="C11" s="12" t="s">
        <v>273</v>
      </c>
      <c r="D11" s="11"/>
      <c r="E11" s="11"/>
    </row>
    <row r="12" spans="1:5" x14ac:dyDescent="0.3">
      <c r="A12" s="10" t="s">
        <v>230</v>
      </c>
      <c r="B12" s="11" t="str">
        <f t="shared" si="0"/>
        <v>NAME_BANGCHEONHWAGUG_SHARD</v>
      </c>
      <c r="C12" s="12" t="s">
        <v>274</v>
      </c>
      <c r="D12" s="11"/>
      <c r="E12" s="11"/>
    </row>
    <row r="13" spans="1:5" x14ac:dyDescent="0.3">
      <c r="A13" s="10" t="s">
        <v>220</v>
      </c>
      <c r="B13" s="11" t="str">
        <f t="shared" si="0"/>
        <v>NAME_GANJIANG_MOYE</v>
      </c>
      <c r="C13" s="12" t="s">
        <v>275</v>
      </c>
      <c r="D13" s="11"/>
      <c r="E13" s="11"/>
    </row>
    <row r="14" spans="1:5" x14ac:dyDescent="0.3">
      <c r="A14" s="10" t="s">
        <v>231</v>
      </c>
      <c r="B14" s="11" t="str">
        <f t="shared" si="0"/>
        <v>NAME_CHUNGOU</v>
      </c>
      <c r="C14" s="12" t="s">
        <v>276</v>
      </c>
      <c r="D14" s="11"/>
      <c r="E14" s="11"/>
    </row>
    <row r="15" spans="1:5" x14ac:dyDescent="0.3">
      <c r="A15" s="10" t="s">
        <v>232</v>
      </c>
      <c r="B15" s="11" t="str">
        <f t="shared" si="0"/>
        <v>NAME_ZHANLU</v>
      </c>
      <c r="C15" s="12" t="s">
        <v>277</v>
      </c>
      <c r="D15" s="11"/>
      <c r="E15" s="11"/>
    </row>
    <row r="16" spans="1:5" x14ac:dyDescent="0.3">
      <c r="A16" s="10" t="s">
        <v>233</v>
      </c>
      <c r="B16" s="11" t="str">
        <f t="shared" si="0"/>
        <v>NAME_YUCHANG</v>
      </c>
      <c r="C16" s="12" t="s">
        <v>278</v>
      </c>
      <c r="D16" s="11"/>
      <c r="E16" s="11"/>
    </row>
    <row r="17" spans="1:5" x14ac:dyDescent="0.3">
      <c r="A17" s="10" t="s">
        <v>234</v>
      </c>
      <c r="B17" s="11" t="str">
        <f t="shared" si="0"/>
        <v>NAME_TAIE</v>
      </c>
      <c r="C17" s="12" t="s">
        <v>279</v>
      </c>
      <c r="D17" s="11"/>
      <c r="E17" s="11"/>
    </row>
    <row r="18" spans="1:5" x14ac:dyDescent="0.3">
      <c r="A18" s="10" t="s">
        <v>235</v>
      </c>
      <c r="B18" s="11" t="str">
        <f t="shared" si="0"/>
        <v>NAME_JUQUE</v>
      </c>
      <c r="C18" s="12" t="s">
        <v>280</v>
      </c>
      <c r="D18" s="11"/>
      <c r="E18" s="11"/>
    </row>
    <row r="19" spans="1:5" x14ac:dyDescent="0.3">
      <c r="A19" s="10" t="s">
        <v>236</v>
      </c>
      <c r="B19" s="11" t="str">
        <f t="shared" si="0"/>
        <v>NAME_SHENGXIE</v>
      </c>
      <c r="C19" s="12" t="s">
        <v>281</v>
      </c>
      <c r="D19" s="11"/>
      <c r="E19" s="11"/>
    </row>
    <row r="20" spans="1:5" x14ac:dyDescent="0.3">
      <c r="A20" s="10" t="s">
        <v>237</v>
      </c>
      <c r="B20" s="11" t="str">
        <f t="shared" si="0"/>
        <v>NAME_LORDS_WAR_BOW</v>
      </c>
      <c r="C20" s="12" t="s">
        <v>282</v>
      </c>
      <c r="D20" s="11"/>
      <c r="E20" s="11"/>
    </row>
    <row r="21" spans="1:5" x14ac:dyDescent="0.3">
      <c r="A21" s="10" t="s">
        <v>238</v>
      </c>
      <c r="B21" s="11" t="str">
        <f t="shared" si="0"/>
        <v>NAME_WUJANGWON_STAR</v>
      </c>
      <c r="C21" s="12" t="s">
        <v>283</v>
      </c>
      <c r="D21" s="11"/>
      <c r="E21" s="11"/>
    </row>
    <row r="22" spans="1:5" x14ac:dyDescent="0.3">
      <c r="A22" s="10" t="s">
        <v>239</v>
      </c>
      <c r="B22" s="11" t="str">
        <f t="shared" si="0"/>
        <v>NAME_ART_OF_WAR</v>
      </c>
      <c r="C22" s="12" t="s">
        <v>284</v>
      </c>
      <c r="D22" s="11"/>
      <c r="E22" s="11"/>
    </row>
    <row r="23" spans="1:5" x14ac:dyDescent="0.3">
      <c r="A23" s="10" t="s">
        <v>240</v>
      </c>
      <c r="B23" s="11" t="str">
        <f t="shared" si="0"/>
        <v>NAME_QIMEN_DUNJIA</v>
      </c>
      <c r="C23" s="12" t="s">
        <v>285</v>
      </c>
      <c r="D23" s="11"/>
      <c r="E23" s="11"/>
    </row>
    <row r="24" spans="1:5" x14ac:dyDescent="0.3">
      <c r="A24" s="10" t="s">
        <v>241</v>
      </c>
      <c r="B24" s="11" t="str">
        <f t="shared" si="0"/>
        <v>NAME_I_CHING</v>
      </c>
      <c r="C24" s="12" t="s">
        <v>286</v>
      </c>
      <c r="D24" s="11"/>
      <c r="E24" s="11"/>
    </row>
    <row r="25" spans="1:5" x14ac:dyDescent="0.3">
      <c r="A25" s="10" t="s">
        <v>242</v>
      </c>
      <c r="B25" s="11" t="str">
        <f t="shared" si="0"/>
        <v>NAME_GUIGUZI</v>
      </c>
      <c r="C25" s="12" t="s">
        <v>287</v>
      </c>
      <c r="D25" s="11"/>
      <c r="E25" s="11"/>
    </row>
    <row r="26" spans="1:5" x14ac:dyDescent="0.3">
      <c r="A26" s="10" t="s">
        <v>243</v>
      </c>
      <c r="B26" s="11" t="str">
        <f t="shared" si="0"/>
        <v>NAME_GUANZI</v>
      </c>
      <c r="C26" s="12" t="s">
        <v>288</v>
      </c>
      <c r="D26" s="11"/>
      <c r="E26" s="11"/>
    </row>
    <row r="27" spans="1:5" x14ac:dyDescent="0.3">
      <c r="A27" s="10" t="s">
        <v>244</v>
      </c>
      <c r="B27" s="11" t="str">
        <f t="shared" si="0"/>
        <v>NAME_HAN_FEIZI</v>
      </c>
      <c r="C27" s="12" t="s">
        <v>289</v>
      </c>
      <c r="D27" s="11"/>
      <c r="E27" s="11"/>
    </row>
    <row r="28" spans="1:5" x14ac:dyDescent="0.3">
      <c r="A28" s="10" t="s">
        <v>245</v>
      </c>
      <c r="B28" s="11" t="str">
        <f t="shared" si="0"/>
        <v>NAME_SU_SHU_OF_HUANGSHI</v>
      </c>
      <c r="C28" s="12" t="s">
        <v>290</v>
      </c>
      <c r="D28" s="11"/>
      <c r="E28" s="11"/>
    </row>
    <row r="29" spans="1:5" x14ac:dyDescent="0.3">
      <c r="A29" s="10" t="s">
        <v>246</v>
      </c>
      <c r="B29" s="11" t="str">
        <f t="shared" si="0"/>
        <v>NAME_MOZI</v>
      </c>
      <c r="C29" s="12" t="s">
        <v>291</v>
      </c>
      <c r="D29" s="11"/>
      <c r="E29" s="11"/>
    </row>
    <row r="30" spans="1:5" x14ac:dyDescent="0.3">
      <c r="A30" s="10" t="s">
        <v>247</v>
      </c>
      <c r="B30" s="11" t="str">
        <f t="shared" si="0"/>
        <v>NAME_EMPERORS_SEAL</v>
      </c>
      <c r="C30" s="12" t="s">
        <v>292</v>
      </c>
      <c r="D30" s="11"/>
      <c r="E30" s="11"/>
    </row>
    <row r="31" spans="1:5" x14ac:dyDescent="0.3">
      <c r="A31" s="10" t="s">
        <v>248</v>
      </c>
      <c r="B31" s="11" t="str">
        <f t="shared" si="0"/>
        <v>NAME_BOOK_OF_LORD_SHANG</v>
      </c>
      <c r="C31" s="12" t="s">
        <v>293</v>
      </c>
      <c r="D31" s="11"/>
      <c r="E31" s="11"/>
    </row>
    <row r="32" spans="1:5" x14ac:dyDescent="0.3">
      <c r="A32" s="10" t="s">
        <v>249</v>
      </c>
      <c r="B32" s="11" t="str">
        <f t="shared" si="0"/>
        <v>NAME_LUSHI_CHUNQIU</v>
      </c>
      <c r="C32" s="12" t="s">
        <v>294</v>
      </c>
      <c r="D32" s="11"/>
      <c r="E32" s="11"/>
    </row>
    <row r="33" spans="1:5" x14ac:dyDescent="0.3">
      <c r="A33" s="10" t="s">
        <v>250</v>
      </c>
      <c r="B33" s="11" t="str">
        <f t="shared" si="0"/>
        <v>NAME_ANALECTS</v>
      </c>
      <c r="C33" s="12" t="s">
        <v>295</v>
      </c>
      <c r="D33" s="11"/>
      <c r="E33" s="11"/>
    </row>
    <row r="34" spans="1:5" x14ac:dyDescent="0.3">
      <c r="A34" s="10" t="s">
        <v>251</v>
      </c>
      <c r="B34" s="11" t="str">
        <f t="shared" si="0"/>
        <v>NAME_WEI_ADMINISTRATIVE_CODE</v>
      </c>
      <c r="C34" s="12" t="s">
        <v>296</v>
      </c>
      <c r="D34" s="11"/>
      <c r="E34" s="11"/>
    </row>
    <row r="35" spans="1:5" x14ac:dyDescent="0.3">
      <c r="A35" s="10" t="s">
        <v>252</v>
      </c>
      <c r="B35" s="11" t="str">
        <f t="shared" si="0"/>
        <v>NAME_STRATAGEMS_OF_WARRING_STATES</v>
      </c>
      <c r="C35" s="12" t="s">
        <v>297</v>
      </c>
      <c r="D35" s="11"/>
      <c r="E35" s="11"/>
    </row>
    <row r="36" spans="1:5" x14ac:dyDescent="0.3">
      <c r="A36" s="10" t="s">
        <v>253</v>
      </c>
      <c r="B36" s="11" t="str">
        <f t="shared" si="0"/>
        <v>NAME_IMPERIAL_JADE_SEAL</v>
      </c>
      <c r="C36" s="12" t="s">
        <v>298</v>
      </c>
      <c r="D36" s="11"/>
      <c r="E36" s="11"/>
    </row>
    <row r="37" spans="1:5" x14ac:dyDescent="0.3">
      <c r="A37" s="10" t="s">
        <v>254</v>
      </c>
      <c r="B37" s="11" t="str">
        <f t="shared" si="0"/>
        <v>NAME_PREFECTS_OFFICIAL_SEAL</v>
      </c>
      <c r="C37" s="12" t="s">
        <v>299</v>
      </c>
      <c r="D37" s="11"/>
      <c r="E37" s="11"/>
    </row>
    <row r="38" spans="1:5" x14ac:dyDescent="0.3">
      <c r="A38" s="10" t="s">
        <v>255</v>
      </c>
      <c r="B38" s="11" t="str">
        <f t="shared" si="0"/>
        <v>NAME_HUANGLAO_SILK_MANUSCRIPT</v>
      </c>
      <c r="C38" s="12" t="s">
        <v>300</v>
      </c>
      <c r="D38" s="11"/>
      <c r="E38" s="11"/>
    </row>
    <row r="39" spans="1:5" x14ac:dyDescent="0.3">
      <c r="A39" s="10" t="s">
        <v>256</v>
      </c>
      <c r="B39" s="11" t="str">
        <f t="shared" si="0"/>
        <v>NAME_DOEWON_CUP</v>
      </c>
      <c r="C39" s="12" t="s">
        <v>301</v>
      </c>
      <c r="D39" s="11"/>
      <c r="E39" s="11"/>
    </row>
    <row r="40" spans="1:5" x14ac:dyDescent="0.3">
      <c r="A40" s="10" t="s">
        <v>257</v>
      </c>
      <c r="B40" s="11" t="str">
        <f t="shared" si="0"/>
        <v>NAME_HES_JADE_DISC</v>
      </c>
      <c r="C40" s="12" t="s">
        <v>302</v>
      </c>
      <c r="D40" s="11"/>
      <c r="E40" s="11"/>
    </row>
    <row r="41" spans="1:5" x14ac:dyDescent="0.3">
      <c r="A41" s="10" t="s">
        <v>258</v>
      </c>
      <c r="B41" s="11" t="str">
        <f t="shared" si="0"/>
        <v>NAME_CLASSIC_OF_MOUNTAINS_AND_SEAS</v>
      </c>
      <c r="C41" s="12" t="s">
        <v>303</v>
      </c>
      <c r="D41" s="11"/>
      <c r="E41" s="11"/>
    </row>
    <row r="42" spans="1:5" x14ac:dyDescent="0.3">
      <c r="A42" s="10" t="s">
        <v>259</v>
      </c>
      <c r="B42" s="11" t="str">
        <f t="shared" si="0"/>
        <v>NAME_XUANHE_QIN</v>
      </c>
      <c r="C42" s="12" t="s">
        <v>304</v>
      </c>
      <c r="D42" s="11"/>
      <c r="E42" s="11"/>
    </row>
    <row r="43" spans="1:5" x14ac:dyDescent="0.3">
      <c r="A43" s="10" t="s">
        <v>260</v>
      </c>
      <c r="B43" s="11" t="str">
        <f t="shared" si="0"/>
        <v>NAME_PHOENIX_JADE_PENDANT</v>
      </c>
      <c r="C43" s="12" t="s">
        <v>305</v>
      </c>
      <c r="D43" s="11"/>
      <c r="E43" s="11"/>
    </row>
    <row r="44" spans="1:5" x14ac:dyDescent="0.3">
      <c r="A44" s="10" t="s">
        <v>261</v>
      </c>
      <c r="B44" s="11" t="str">
        <f t="shared" si="0"/>
        <v>NAME_BOOK_OF_RITES</v>
      </c>
      <c r="C44" s="12" t="s">
        <v>306</v>
      </c>
      <c r="D44" s="11"/>
      <c r="E44" s="11"/>
    </row>
    <row r="45" spans="1:5" x14ac:dyDescent="0.3">
      <c r="A45" s="10" t="s">
        <v>262</v>
      </c>
      <c r="B45" s="11" t="str">
        <f t="shared" si="0"/>
        <v>NAME_ALLIANCE_LETTER</v>
      </c>
      <c r="C45" s="12" t="s">
        <v>307</v>
      </c>
      <c r="D45" s="11"/>
      <c r="E45" s="11"/>
    </row>
    <row r="46" spans="1:5" x14ac:dyDescent="0.3">
      <c r="A46" s="10" t="s">
        <v>263</v>
      </c>
      <c r="B46" s="11" t="str">
        <f t="shared" si="0"/>
        <v>NAME_HETU_LUOSHU</v>
      </c>
      <c r="C46" s="12" t="s">
        <v>308</v>
      </c>
      <c r="D46" s="11"/>
      <c r="E46" s="11"/>
    </row>
    <row r="47" spans="1:5" x14ac:dyDescent="0.3">
      <c r="A47" s="10" t="s">
        <v>264</v>
      </c>
      <c r="B47" s="11" t="str">
        <f t="shared" si="0"/>
        <v>NAME_MAP_OF_QUEEN_MOTHER_OF_THE_WEST</v>
      </c>
      <c r="C47" s="12" t="s">
        <v>309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3"/>
  <sheetViews>
    <sheetView topLeftCell="A15" workbookViewId="0">
      <selection activeCell="C22" sqref="C2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74</v>
      </c>
      <c r="B1" s="1" t="s">
        <v>77</v>
      </c>
      <c r="C1" s="1" t="s">
        <v>3</v>
      </c>
      <c r="D1" s="1" t="s">
        <v>82</v>
      </c>
      <c r="E1" s="1" t="s">
        <v>76</v>
      </c>
      <c r="F1" s="1" t="s">
        <v>75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78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92</v>
      </c>
      <c r="B3">
        <v>0</v>
      </c>
      <c r="C3" t="str">
        <f>CONCATENATE(A3, "_", B3, IF(D3&lt;&gt;"", "_"&amp;D3, ""))</f>
        <v>TUTORIAL_START_0</v>
      </c>
      <c r="G3" s="3" t="s">
        <v>83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86</v>
      </c>
      <c r="G4" s="3" t="s">
        <v>87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80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91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84</v>
      </c>
      <c r="G7" s="3" t="s">
        <v>79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85</v>
      </c>
      <c r="G8" s="3" t="s">
        <v>132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84</v>
      </c>
      <c r="G9" s="3" t="s">
        <v>133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85</v>
      </c>
      <c r="G10" s="3" t="s">
        <v>131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84</v>
      </c>
      <c r="G11" s="3" t="s">
        <v>88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85</v>
      </c>
      <c r="G12" s="3" t="s">
        <v>89</v>
      </c>
    </row>
    <row r="13" spans="1:9" x14ac:dyDescent="0.3">
      <c r="A13" t="str">
        <f t="shared" ref="A13:A18" si="3">A11</f>
        <v>TUTORIAL_START</v>
      </c>
      <c r="B13">
        <f t="shared" si="0"/>
        <v>10</v>
      </c>
      <c r="C13" t="str">
        <f t="shared" si="1"/>
        <v>TUTORIAL_START_10</v>
      </c>
      <c r="G13" s="3" t="s">
        <v>90</v>
      </c>
    </row>
    <row r="14" spans="1:9" x14ac:dyDescent="0.3">
      <c r="A14" t="str">
        <f t="shared" si="3"/>
        <v>TUTORIAL_START</v>
      </c>
      <c r="B14">
        <f t="shared" si="0"/>
        <v>11</v>
      </c>
      <c r="C14" t="str">
        <f t="shared" ref="C14" si="4">CONCATENATE(A14, "_", B14, IF(D14&lt;&gt;"", "_"&amp;D14, ""))</f>
        <v>TUTORIAL_START_11</v>
      </c>
      <c r="G14" s="3" t="s">
        <v>81</v>
      </c>
    </row>
    <row r="15" spans="1:9" x14ac:dyDescent="0.3">
      <c r="A15" t="str">
        <f t="shared" si="3"/>
        <v>TUTORIAL_START</v>
      </c>
      <c r="B15">
        <f t="shared" si="0"/>
        <v>12</v>
      </c>
      <c r="C15" t="str">
        <f t="shared" ref="C15" si="5">CONCATENATE(A15, "_", B15, IF(D15&lt;&gt;"", "_"&amp;D15, ""))</f>
        <v>TUTORIAL_START_12</v>
      </c>
      <c r="G15" s="3" t="s">
        <v>106</v>
      </c>
    </row>
    <row r="16" spans="1:9" x14ac:dyDescent="0.3">
      <c r="A16" t="str">
        <f t="shared" si="3"/>
        <v>TUTORIAL_START</v>
      </c>
      <c r="B16">
        <f t="shared" si="0"/>
        <v>13</v>
      </c>
      <c r="C16" t="str">
        <f t="shared" ref="C16" si="6">CONCATENATE(A16, "_", B16, IF(D16&lt;&gt;"", "_"&amp;D16, ""))</f>
        <v>TUTORIAL_START_13_MOBILE</v>
      </c>
      <c r="D16" t="s">
        <v>84</v>
      </c>
      <c r="G16" s="3" t="s">
        <v>107</v>
      </c>
    </row>
    <row r="17" spans="1:7" ht="33" x14ac:dyDescent="0.3">
      <c r="A17" t="str">
        <f t="shared" si="3"/>
        <v>TUTORIAL_START</v>
      </c>
      <c r="B17">
        <f t="shared" si="0"/>
        <v>14</v>
      </c>
      <c r="C17" t="str">
        <f t="shared" ref="C17" si="7">CONCATENATE(A17, "_", B17, IF(D17&lt;&gt;"", "_"&amp;D17, ""))</f>
        <v>TUTORIAL_START_14_PC</v>
      </c>
      <c r="D17" t="s">
        <v>85</v>
      </c>
      <c r="G17" s="3" t="s">
        <v>108</v>
      </c>
    </row>
    <row r="18" spans="1:7" x14ac:dyDescent="0.3">
      <c r="A18" t="str">
        <f t="shared" si="3"/>
        <v>TUTORIAL_START</v>
      </c>
      <c r="B18">
        <f t="shared" si="0"/>
        <v>15</v>
      </c>
      <c r="C18" t="str">
        <f t="shared" ref="C18" si="8">CONCATENATE(A18, "_", B18, IF(D18&lt;&gt;"", "_"&amp;D18, ""))</f>
        <v>TUTORIAL_START_15</v>
      </c>
      <c r="G18" s="3" t="s">
        <v>105</v>
      </c>
    </row>
    <row r="19" spans="1:7" x14ac:dyDescent="0.3">
      <c r="A19" t="s">
        <v>115</v>
      </c>
      <c r="B19">
        <v>0</v>
      </c>
      <c r="C19" t="str">
        <f t="shared" ref="C19:C20" si="9">CONCATENATE(A19, "_", B19, IF(D19&lt;&gt;"", "_"&amp;D19, ""))</f>
        <v>1_1_1_SHU_START_0</v>
      </c>
      <c r="E19" t="str">
        <f>VLOOKUP(F19,[1]HeroData!$A$3:$B$118,2, FALSE)</f>
        <v>ZhangFei</v>
      </c>
      <c r="F19" t="s">
        <v>9</v>
      </c>
      <c r="G19" s="3" t="s">
        <v>120</v>
      </c>
    </row>
    <row r="20" spans="1:7" x14ac:dyDescent="0.3">
      <c r="A20" t="str">
        <f t="shared" ref="A20:A33" si="10">A19</f>
        <v>1_1_1_SHU_START</v>
      </c>
      <c r="B20">
        <f>B19+1</f>
        <v>1</v>
      </c>
      <c r="C20" t="str">
        <f t="shared" si="9"/>
        <v>1_1_1_SHU_START_1</v>
      </c>
      <c r="E20" t="str">
        <f>VLOOKUP(F20,[1]HeroData!$A$3:$B$118,2, FALSE)</f>
        <v>GuanYu</v>
      </c>
      <c r="F20" t="s">
        <v>7</v>
      </c>
      <c r="G20" s="3" t="s">
        <v>114</v>
      </c>
    </row>
    <row r="21" spans="1:7" x14ac:dyDescent="0.3">
      <c r="A21" t="str">
        <f t="shared" si="10"/>
        <v>1_1_1_SHU_START</v>
      </c>
      <c r="B21">
        <f t="shared" ref="B21:B33" si="11">B20+1</f>
        <v>2</v>
      </c>
      <c r="C21" t="str">
        <f t="shared" ref="C21:C32" si="12">CONCATENATE(A21, "_", B21, IF(D21&lt;&gt;"", "_"&amp;D21, ""))</f>
        <v>1_1_1_SHU_START_2</v>
      </c>
      <c r="E21" t="str">
        <f>VLOOKUP(F21,[1]HeroData!$A$3:$B$118,2, FALSE)</f>
        <v>ZhangFei</v>
      </c>
      <c r="F21" t="s">
        <v>9</v>
      </c>
      <c r="G21" s="3" t="s">
        <v>113</v>
      </c>
    </row>
    <row r="22" spans="1:7" x14ac:dyDescent="0.3">
      <c r="A22" t="str">
        <f t="shared" si="10"/>
        <v>1_1_1_SHU_START</v>
      </c>
      <c r="B22">
        <f t="shared" si="11"/>
        <v>3</v>
      </c>
      <c r="C22" t="str">
        <f t="shared" si="12"/>
        <v>1_1_1_SHU_START_3</v>
      </c>
      <c r="E22" t="str">
        <f>VLOOKUP(F22,[1]HeroData!$A$3:$B$118,2, FALSE)</f>
        <v>ZhangFei</v>
      </c>
      <c r="F22" t="s">
        <v>9</v>
      </c>
      <c r="G22" s="3" t="s">
        <v>110</v>
      </c>
    </row>
    <row r="23" spans="1:7" ht="33" x14ac:dyDescent="0.3">
      <c r="A23" t="str">
        <f t="shared" si="10"/>
        <v>1_1_1_SHU_START</v>
      </c>
      <c r="B23">
        <f t="shared" si="11"/>
        <v>4</v>
      </c>
      <c r="C23" t="str">
        <f t="shared" si="12"/>
        <v>1_1_1_SHU_START_4</v>
      </c>
      <c r="E23" t="str">
        <f>VLOOKUP(F23,[1]HeroData!$A$3:$B$118,2, FALSE)</f>
        <v>GuanYu</v>
      </c>
      <c r="F23" t="s">
        <v>7</v>
      </c>
      <c r="G23" s="3" t="s">
        <v>109</v>
      </c>
    </row>
    <row r="24" spans="1:7" ht="33" x14ac:dyDescent="0.3">
      <c r="A24" t="str">
        <f t="shared" si="10"/>
        <v>1_1_1_SHU_START</v>
      </c>
      <c r="B24">
        <f t="shared" si="11"/>
        <v>5</v>
      </c>
      <c r="C24" t="str">
        <f t="shared" si="12"/>
        <v>1_1_1_SHU_START_5</v>
      </c>
      <c r="E24" t="str">
        <f>VLOOKUP(F24,[1]HeroData!$A$3:$B$118,2, FALSE)</f>
        <v>LiuBei</v>
      </c>
      <c r="F24" t="s">
        <v>5</v>
      </c>
      <c r="G24" s="3" t="s">
        <v>118</v>
      </c>
    </row>
    <row r="25" spans="1:7" ht="33" x14ac:dyDescent="0.3">
      <c r="A25" t="str">
        <f t="shared" si="10"/>
        <v>1_1_1_SHU_START</v>
      </c>
      <c r="B25">
        <f t="shared" si="11"/>
        <v>6</v>
      </c>
      <c r="C25" t="str">
        <f t="shared" si="12"/>
        <v>1_1_1_SHU_START_6</v>
      </c>
      <c r="E25" t="str">
        <f>VLOOKUP(F25,[1]HeroData!$A$3:$B$118,2, FALSE)</f>
        <v>LiuBei</v>
      </c>
      <c r="F25" t="s">
        <v>5</v>
      </c>
      <c r="G25" s="3" t="s">
        <v>119</v>
      </c>
    </row>
    <row r="26" spans="1:7" x14ac:dyDescent="0.3">
      <c r="A26" t="str">
        <f t="shared" si="10"/>
        <v>1_1_1_SHU_START</v>
      </c>
      <c r="B26">
        <f t="shared" si="11"/>
        <v>7</v>
      </c>
      <c r="C26" t="str">
        <f t="shared" si="12"/>
        <v>1_1_1_SHU_START_7_1</v>
      </c>
      <c r="D26">
        <v>1</v>
      </c>
      <c r="E26" t="str">
        <f>VLOOKUP(F26,[1]HeroData!$A$3:$B$118,2, FALSE)</f>
        <v>ZhangFei</v>
      </c>
      <c r="F26" t="s">
        <v>9</v>
      </c>
      <c r="G26" s="3" t="s">
        <v>116</v>
      </c>
    </row>
    <row r="27" spans="1:7" x14ac:dyDescent="0.3">
      <c r="A27" t="str">
        <f t="shared" si="10"/>
        <v>1_1_1_SHU_START</v>
      </c>
      <c r="B27">
        <f t="shared" si="11"/>
        <v>8</v>
      </c>
      <c r="C27" t="str">
        <f t="shared" si="12"/>
        <v>1_1_1_SHU_START_8_1</v>
      </c>
      <c r="D27">
        <v>1</v>
      </c>
      <c r="E27" t="str">
        <f>VLOOKUP(F27,[1]HeroData!$A$3:$B$118,2, FALSE)</f>
        <v>GuanYu</v>
      </c>
      <c r="F27" t="s">
        <v>7</v>
      </c>
      <c r="G27" s="3" t="s">
        <v>117</v>
      </c>
    </row>
    <row r="28" spans="1:7" x14ac:dyDescent="0.3">
      <c r="A28" t="str">
        <f t="shared" si="10"/>
        <v>1_1_1_SHU_START</v>
      </c>
      <c r="B28">
        <f t="shared" si="11"/>
        <v>9</v>
      </c>
      <c r="C28" t="str">
        <f t="shared" si="12"/>
        <v>1_1_1_SHU_START_9_2</v>
      </c>
      <c r="D28">
        <v>2</v>
      </c>
      <c r="E28" t="str">
        <f>VLOOKUP(F28,[1]HeroData!$A$3:$B$118,2, FALSE)</f>
        <v>ZhangFei</v>
      </c>
      <c r="F28" t="s">
        <v>9</v>
      </c>
      <c r="G28" s="3" t="s">
        <v>121</v>
      </c>
    </row>
    <row r="29" spans="1:7" x14ac:dyDescent="0.3">
      <c r="A29" t="str">
        <f t="shared" si="10"/>
        <v>1_1_1_SHU_START</v>
      </c>
      <c r="B29">
        <f t="shared" si="11"/>
        <v>10</v>
      </c>
      <c r="C29" t="str">
        <f t="shared" si="12"/>
        <v>1_1_1_SHU_START_10_2</v>
      </c>
      <c r="D29">
        <v>2</v>
      </c>
      <c r="E29" t="str">
        <f>VLOOKUP(F29,[1]HeroData!$A$3:$B$118,2, FALSE)</f>
        <v>LiuBei</v>
      </c>
      <c r="F29" t="s">
        <v>5</v>
      </c>
      <c r="G29" s="3" t="s">
        <v>122</v>
      </c>
    </row>
    <row r="30" spans="1:7" x14ac:dyDescent="0.3">
      <c r="A30" t="str">
        <f t="shared" si="10"/>
        <v>1_1_1_SHU_START</v>
      </c>
      <c r="B30">
        <f t="shared" si="11"/>
        <v>11</v>
      </c>
      <c r="C30" t="str">
        <f t="shared" si="12"/>
        <v>1_1_1_SHU_START_11_2</v>
      </c>
      <c r="D30">
        <v>2</v>
      </c>
      <c r="E30" t="str">
        <f>VLOOKUP(F30,[1]HeroData!$A$3:$B$118,2, FALSE)</f>
        <v>GuanYu</v>
      </c>
      <c r="F30" t="s">
        <v>7</v>
      </c>
      <c r="G30" s="3" t="s">
        <v>123</v>
      </c>
    </row>
    <row r="31" spans="1:7" x14ac:dyDescent="0.3">
      <c r="A31" t="str">
        <f t="shared" si="10"/>
        <v>1_1_1_SHU_START</v>
      </c>
      <c r="B31">
        <f t="shared" si="11"/>
        <v>12</v>
      </c>
      <c r="C31" t="str">
        <f t="shared" si="12"/>
        <v>1_1_1_SHU_START_12</v>
      </c>
      <c r="E31" t="str">
        <f>VLOOKUP(F31,[1]HeroData!$A$3:$B$118,2, FALSE)</f>
        <v>LiuBei</v>
      </c>
      <c r="F31" t="s">
        <v>5</v>
      </c>
      <c r="G31" s="3" t="s">
        <v>111</v>
      </c>
    </row>
    <row r="32" spans="1:7" x14ac:dyDescent="0.3">
      <c r="A32" t="str">
        <f t="shared" si="10"/>
        <v>1_1_1_SHU_START</v>
      </c>
      <c r="B32">
        <f t="shared" si="11"/>
        <v>13</v>
      </c>
      <c r="C32" t="str">
        <f t="shared" si="12"/>
        <v>1_1_1_SHU_START_13</v>
      </c>
      <c r="E32" t="str">
        <f>VLOOKUP(F32,[1]HeroData!$A$3:$B$118,2, FALSE)</f>
        <v>ZhangFei</v>
      </c>
      <c r="F32" t="s">
        <v>9</v>
      </c>
      <c r="G32" s="3" t="s">
        <v>112</v>
      </c>
    </row>
    <row r="33" spans="1:7" x14ac:dyDescent="0.3">
      <c r="A33" t="str">
        <f t="shared" si="10"/>
        <v>1_1_1_SHU_START</v>
      </c>
      <c r="B33">
        <f t="shared" si="11"/>
        <v>14</v>
      </c>
      <c r="C33" t="str">
        <f t="shared" ref="C33" si="13">CONCATENATE(A33, "_", B33, IF(D33&lt;&gt;"", "_"&amp;D33, ""))</f>
        <v>1_1_1_SHU_START_14</v>
      </c>
      <c r="E33" t="str">
        <f>VLOOKUP(F33,[1]HeroData!$A$3:$B$118,2, FALSE)</f>
        <v>GuanYu</v>
      </c>
      <c r="F33" t="s">
        <v>7</v>
      </c>
      <c r="G33" s="3" t="s">
        <v>112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Overview</vt:lpstr>
      <vt:lpstr>String</vt:lpstr>
      <vt:lpstr>String_Mission</vt:lpstr>
      <vt:lpstr>String_Hero</vt:lpstr>
      <vt:lpstr>String_Treasure</vt:lpstr>
      <vt:lpstr>String_ScenarioTalk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2026-06-17T06:54:15Z</dcterms:modified>
</cp:coreProperties>
</file>