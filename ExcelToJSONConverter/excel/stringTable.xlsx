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06B1998-CFC8-48B8-95FE-6B509F98ECC4}" xr6:coauthVersionLast="47" xr6:coauthVersionMax="47" xr10:uidLastSave="{00000000-0000-0000-0000-000000000000}"/>
  <bookViews>
    <workbookView xWindow="-28920" yWindow="1395" windowWidth="29040" windowHeight="16440" tabRatio="906" activeTab="1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  <sheet name="String_Alert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3" i="4" l="1"/>
  <c r="E202" i="4"/>
  <c r="E201" i="4"/>
  <c r="E200" i="4"/>
  <c r="E199" i="4"/>
  <c r="E198" i="4"/>
  <c r="E197" i="4"/>
  <c r="E196" i="4"/>
  <c r="E195" i="4"/>
  <c r="E194" i="4"/>
  <c r="E193" i="4"/>
  <c r="E192" i="4"/>
  <c r="E191" i="4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190" i="4"/>
  <c r="E189" i="4"/>
  <c r="E188" i="4"/>
  <c r="E187" i="4"/>
  <c r="E186" i="4"/>
  <c r="E185" i="4"/>
  <c r="E184" i="4"/>
  <c r="E183" i="4"/>
  <c r="E182" i="4"/>
  <c r="E120" i="4"/>
  <c r="E113" i="4"/>
  <c r="E181" i="4"/>
  <c r="E180" i="4"/>
  <c r="E179" i="4"/>
  <c r="E178" i="4"/>
  <c r="E177" i="4"/>
  <c r="E44" i="13"/>
  <c r="E43" i="13"/>
  <c r="E42" i="13"/>
  <c r="E41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40" i="13"/>
  <c r="E13" i="11" l="1"/>
  <c r="B13" i="11"/>
  <c r="E11" i="11"/>
  <c r="B11" i="11"/>
  <c r="E9" i="11"/>
  <c r="B9" i="11"/>
  <c r="E176" i="4"/>
  <c r="E175" i="4"/>
  <c r="E174" i="4"/>
  <c r="E173" i="4"/>
  <c r="E172" i="4"/>
  <c r="B173" i="5"/>
  <c r="C171" i="5"/>
  <c r="C172" i="5"/>
  <c r="C173" i="5"/>
  <c r="B174" i="5"/>
  <c r="C174" i="5" s="1"/>
  <c r="B175" i="5"/>
  <c r="C175" i="5"/>
  <c r="B176" i="5"/>
  <c r="C176" i="5"/>
  <c r="B177" i="5"/>
  <c r="C177" i="5"/>
  <c r="B178" i="5"/>
  <c r="B179" i="5" s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300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65" i="5"/>
  <c r="E239" i="5"/>
  <c r="E238" i="5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99" i="5"/>
  <c r="E198" i="5"/>
  <c r="E193" i="5"/>
  <c r="E192" i="5"/>
  <c r="E190" i="5"/>
  <c r="E189" i="5"/>
  <c r="E188" i="5"/>
  <c r="E185" i="5"/>
  <c r="E184" i="5"/>
  <c r="E183" i="5"/>
  <c r="E182" i="5"/>
  <c r="E181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71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5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119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8" i="5"/>
  <c r="E17" i="5"/>
  <c r="E15" i="5"/>
  <c r="E14" i="5"/>
  <c r="E13" i="5"/>
  <c r="E12" i="5"/>
  <c r="E11" i="5"/>
  <c r="E9" i="5"/>
  <c r="E8" i="5"/>
  <c r="E6" i="5"/>
  <c r="E4" i="5"/>
  <c r="E3" i="5"/>
  <c r="C178" i="5" l="1"/>
  <c r="C179" i="5"/>
  <c r="B180" i="5"/>
  <c r="E6" i="13"/>
  <c r="E5" i="13"/>
  <c r="E4" i="13"/>
  <c r="E3" i="13"/>
  <c r="E7" i="13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52" i="10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18" i="12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9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96" i="8"/>
  <c r="G95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78" i="8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300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65" i="5"/>
  <c r="I238" i="5"/>
  <c r="I237" i="5"/>
  <c r="I236" i="5"/>
  <c r="I235" i="5"/>
  <c r="I234" i="5"/>
  <c r="I239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32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99" i="5"/>
  <c r="I170" i="5"/>
  <c r="I169" i="5"/>
  <c r="I168" i="5"/>
  <c r="I167" i="5"/>
  <c r="I166" i="5"/>
  <c r="I165" i="5"/>
  <c r="I164" i="5"/>
  <c r="I163" i="5"/>
  <c r="I162" i="5"/>
  <c r="I161" i="5"/>
  <c r="I171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5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119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52" i="5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47" i="7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02" i="3"/>
  <c r="E11" i="6"/>
  <c r="E10" i="6"/>
  <c r="E9" i="6"/>
  <c r="E8" i="6"/>
  <c r="E7" i="6"/>
  <c r="E6" i="6"/>
  <c r="E5" i="6"/>
  <c r="E4" i="6"/>
  <c r="E3" i="6"/>
  <c r="E12" i="6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19" i="4"/>
  <c r="E118" i="4"/>
  <c r="E117" i="4"/>
  <c r="E116" i="4"/>
  <c r="E115" i="4"/>
  <c r="E114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171" i="4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2" i="11"/>
  <c r="E10" i="11"/>
  <c r="E8" i="11"/>
  <c r="E7" i="11"/>
  <c r="E6" i="11"/>
  <c r="E5" i="11"/>
  <c r="E4" i="11"/>
  <c r="E3" i="11"/>
  <c r="B26" i="9"/>
  <c r="D26" i="9" s="1"/>
  <c r="D30" i="9"/>
  <c r="D31" i="9"/>
  <c r="D32" i="9"/>
  <c r="D33" i="9"/>
  <c r="D34" i="9"/>
  <c r="D35" i="9"/>
  <c r="D36" i="9"/>
  <c r="D37" i="9"/>
  <c r="D38" i="9"/>
  <c r="D20" i="9"/>
  <c r="B21" i="9"/>
  <c r="B22" i="9" s="1"/>
  <c r="B23" i="9" s="1"/>
  <c r="B24" i="9" s="1"/>
  <c r="D24" i="9" s="1"/>
  <c r="D19" i="9"/>
  <c r="D16" i="12"/>
  <c r="D15" i="12"/>
  <c r="D14" i="12"/>
  <c r="D13" i="12"/>
  <c r="D12" i="12"/>
  <c r="D11" i="12"/>
  <c r="D10" i="12"/>
  <c r="D9" i="12"/>
  <c r="D8" i="12"/>
  <c r="D7" i="12"/>
  <c r="D6" i="12"/>
  <c r="D5" i="12"/>
  <c r="D17" i="12"/>
  <c r="B3" i="11"/>
  <c r="B12" i="11"/>
  <c r="B40" i="11"/>
  <c r="B39" i="11"/>
  <c r="B38" i="11"/>
  <c r="B37" i="11"/>
  <c r="B36" i="11"/>
  <c r="B35" i="11"/>
  <c r="B23" i="11"/>
  <c r="B33" i="11"/>
  <c r="B32" i="11"/>
  <c r="B31" i="11"/>
  <c r="B30" i="11"/>
  <c r="B29" i="11"/>
  <c r="B28" i="11"/>
  <c r="B27" i="11"/>
  <c r="B26" i="11"/>
  <c r="B25" i="11"/>
  <c r="B24" i="11"/>
  <c r="B22" i="11"/>
  <c r="B21" i="11"/>
  <c r="B20" i="11"/>
  <c r="B19" i="11"/>
  <c r="B18" i="11"/>
  <c r="B17" i="11"/>
  <c r="B16" i="11"/>
  <c r="B15" i="11"/>
  <c r="B14" i="11"/>
  <c r="B34" i="11"/>
  <c r="C180" i="5" l="1"/>
  <c r="B181" i="5"/>
  <c r="D23" i="9"/>
  <c r="B25" i="9"/>
  <c r="D22" i="9"/>
  <c r="D21" i="9"/>
  <c r="B10" i="11"/>
  <c r="B8" i="11"/>
  <c r="B7" i="11"/>
  <c r="B6" i="11"/>
  <c r="B5" i="11"/>
  <c r="B4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4" i="9"/>
  <c r="D4" i="9" s="1"/>
  <c r="D3" i="9"/>
  <c r="A4" i="9"/>
  <c r="A5" i="9" s="1"/>
  <c r="A6" i="9" s="1"/>
  <c r="A7" i="9" s="1"/>
  <c r="A8" i="9" s="1"/>
  <c r="A9" i="9" s="1"/>
  <c r="A10" i="9" s="1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B242" i="5"/>
  <c r="B202" i="5"/>
  <c r="B203" i="5" s="1"/>
  <c r="B204" i="5" s="1"/>
  <c r="C241" i="5"/>
  <c r="C201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C161" i="5"/>
  <c r="B122" i="5"/>
  <c r="B123" i="5" s="1"/>
  <c r="B124" i="5" s="1"/>
  <c r="C124" i="5" s="1"/>
  <c r="C121" i="5"/>
  <c r="C181" i="5" l="1"/>
  <c r="B182" i="5"/>
  <c r="D10" i="9"/>
  <c r="A11" i="9"/>
  <c r="B5" i="9"/>
  <c r="B27" i="9"/>
  <c r="D25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182" i="5" l="1"/>
  <c r="B183" i="5"/>
  <c r="D5" i="9"/>
  <c r="B6" i="9"/>
  <c r="B28" i="9"/>
  <c r="D27" i="9"/>
  <c r="D11" i="9"/>
  <c r="A12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A28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A4" i="5"/>
  <c r="B4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84" i="5" l="1"/>
  <c r="C183" i="5"/>
  <c r="A13" i="9"/>
  <c r="D12" i="9"/>
  <c r="D28" i="9"/>
  <c r="B29" i="9"/>
  <c r="D29" i="9" s="1"/>
  <c r="D6" i="9"/>
  <c r="B7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84" i="5" l="1"/>
  <c r="B185" i="5"/>
  <c r="D7" i="9"/>
  <c r="B8" i="9"/>
  <c r="D13" i="9"/>
  <c r="A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B186" i="5" l="1"/>
  <c r="C185" i="5"/>
  <c r="A15" i="9"/>
  <c r="D14" i="9"/>
  <c r="D8" i="9"/>
  <c r="B9" i="9"/>
  <c r="D9" i="9" s="1"/>
  <c r="A250" i="5"/>
  <c r="C249" i="5"/>
  <c r="C167" i="5"/>
  <c r="A168" i="5"/>
  <c r="B209" i="5"/>
  <c r="C208" i="5"/>
  <c r="C129" i="5"/>
  <c r="B130" i="5"/>
  <c r="C57" i="5"/>
  <c r="C58" i="5"/>
  <c r="A59" i="5"/>
  <c r="A6" i="5"/>
  <c r="B187" i="5" l="1"/>
  <c r="C186" i="5"/>
  <c r="D15" i="9"/>
  <c r="A16" i="9"/>
  <c r="A251" i="5"/>
  <c r="C250" i="5"/>
  <c r="C168" i="5"/>
  <c r="A169" i="5"/>
  <c r="C209" i="5"/>
  <c r="B210" i="5"/>
  <c r="C130" i="5"/>
  <c r="B131" i="5"/>
  <c r="C59" i="5"/>
  <c r="A60" i="5"/>
  <c r="A7" i="5"/>
  <c r="C187" i="5" l="1"/>
  <c r="B188" i="5"/>
  <c r="A17" i="9"/>
  <c r="D16" i="9"/>
  <c r="C251" i="5"/>
  <c r="A252" i="5"/>
  <c r="A170" i="5"/>
  <c r="C169" i="5"/>
  <c r="C210" i="5"/>
  <c r="B211" i="5"/>
  <c r="C131" i="5"/>
  <c r="B132" i="5"/>
  <c r="C60" i="5"/>
  <c r="A61" i="5"/>
  <c r="A8" i="5"/>
  <c r="B189" i="5" l="1"/>
  <c r="C188" i="5"/>
  <c r="D17" i="9"/>
  <c r="A18" i="9"/>
  <c r="D18" i="9" s="1"/>
  <c r="C252" i="5"/>
  <c r="A253" i="5"/>
  <c r="C170" i="5"/>
  <c r="A171" i="5"/>
  <c r="A172" i="5" s="1"/>
  <c r="C211" i="5"/>
  <c r="B212" i="5"/>
  <c r="C132" i="5"/>
  <c r="B133" i="5"/>
  <c r="A62" i="5"/>
  <c r="C61" i="5"/>
  <c r="A9" i="5"/>
  <c r="B190" i="5" l="1"/>
  <c r="C189" i="5"/>
  <c r="A173" i="5"/>
  <c r="C253" i="5"/>
  <c r="A254" i="5"/>
  <c r="C212" i="5"/>
  <c r="B213" i="5"/>
  <c r="B134" i="5"/>
  <c r="C133" i="5"/>
  <c r="A63" i="5"/>
  <c r="C62" i="5"/>
  <c r="A10" i="5"/>
  <c r="B191" i="5" l="1"/>
  <c r="C190" i="5"/>
  <c r="A255" i="5"/>
  <c r="C254" i="5"/>
  <c r="B214" i="5"/>
  <c r="C213" i="5"/>
  <c r="C134" i="5"/>
  <c r="B135" i="5"/>
  <c r="C63" i="5"/>
  <c r="A64" i="5"/>
  <c r="A11" i="5"/>
  <c r="B192" i="5" l="1"/>
  <c r="C191" i="5"/>
  <c r="C255" i="5"/>
  <c r="A256" i="5"/>
  <c r="A174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92" i="5" l="1"/>
  <c r="B193" i="5"/>
  <c r="A257" i="5"/>
  <c r="C256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C193" i="5" l="1"/>
  <c r="B194" i="5"/>
  <c r="A258" i="5"/>
  <c r="C257" i="5"/>
  <c r="A176" i="5"/>
  <c r="C216" i="5"/>
  <c r="B217" i="5"/>
  <c r="B138" i="5"/>
  <c r="C137" i="5"/>
  <c r="C66" i="5"/>
  <c r="A67" i="5"/>
  <c r="C8" i="5"/>
  <c r="B9" i="5"/>
  <c r="A31" i="5"/>
  <c r="B195" i="5" l="1"/>
  <c r="C194" i="5"/>
  <c r="C258" i="5"/>
  <c r="A259" i="5"/>
  <c r="A177" i="5"/>
  <c r="C217" i="5"/>
  <c r="B218" i="5"/>
  <c r="C138" i="5"/>
  <c r="B139" i="5"/>
  <c r="C67" i="5"/>
  <c r="A68" i="5"/>
  <c r="C9" i="5"/>
  <c r="B10" i="5"/>
  <c r="A32" i="5"/>
  <c r="C195" i="5" l="1"/>
  <c r="B196" i="5"/>
  <c r="A260" i="5"/>
  <c r="C259" i="5"/>
  <c r="A178" i="5"/>
  <c r="C218" i="5"/>
  <c r="B219" i="5"/>
  <c r="B140" i="5"/>
  <c r="C139" i="5"/>
  <c r="C68" i="5"/>
  <c r="A69" i="5"/>
  <c r="C10" i="5"/>
  <c r="B11" i="5"/>
  <c r="A33" i="5"/>
  <c r="B197" i="5" l="1"/>
  <c r="C196" i="5"/>
  <c r="C260" i="5"/>
  <c r="A261" i="5"/>
  <c r="A179" i="5"/>
  <c r="B220" i="5"/>
  <c r="C219" i="5"/>
  <c r="B141" i="5"/>
  <c r="C140" i="5"/>
  <c r="A70" i="5"/>
  <c r="C69" i="5"/>
  <c r="C11" i="5"/>
  <c r="B12" i="5"/>
  <c r="A34" i="5"/>
  <c r="B198" i="5" l="1"/>
  <c r="C197" i="5"/>
  <c r="A262" i="5"/>
  <c r="C261" i="5"/>
  <c r="A180" i="5"/>
  <c r="B221" i="5"/>
  <c r="C220" i="5"/>
  <c r="B142" i="5"/>
  <c r="C141" i="5"/>
  <c r="C70" i="5"/>
  <c r="A71" i="5"/>
  <c r="B13" i="5"/>
  <c r="C12" i="5"/>
  <c r="A35" i="5"/>
  <c r="C198" i="5" l="1"/>
  <c r="B199" i="5"/>
  <c r="C199" i="5" s="1"/>
  <c r="A263" i="5"/>
  <c r="C262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B223" i="5"/>
  <c r="C222" i="5"/>
  <c r="C143" i="5"/>
  <c r="B144" i="5"/>
  <c r="A73" i="5"/>
  <c r="C72" i="5"/>
  <c r="C14" i="5"/>
  <c r="B15" i="5"/>
  <c r="A37" i="5"/>
  <c r="A265" i="5" l="1"/>
  <c r="C264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A194" i="5"/>
  <c r="C234" i="5"/>
  <c r="B235" i="5"/>
  <c r="C155" i="5"/>
  <c r="B156" i="5"/>
  <c r="C86" i="5"/>
  <c r="A87" i="5"/>
  <c r="A49" i="5"/>
  <c r="C276" i="5" l="1"/>
  <c r="A277" i="5"/>
  <c r="A195" i="5"/>
  <c r="B236" i="5"/>
  <c r="C235" i="5"/>
  <c r="B157" i="5"/>
  <c r="C156" i="5"/>
  <c r="C87" i="5"/>
  <c r="A88" i="5"/>
  <c r="A50" i="5"/>
  <c r="A278" i="5" l="1"/>
  <c r="C277" i="5"/>
  <c r="A196" i="5"/>
  <c r="C236" i="5"/>
  <c r="B237" i="5"/>
  <c r="B238" i="5" s="1"/>
  <c r="B158" i="5"/>
  <c r="C157" i="5"/>
  <c r="A89" i="5"/>
  <c r="C88" i="5"/>
  <c r="A51" i="5"/>
  <c r="A279" i="5" l="1"/>
  <c r="C278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29" i="5"/>
  <c r="A91" i="5"/>
  <c r="C90" i="5"/>
  <c r="B31" i="5"/>
  <c r="A281" i="5" l="1"/>
  <c r="C280" i="5"/>
  <c r="A199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<sst xmlns="http://schemas.openxmlformats.org/spreadsheetml/2006/main" count="2498" uniqueCount="1423">
  <si>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</si>
  <si>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</si>
  <si>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</si>
  <si>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</si>
  <si>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</si>
  <si>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</si>
  <si>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</si>
  <si>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</si>
  <si>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</si>
  <si>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</si>
  <si>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</si>
  <si>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</si>
  <si>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</si>
  <si>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</si>
  <si>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</si>
  <si>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</si>
  <si>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</si>
  <si>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</si>
  <si>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</si>
  <si>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</si>
  <si>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</si>
  <si>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</si>
  <si>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</si>
  <si>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</si>
  <si>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</si>
  <si>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</si>
  <si>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</si>
  <si>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</si>
  <si>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</si>
  <si>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</si>
  <si>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</si>
  <si>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</si>
  <si>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</si>
  <si>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</si>
  <si>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</si>
  <si>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</si>
  <si>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</si>
  <si>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</si>
  <si>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</si>
  <si>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</si>
  <si>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</si>
  <si>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</si>
  <si>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</si>
  <si>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</si>
  <si>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</si>
  <si>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</si>
  <si>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</si>
  <si>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</si>
  <si>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</si>
  <si>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</si>
  <si>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</si>
  <si>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</si>
  <si>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</si>
  <si>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</si>
  <si>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</si>
  <si>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</si>
  <si>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</si>
  <si>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</si>
  <si>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</si>
  <si>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</si>
  <si>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</si>
  <si>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</si>
  <si>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</si>
  <si>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</si>
  <si>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</si>
  <si>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</si>
  <si>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</si>
  <si>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</si>
  <si>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</si>
  <si>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</si>
  <si>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</si>
  <si>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</si>
  <si>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</si>
  <si>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</si>
  <si>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</si>
  <si>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</si>
  <si>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</si>
  <si>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</si>
  <si>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</si>
  <si>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</si>
  <si>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</si>
  <si>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</si>
  <si>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</si>
  <si>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</si>
  <si>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</si>
  <si>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</si>
  <si>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</si>
  <si>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</si>
  <si>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</si>
  <si>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</si>
  <si>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</si>
  <si>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</si>
  <si>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</si>
  <si>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</si>
  <si>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</si>
  <si>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</si>
  <si>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</si>
  <si>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</si>
  <si>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</si>
  <si>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</si>
  <si>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</si>
  <si>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</si>
  <si>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</si>
  <si>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</si>
  <si>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</si>
  <si>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</si>
  <si>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</si>
  <si>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</si>
  <si>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</si>
  <si>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</si>
  <si>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</si>
  <si>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</si>
  <si>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</si>
  <si>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</si>
  <si>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</si>
  <si>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</si>
  <si>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</si>
  <si>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</si>
  <si>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</si>
  <si>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</si>
  <si>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</si>
  <si>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</si>
  <si>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</si>
  <si>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</si>
  <si>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</si>
  <si>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</si>
  <si>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</si>
  <si>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</si>
  <si>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</si>
  <si>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</si>
  <si>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</si>
  <si>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</si>
  <si>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</si>
  <si>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</si>
  <si>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</si>
  <si>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</si>
  <si>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</si>
  <si>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</si>
  <si>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</si>
  <si>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</si>
  <si>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</si>
  <si>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</si>
  <si>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</si>
  <si>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</si>
  <si>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</si>
  <si>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</si>
  <si>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</si>
  <si>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</si>
  <si>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</si>
  <si>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</si>
  <si>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</si>
  <si>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</si>
  <si>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</si>
  <si>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</si>
  <si>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</si>
  <si>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</si>
  <si>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</si>
  <si>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</si>
  <si>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</si>
  <si>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</si>
  <si>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</si>
  <si>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</si>
  <si>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</si>
  <si>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</si>
  <si>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</si>
  <si>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</si>
  <si>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</si>
  <si>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</si>
  <si>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</si>
  <si>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</si>
  <si>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</si>
  <si>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</si>
  <si>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</si>
  <si>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</si>
  <si>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</si>
  <si>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</si>
  <si>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</si>
  <si>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</si>
  <si>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</si>
  <si>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</si>
  <si>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</si>
  <si>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</si>
  <si>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</si>
  <si>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</si>
  <si>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</si>
  <si>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</si>
  <si>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</si>
  <si>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</si>
  <si>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</si>
  <si>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</si>
  <si>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</si>
  <si>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</si>
  <si>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</si>
  <si>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</si>
  <si>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</si>
  <si>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</si>
  <si>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</si>
  <si>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</si>
  <si>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</si>
  <si>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</si>
  <si>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</si>
  <si>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</si>
  <si>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</si>
  <si>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</si>
  <si>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</si>
  <si>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</si>
  <si>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</si>
  <si>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</si>
  <si>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</si>
  <si>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</si>
  <si>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</si>
  <si>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</si>
  <si>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</si>
  <si>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</si>
  <si>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</si>
  <si>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</si>
  <si>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</si>
  <si>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</si>
  <si>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</si>
  <si>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</si>
  <si>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</si>
  <si>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</si>
  <si>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</si>
  <si>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</si>
  <si>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</si>
  <si>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</si>
  <si>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</si>
  <si>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</si>
  <si>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</si>
  <si>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</si>
  <si>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</si>
  <si>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</si>
  <si>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</si>
  <si>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</si>
  <si>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</si>
  <si>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</si>
  <si>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</si>
  <si>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</si>
  <si>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</si>
  <si>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</si>
  <si>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</si>
  <si>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</si>
  <si>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</si>
  <si>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</si>
  <si>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</si>
  <si>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</si>
  <si>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</si>
  <si>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</si>
  <si>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</si>
  <si>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</si>
  <si>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</si>
  <si>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</si>
  <si>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</si>
  <si>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</si>
  <si>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</si>
  <si>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</si>
  <si>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</si>
  <si>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</si>
  <si>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</si>
  <si>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</si>
  <si>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</si>
  <si>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</si>
  <si>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</si>
  <si>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</si>
  <si>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</si>
  <si>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</si>
  <si>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</si>
  <si>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</si>
  <si>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</si>
  <si>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</si>
  <si>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</si>
  <si>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</si>
  <si>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</si>
  <si>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</si>
  <si>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</si>
  <si>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</si>
  <si>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</si>
  <si>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</si>
  <si>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</si>
  <si>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</si>
  <si>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</si>
  <si>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</si>
  <si>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</si>
  <si>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</si>
  <si>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</si>
  <si>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</si>
  <si>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</si>
  <si>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</si>
  <si>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</si>
  <si>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</si>
  <si>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</si>
  <si>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</si>
  <si>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</si>
  <si>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</si>
  <si>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</si>
  <si>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</si>
  <si>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</si>
  <si>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</si>
  <si>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</si>
  <si>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</si>
  <si>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</si>
  <si>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</si>
  <si>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</si>
  <si>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</si>
  <si>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</si>
  <si>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</si>
  <si>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</si>
  <si>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</si>
  <si>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</si>
  <si>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</si>
  <si>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</si>
  <si>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</si>
  <si>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</si>
  <si>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</si>
  <si>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</si>
  <si>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</si>
  <si>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</si>
  <si>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</si>
  <si>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</si>
  <si>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</si>
  <si>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</si>
  <si>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</si>
  <si>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</si>
  <si>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</si>
  <si>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</si>
  <si>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</si>
  <si>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</si>
  <si>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</si>
  <si>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</si>
  <si>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</si>
  <si>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</si>
  <si>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</si>
  <si>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</si>
  <si>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</si>
  <si>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</si>
  <si>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</si>
  <si>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</si>
  <si>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</si>
  <si>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</si>
  <si>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</si>
  <si>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</si>
  <si>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</si>
  <si>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</si>
  <si>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</si>
  <si>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</si>
  <si>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</si>
  <si>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</si>
  <si>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</si>
  <si>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</si>
  <si>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</si>
  <si>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</si>
  <si>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</si>
  <si>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</si>
  <si>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</si>
  <si>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</si>
  <si>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</si>
  <si>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</si>
  <si>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</si>
  <si>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</si>
  <si>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</si>
  <si>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</si>
  <si>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</si>
  <si>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</si>
  <si>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</si>
  <si>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</si>
  <si>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</si>
  <si>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</si>
  <si>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</si>
  <si>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</si>
  <si>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</si>
  <si>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</si>
  <si>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</si>
  <si>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</si>
  <si>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</si>
  <si>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</si>
  <si>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</si>
  <si>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</si>
  <si>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</si>
  <si>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</si>
  <si>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</si>
  <si>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</si>
  <si>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</si>
  <si>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</si>
  <si>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</si>
  <si>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</si>
  <si>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</si>
  <si>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</si>
  <si>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</si>
  <si>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</si>
  <si>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</si>
  <si>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</si>
  <si>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</si>
  <si>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</si>
  <si>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</si>
  <si>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</si>
  <si>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</si>
  <si>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</si>
  <si>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</si>
  <si>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</si>
  <si>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</si>
  <si>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</si>
  <si>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</si>
  <si>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</si>
  <si>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</si>
  <si>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</si>
  <si>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</si>
  <si>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</si>
  <si>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</si>
  <si>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</si>
  <si>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</si>
  <si>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</si>
  <si>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</si>
  <si>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</si>
  <si>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</si>
  <si>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</si>
  <si>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</si>
  <si>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</si>
  <si>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</si>
  <si>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</si>
  <si>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</si>
  <si>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</si>
  <si>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</si>
  <si>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</si>
  <si>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</si>
  <si>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</si>
  <si>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</si>
  <si>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</si>
  <si>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</si>
  <si>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</si>
  <si>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</si>
  <si>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</si>
  <si>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</si>
  <si>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</si>
  <si>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</si>
  <si>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</si>
  <si>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</si>
  <si>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</si>
  <si>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</si>
  <si>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</si>
  <si>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</si>
  <si>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</si>
  <si>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</si>
  <si>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</si>
  <si>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</si>
  <si>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</si>
  <si>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</si>
  <si>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</si>
  <si>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</si>
  <si>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</si>
  <si>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</si>
  <si>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</si>
  <si>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</si>
  <si>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</si>
  <si>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</si>
  <si>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</si>
  <si>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</si>
  <si>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</si>
  <si>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</si>
  <si>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</si>
  <si>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</si>
  <si>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</si>
  <si>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</si>
  <si>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</si>
  <si>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</si>
  <si>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</si>
  <si>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</si>
  <si>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</si>
  <si>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</si>
  <si>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</si>
  <si>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</si>
  <si>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</si>
  <si>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</si>
  <si>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</si>
  <si>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</si>
  <si>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</si>
  <si>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</si>
  <si>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</si>
  <si>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</si>
  <si>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</si>
  <si>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</si>
  <si>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</si>
  <si>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</si>
  <si>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</si>
  <si>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</si>
  <si>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</si>
  <si>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</si>
  <si>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</si>
  <si>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</si>
  <si>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</si>
  <si>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</si>
  <si>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</si>
  <si>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</si>
  <si>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</si>
  <si>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</si>
  <si>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</si>
  <si>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</si>
  <si>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</si>
  <si>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</si>
  <si>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</si>
  <si>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</si>
  <si>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</si>
  <si>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</si>
  <si>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</si>
  <si>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</si>
  <si>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</si>
  <si>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</si>
  <si>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</si>
  <si>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</si>
  <si>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</si>
  <si>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</si>
  <si>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</si>
  <si>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</si>
  <si>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</si>
  <si>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</si>
  <si>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</si>
  <si>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</si>
  <si>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</si>
  <si>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</si>
  <si>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</si>
  <si>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</si>
  <si>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</si>
  <si>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</si>
  <si>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</si>
  <si>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</si>
  <si>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</si>
  <si>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</si>
  <si>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</si>
  <si>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</si>
  <si>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</si>
  <si>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</si>
  <si>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</si>
  <si>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</si>
  <si>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</si>
  <si>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</si>
  <si>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</si>
  <si>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</si>
  <si>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</si>
  <si>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</si>
  <si>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</si>
  <si>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</si>
  <si>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</si>
  <si>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</si>
  <si>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</si>
  <si>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</si>
  <si>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</si>
  <si>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</si>
  <si>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</si>
  <si>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</si>
  <si>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</si>
  <si>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</si>
  <si>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</si>
  <si>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</si>
  <si>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</si>
  <si>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</si>
  <si>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</si>
  <si>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</si>
  <si>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</si>
  <si>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</si>
  <si>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</si>
  <si>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</si>
  <si>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</si>
  <si>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</si>
  <si>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</si>
  <si>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</si>
  <si>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</si>
  <si>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</si>
  <si>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</si>
  <si>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</si>
  <si>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</si>
  <si>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</si>
  <si>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</si>
  <si>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</si>
  <si>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</si>
  <si>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</si>
  <si>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</si>
  <si>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</si>
  <si>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</si>
  <si>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</si>
  <si>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</si>
  <si>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</si>
  <si>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</si>
  <si>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</si>
  <si>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</si>
  <si>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</si>
  <si>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</si>
  <si>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</si>
  <si>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</si>
  <si>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</si>
  <si>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</si>
  <si>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</si>
  <si>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</si>
  <si>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</si>
  <si>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</si>
  <si>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</si>
  <si>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</si>
  <si>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</si>
  <si>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</si>
  <si>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</si>
  <si>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</si>
  <si>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</si>
  <si>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</si>
  <si>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</si>
  <si>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</si>
  <si>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</si>
  <si>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</si>
  <si>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</si>
  <si>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</si>
  <si>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</si>
  <si>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</si>
  <si>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</si>
  <si>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</si>
  <si>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</si>
  <si>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</si>
  <si>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</si>
  <si>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</si>
  <si>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</si>
  <si>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</si>
  <si>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</si>
  <si>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</si>
  <si>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</si>
  <si>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</si>
  <si>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</si>
  <si>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</si>
  <si>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</si>
  <si>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</si>
  <si>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</si>
  <si>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</si>
  <si>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</si>
  <si>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</si>
  <si>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</si>
  <si>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</si>
  <si>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</si>
  <si>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</si>
  <si>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</si>
  <si>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</si>
  <si>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</si>
  <si>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</si>
  <si>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</si>
  <si>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</si>
  <si>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</si>
  <si>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</si>
  <si>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</si>
  <si>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</si>
  <si>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</si>
  <si>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</si>
  <si>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</si>
  <si>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</si>
  <si>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</si>
  <si>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</si>
  <si>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</si>
  <si>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</si>
  <si>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</si>
  <si>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</si>
  <si>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</si>
  <si>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</si>
  <si>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</si>
  <si>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</si>
  <si>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</si>
  <si>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</si>
  <si>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</si>
  <si>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</si>
  <si>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</si>
  <si>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</si>
  <si>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</si>
  <si>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</si>
  <si>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</si>
  <si>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</si>
  <si>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</si>
  <si>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</si>
  <si>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</si>
  <si>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</si>
  <si>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</si>
  <si>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</si>
  <si>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</si>
  <si>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</si>
  <si>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</si>
  <si>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</si>
  <si>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</si>
  <si>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</si>
  <si>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</si>
  <si>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</si>
  <si>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</si>
  <si>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</si>
  <si>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</si>
  <si>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</si>
  <si>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</si>
  <si>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</si>
  <si>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</si>
  <si>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</si>
  <si>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</si>
  <si>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</si>
  <si>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</si>
  <si>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</si>
  <si>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</si>
  <si>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</si>
  <si>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</si>
  <si>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</si>
  <si>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</si>
  <si>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</si>
  <si>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</si>
  <si>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</si>
  <si>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</si>
  <si>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</si>
  <si>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</si>
  <si>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</si>
  <si>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</si>
  <si>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</si>
  <si>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</si>
  <si>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</si>
  <si>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</si>
  <si>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</si>
  <si>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</si>
  <si>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</si>
  <si>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</si>
  <si>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</si>
  <si>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</si>
  <si>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</si>
  <si>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</si>
  <si>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</si>
  <si>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</si>
  <si>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</si>
  <si>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</si>
  <si>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</si>
  <si>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</si>
  <si>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</si>
  <si>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</si>
  <si>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</si>
  <si>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</si>
  <si>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</si>
  <si>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</si>
  <si>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</si>
  <si>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</si>
  <si>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</si>
  <si>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</si>
  <si>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</si>
  <si>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</si>
  <si>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</si>
  <si>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</si>
  <si>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</si>
  <si>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</si>
  <si>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</si>
  <si>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</si>
  <si>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</si>
  <si>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</si>
  <si>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</si>
  <si>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</si>
  <si>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</si>
  <si>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</si>
  <si>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</si>
  <si>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</si>
  <si>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</si>
  <si>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</si>
  <si>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</si>
  <si>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</si>
  <si>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</si>
  <si>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</si>
  <si>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</si>
  <si>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</si>
  <si>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</si>
  <si>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</si>
  <si>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</si>
  <si>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</si>
  <si>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</si>
  <si>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</si>
  <si>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</si>
  <si>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</si>
  <si>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</si>
  <si>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</si>
  <si>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</si>
  <si>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</si>
  <si>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</si>
  <si>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</si>
  <si>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</si>
  <si>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</si>
  <si>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</si>
  <si>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</si>
  <si>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</si>
  <si>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</si>
  <si>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</si>
  <si>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</si>
  <si>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</si>
  <si>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</si>
  <si>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</si>
  <si>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</si>
  <si>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</si>
  <si>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</si>
  <si>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</si>
  <si>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</si>
  <si>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</si>
  <si>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</si>
  <si>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</si>
  <si>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</si>
  <si>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</si>
  <si>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</si>
  <si>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</si>
  <si>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</si>
  <si>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</si>
  <si>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</si>
  <si>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</si>
  <si>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</si>
  <si>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</si>
  <si>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</si>
  <si>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</si>
  <si>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</si>
  <si>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</si>
  <si>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</si>
  <si>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</si>
  <si>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</si>
  <si>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</si>
  <si>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</si>
  <si>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</si>
  <si>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</si>
  <si>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</si>
  <si>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</si>
  <si>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</si>
  <si>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</si>
  <si>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</si>
  <si>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</si>
  <si>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</si>
  <si>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</si>
  <si>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</si>
  <si>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</si>
  <si>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</si>
  <si>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</si>
  <si>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</si>
  <si>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</si>
  <si>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</si>
  <si>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</si>
  <si>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</si>
  <si>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</si>
  <si>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</si>
  <si>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</si>
  <si>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</si>
  <si>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</si>
  <si>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</si>
  <si>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</si>
  <si>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</si>
  <si>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</si>
  <si>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</si>
  <si>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</si>
  <si>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</si>
  <si>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</si>
  <si>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</si>
  <si>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</si>
  <si>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</si>
  <si>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</si>
  <si>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</si>
  <si>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</si>
  <si>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</si>
  <si>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</si>
  <si>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</si>
  <si>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</si>
  <si>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</si>
  <si>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</si>
  <si>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</si>
  <si>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</si>
  <si>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</si>
  <si>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</si>
  <si>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</si>
  <si>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</si>
  <si>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</si>
  <si>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</si>
  <si>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</si>
  <si>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</si>
  <si>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</si>
  <si>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</si>
  <si>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</si>
  <si>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</si>
  <si>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</si>
  <si>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</si>
  <si>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</si>
  <si>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</si>
  <si>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</si>
  <si>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</si>
  <si>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</si>
  <si>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</si>
  <si>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</si>
  <si>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</si>
  <si>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</si>
  <si>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</si>
  <si>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</si>
  <si>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</si>
  <si>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</si>
  <si>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</si>
  <si>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</si>
  <si>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</si>
  <si>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</si>
  <si>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</si>
  <si>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</si>
  <si>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</si>
  <si>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</si>
  <si>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</si>
  <si>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</si>
  <si>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</si>
  <si>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</si>
  <si>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</si>
  <si>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</si>
  <si>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</si>
  <si>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</si>
  <si>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</si>
  <si>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</si>
  <si>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</si>
  <si>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</si>
  <si>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</si>
  <si>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</si>
  <si>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</si>
  <si>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</si>
  <si>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</si>
  <si>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</si>
  <si>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</si>
  <si>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</si>
  <si>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</si>
  <si>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</si>
  <si>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</si>
  <si>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</si>
  <si>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</si>
  <si>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</si>
  <si>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</si>
  <si>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</si>
  <si>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</si>
  <si>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</si>
  <si>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</si>
  <si>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</si>
  <si>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</si>
  <si>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</si>
  <si>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</si>
  <si>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</si>
  <si>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</si>
  <si>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</si>
  <si>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</si>
  <si>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</si>
  <si>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</si>
  <si>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</si>
  <si>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</si>
  <si>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</si>
  <si>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</si>
  <si>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</si>
  <si>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</si>
  <si>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</si>
  <si>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</si>
  <si>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</si>
  <si>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</si>
  <si>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</si>
  <si>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</si>
  <si>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</si>
  <si>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</si>
  <si>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</si>
  <si>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</si>
  <si>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</si>
  <si>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</si>
  <si>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</si>
  <si>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</si>
  <si>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</si>
  <si>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</si>
  <si>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</si>
  <si>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</si>
  <si>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</si>
  <si>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</si>
  <si>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</si>
  <si>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</si>
  <si>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</si>
  <si>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</si>
  <si>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</si>
  <si>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</si>
  <si>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</si>
  <si>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</si>
  <si>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</si>
  <si>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</si>
  <si>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</si>
  <si>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</si>
  <si>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</si>
  <si>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</si>
  <si>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</si>
  <si>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</si>
  <si>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</si>
  <si>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</si>
  <si>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</si>
  <si>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</si>
  <si>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</si>
  <si>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</si>
  <si>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</si>
  <si>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</si>
  <si>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</si>
  <si>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</si>
  <si>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</si>
  <si>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</si>
  <si>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</si>
  <si>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</si>
  <si>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</si>
  <si>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</si>
  <si>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</si>
  <si>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</si>
  <si>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</si>
  <si>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</si>
  <si>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</si>
  <si>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</si>
  <si>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</si>
  <si>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</si>
  <si>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</si>
  <si>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</si>
  <si>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</si>
  <si>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Item</t>
  </si>
  <si>
    <t>재화</t>
    <phoneticPr fontId="1" type="noConversion"/>
  </si>
  <si>
    <t>번들</t>
    <phoneticPr fontId="1" type="noConversion"/>
  </si>
  <si>
    <t>아이템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</si>
  <si>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</si>
  <si>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</si>
  <si>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</si>
  <si>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</si>
  <si>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</si>
  <si>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</si>
  <si>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</si>
  <si>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</si>
  <si>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</si>
  <si>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</si>
  <si>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</si>
  <si>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</si>
  <si>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</si>
  <si>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</si>
  <si>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</si>
  <si>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</si>
  <si>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</si>
  <si>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</si>
  <si>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</si>
  <si>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</si>
  <si>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</si>
  <si>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</si>
  <si>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</si>
  <si>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</si>
  <si>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</si>
  <si>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</si>
  <si>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</si>
  <si>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</si>
  <si>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</si>
  <si>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</si>
  <si>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</si>
  <si>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</si>
  <si>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</si>
  <si>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</si>
  <si>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</si>
  <si>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</si>
  <si>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</si>
  <si>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</si>
  <si>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</si>
  <si>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</si>
  <si>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</si>
  <si>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</si>
  <si>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</si>
  <si>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</si>
  <si>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</si>
  <si>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</si>
  <si>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</si>
  <si>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</si>
  <si>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</si>
  <si>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</si>
  <si>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</si>
  <si>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</si>
  <si>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</si>
  <si>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</si>
  <si>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</si>
  <si>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</si>
  <si>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</si>
  <si>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</si>
  <si>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</si>
  <si>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</si>
  <si>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</si>
  <si>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</si>
  <si>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</si>
  <si>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</si>
  <si>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</si>
  <si>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</si>
  <si>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</si>
  <si>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gole_claim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</si>
  <si>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</si>
  <si>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</si>
  <si>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</si>
  <si>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</si>
  <si>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</si>
  <si>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</si>
  <si>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</si>
  <si>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연회 진행하기</t>
  </si>
  <si>
    <t>관아 파견하기</t>
  </si>
  <si>
    <t>요일 던전 플레이하기</t>
  </si>
  <si>
    <t>스테이지 보스 처치하기</t>
  </si>
  <si>
    <t>광고 시청하기</t>
  </si>
  <si>
    <t>상품 구매하기</t>
  </si>
  <si>
    <t>아이템 사용하기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</si>
  <si>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</si>
  <si>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</si>
  <si>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</si>
  <si>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</si>
  <si>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</si>
  <si>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</si>
  <si>
    <t>편집</t>
    <phoneticPr fontId="1" type="noConversion"/>
  </si>
  <si>
    <t>확인</t>
    <phoneticPr fontId="1" type="noConversion"/>
  </si>
  <si>
    <t>저장</t>
    <phoneticPr fontId="1" type="noConversion"/>
  </si>
  <si>
    <t>BUTTON_EDIT</t>
    <phoneticPr fontId="1" type="noConversion"/>
  </si>
  <si>
    <t>BUTTON_CONFIRM</t>
    <phoneticPr fontId="1" type="noConversion"/>
  </si>
  <si>
    <t>BUTTON_SAVE</t>
    <phoneticPr fontId="1" type="noConversion"/>
  </si>
  <si>
    <t>BUTTON_COMPLETE</t>
    <phoneticPr fontId="1" type="noConversion"/>
  </si>
  <si>
    <t>UI_BATCH</t>
    <phoneticPr fontId="1" type="noConversion"/>
  </si>
  <si>
    <t>배치</t>
    <phoneticPr fontId="1" type="noConversion"/>
  </si>
  <si>
    <t>UI_POSITION_FRONT</t>
    <phoneticPr fontId="1" type="noConversion"/>
  </si>
  <si>
    <t>전열</t>
    <phoneticPr fontId="1" type="noConversion"/>
  </si>
  <si>
    <t>UI_POSITION_BACK</t>
    <phoneticPr fontId="1" type="noConversion"/>
  </si>
  <si>
    <t>후열</t>
    <phoneticPr fontId="1" type="noConversion"/>
  </si>
  <si>
    <t>주장</t>
    <phoneticPr fontId="1" type="noConversion"/>
  </si>
  <si>
    <t>UI_POSITION_MAIN</t>
    <phoneticPr fontId="1" type="noConversion"/>
  </si>
  <si>
    <t>UI_POSITION_SUB</t>
    <phoneticPr fontId="1" type="noConversion"/>
  </si>
  <si>
    <t>부장</t>
    <phoneticPr fontId="1" type="noConversion"/>
  </si>
  <si>
    <t>UI_FILTER</t>
    <phoneticPr fontId="1" type="noConversion"/>
  </si>
  <si>
    <t>필터</t>
    <phoneticPr fontId="1" type="noConversion"/>
  </si>
  <si>
    <t>UI_CHARACTER_LIST</t>
    <phoneticPr fontId="1" type="noConversion"/>
  </si>
  <si>
    <t>장수목록</t>
    <phoneticPr fontId="1" type="noConversion"/>
  </si>
  <si>
    <t>UI_CHARACTER</t>
    <phoneticPr fontId="1" type="noConversion"/>
  </si>
  <si>
    <t>장수</t>
    <phoneticPr fontId="1" type="noConversion"/>
  </si>
  <si>
    <t>UI_FRIENDSHIP</t>
    <phoneticPr fontId="1" type="noConversion"/>
  </si>
  <si>
    <t>인연</t>
    <phoneticPr fontId="1" type="noConversion"/>
  </si>
  <si>
    <t>UI_TREASURE</t>
    <phoneticPr fontId="1" type="noConversion"/>
  </si>
  <si>
    <t>장수무기</t>
    <phoneticPr fontId="1" type="noConversion"/>
  </si>
  <si>
    <t>UI_UPGRADE</t>
    <phoneticPr fontId="1" type="noConversion"/>
  </si>
  <si>
    <t>강화</t>
    <phoneticPr fontId="1" type="noConversion"/>
  </si>
  <si>
    <t>UI_BASE_STAT</t>
    <phoneticPr fontId="1" type="noConversion"/>
  </si>
  <si>
    <t>기본 능력치</t>
    <phoneticPr fontId="1" type="noConversion"/>
  </si>
  <si>
    <t>CASTLE_MENU_SETTING</t>
    <phoneticPr fontId="1" type="noConversion"/>
  </si>
  <si>
    <t>관리</t>
    <phoneticPr fontId="1" type="noConversion"/>
  </si>
  <si>
    <t>CASTLE_MENU_INFO</t>
    <phoneticPr fontId="1" type="noConversion"/>
  </si>
  <si>
    <t>개요</t>
    <phoneticPr fontId="1" type="noConversion"/>
  </si>
  <si>
    <t>파견</t>
    <phoneticPr fontId="1" type="noConversion"/>
  </si>
  <si>
    <t>CASTLE_SETTING_REWARD</t>
    <phoneticPr fontId="1" type="noConversion"/>
  </si>
  <si>
    <t>효과</t>
    <phoneticPr fontId="1" type="noConversion"/>
  </si>
  <si>
    <t>초당 획득량</t>
    <phoneticPr fontId="1" type="noConversion"/>
  </si>
  <si>
    <t>CASTLE_SETTING_MAX</t>
    <phoneticPr fontId="1" type="noConversion"/>
  </si>
  <si>
    <t>보유량 한도</t>
    <phoneticPr fontId="1" type="noConversion"/>
  </si>
  <si>
    <t>CASTLE_SETTING_STAT_MAX</t>
    <phoneticPr fontId="1" type="noConversion"/>
  </si>
  <si>
    <t>고유 능력치 요구</t>
    <phoneticPr fontId="1" type="noConversion"/>
  </si>
  <si>
    <t>CASTLE_SETTING_BATCH_COUNT</t>
    <phoneticPr fontId="1" type="noConversion"/>
  </si>
  <si>
    <t>배치 장수 수</t>
    <phoneticPr fontId="1" type="noConversion"/>
  </si>
  <si>
    <t>CASTLE_SETTING_UPGRADE_TIME</t>
    <phoneticPr fontId="1" type="noConversion"/>
  </si>
  <si>
    <t>증축 시간</t>
    <phoneticPr fontId="1" type="noConversion"/>
  </si>
  <si>
    <t>조건 미달성</t>
    <phoneticPr fontId="1" type="noConversion"/>
  </si>
  <si>
    <t>CASTLE_SETTING_UPGRADE_VALID</t>
    <phoneticPr fontId="1" type="noConversion"/>
  </si>
  <si>
    <t>CASTLE_SETTING_UPGRADE_INVALID</t>
    <phoneticPr fontId="1" type="noConversion"/>
  </si>
  <si>
    <t>증축 시작</t>
    <phoneticPr fontId="1" type="noConversion"/>
  </si>
  <si>
    <t>CASTLE_NEED_VALUE_STAT</t>
    <phoneticPr fontId="1" type="noConversion"/>
  </si>
  <si>
    <t>필요 {0} 수치</t>
    <phoneticPr fontId="1" type="noConversion"/>
  </si>
  <si>
    <t>CASTLE_JOB</t>
    <phoneticPr fontId="1" type="noConversion"/>
  </si>
  <si>
    <t>임무</t>
    <phoneticPr fontId="1" type="noConversion"/>
  </si>
  <si>
    <t>CASTLE_TITLE</t>
    <phoneticPr fontId="1" type="noConversion"/>
  </si>
  <si>
    <t>영지</t>
    <phoneticPr fontId="1" type="noConversion"/>
  </si>
  <si>
    <t>CATLE_UPGRADE_PALACE_LEVEL_LOW</t>
    <phoneticPr fontId="1" type="noConversion"/>
  </si>
  <si>
    <r>
      <t>궁성의 레벨보다 높을 수 없습니다</t>
    </r>
    <r>
      <rPr>
        <sz val="10"/>
        <color theme="1"/>
        <rFont val="Arial"/>
        <family val="2"/>
      </rPr>
      <t>.</t>
    </r>
    <phoneticPr fontId="1" type="noConversion"/>
  </si>
  <si>
    <t>CATLE_UPGRADE_PALACE_INVALID</t>
    <phoneticPr fontId="1" type="noConversion"/>
  </si>
  <si>
    <r>
      <t>다른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  <family val="2"/>
      </rPr>
      <t>.</t>
    </r>
  </si>
  <si>
    <t>CASTLE_SETTING_CLAIM_PER_SECOND</t>
    <phoneticPr fontId="1" type="noConversion"/>
  </si>
  <si>
    <t>(고유 능력치 감소 {0})</t>
    <phoneticPr fontId="1" type="noConversion"/>
  </si>
  <si>
    <t>(획득량 {0})</t>
    <phoneticPr fontId="1" type="noConversion"/>
  </si>
  <si>
    <t>(최대치 {0})</t>
    <phoneticPr fontId="1" type="noConversion"/>
  </si>
  <si>
    <t>CASTLE_STAT_EFF_PALACE</t>
    <phoneticPr fontId="1" type="noConversion"/>
  </si>
  <si>
    <t>CASTLE_STAT_EFF_MARKET</t>
    <phoneticPr fontId="1" type="noConversion"/>
  </si>
  <si>
    <t>(할인율 {0})</t>
    <phoneticPr fontId="1" type="noConversion"/>
  </si>
  <si>
    <t>(판매 개수 {0})</t>
    <phoneticPr fontId="1" type="noConversion"/>
  </si>
  <si>
    <t>CASTLE_STAT_EFF_GATE</t>
    <phoneticPr fontId="1" type="noConversion"/>
  </si>
  <si>
    <t>CASTLE_STAT_EFF_MARKET_SEC</t>
    <phoneticPr fontId="1" type="noConversion"/>
  </si>
  <si>
    <t>CASTLE_STAT_EFF_GATE_SEC</t>
    <phoneticPr fontId="1" type="noConversion"/>
  </si>
  <si>
    <t>(청렴도 {0})</t>
    <phoneticPr fontId="1" type="noConversion"/>
  </si>
  <si>
    <t>(치안율 {0})</t>
    <phoneticPr fontId="1" type="noConversion"/>
  </si>
  <si>
    <t>CASTLE_STAT_EFF_MERCHANT</t>
    <phoneticPr fontId="1" type="noConversion"/>
  </si>
  <si>
    <t>CASTLE_STAT_EFF_MERCHANT_SEC</t>
    <phoneticPr fontId="1" type="noConversion"/>
  </si>
  <si>
    <t>CATLE_UPGRADE_INVALID_STAT_LOW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</si>
  <si>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능력치가 부족합니다.</t>
    </r>
    <phoneticPr fontId="1" type="noConversion"/>
  </si>
  <si>
    <t>CATLE_UPGRADE_INVALID_EXP</t>
    <phoneticPr fontId="1" type="noConversion"/>
  </si>
  <si>
    <t>경험치가 부족합니다.</t>
    <phoneticPr fontId="1" type="noConversion"/>
  </si>
  <si>
    <t>UI_EXP</t>
    <phoneticPr fontId="1" type="noConversion"/>
  </si>
  <si>
    <t>경험치</t>
    <phoneticPr fontId="1" type="noConversion"/>
  </si>
  <si>
    <t>UI_REMAIN_TIME</t>
    <phoneticPr fontId="1" type="noConversion"/>
  </si>
  <si>
    <t>남은 시간</t>
    <phoneticPr fontId="1" type="noConversion"/>
  </si>
  <si>
    <t>활성화</t>
    <phoneticPr fontId="1" type="noConversion"/>
  </si>
  <si>
    <t>UI_LOCK</t>
    <phoneticPr fontId="1" type="noConversion"/>
  </si>
  <si>
    <t>비활성화</t>
    <phoneticPr fontId="1" type="noConversion"/>
  </si>
  <si>
    <t>UI_SKIP</t>
    <phoneticPr fontId="1" type="noConversion"/>
  </si>
  <si>
    <t>건너뛰기</t>
    <phoneticPr fontId="1" type="noConversion"/>
  </si>
  <si>
    <t>SUMMON_TITLE</t>
    <phoneticPr fontId="1" type="noConversion"/>
  </si>
  <si>
    <t>연회</t>
    <phoneticPr fontId="1" type="noConversion"/>
  </si>
  <si>
    <t>SUMMON_TICKET_COUNT</t>
    <phoneticPr fontId="1" type="noConversion"/>
  </si>
  <si>
    <t>연회권 {0}장</t>
    <phoneticPr fontId="1" type="noConversion"/>
  </si>
  <si>
    <t>SUMMON_REMAIN_TIME_HOST_CHANGE</t>
    <phoneticPr fontId="1" type="noConversion"/>
  </si>
  <si>
    <t>주최자 변경까지 남은시간</t>
    <phoneticPr fontId="1" type="noConversion"/>
  </si>
  <si>
    <t>UI_START</t>
    <phoneticPr fontId="1" type="noConversion"/>
  </si>
  <si>
    <t>시작하기</t>
    <phoneticPr fontId="1" type="noConversion"/>
  </si>
  <si>
    <t>SUMMON_HOST</t>
    <phoneticPr fontId="1" type="noConversion"/>
  </si>
  <si>
    <t>주최자</t>
    <phoneticPr fontId="1" type="noConversion"/>
  </si>
  <si>
    <t>SUMMON_DESC_REWARD_INFO</t>
    <phoneticPr fontId="1" type="noConversion"/>
  </si>
  <si>
    <t>영혼석 10개 획득 100%</t>
    <phoneticPr fontId="1" type="noConversion"/>
  </si>
  <si>
    <t>SUMMON_TYPE_ALL</t>
    <phoneticPr fontId="1" type="noConversion"/>
  </si>
  <si>
    <t>전체 영웅</t>
    <phoneticPr fontId="1" type="noConversion"/>
  </si>
  <si>
    <t>SUMMON_TYPE_COUNTRY</t>
    <phoneticPr fontId="1" type="noConversion"/>
  </si>
  <si>
    <t>{0} 확률 증가</t>
    <phoneticPr fontId="1" type="noConversion"/>
  </si>
  <si>
    <t>UI_RUNNING</t>
    <phoneticPr fontId="1" type="noConversion"/>
  </si>
  <si>
    <t>진행중</t>
    <phoneticPr fontId="1" type="noConversion"/>
  </si>
  <si>
    <t>SUMMON_NEW_HERO</t>
    <phoneticPr fontId="1" type="noConversion"/>
  </si>
  <si>
    <r>
      <t>[{0}] {1} 진영에</t>
    </r>
    <r>
      <rPr>
        <sz val="10"/>
        <color theme="1"/>
        <rFont val="돋움"/>
        <family val="2"/>
        <charset val="129"/>
      </rPr>
      <t xml:space="preserve"> 합류합니다.</t>
    </r>
    <phoneticPr fontId="1" type="noConversion"/>
  </si>
  <si>
    <t>UI_FINISH_CONFIRM</t>
    <phoneticPr fontId="1" type="noConversion"/>
  </si>
  <si>
    <t>마무리</t>
    <phoneticPr fontId="1" type="noConversion"/>
  </si>
  <si>
    <t>SCREEN_DD_TITLE</t>
    <phoneticPr fontId="1" type="noConversion"/>
  </si>
  <si>
    <t>고대 장수전</t>
    <phoneticPr fontId="1" type="noConversion"/>
  </si>
  <si>
    <t>UI_VALID_REWARD_LIST</t>
  </si>
  <si>
    <t>획득 가능 보상</t>
    <phoneticPr fontId="1" type="noConversion"/>
  </si>
  <si>
    <t>UI_ENTER</t>
    <phoneticPr fontId="1" type="noConversion"/>
  </si>
  <si>
    <t>입장</t>
    <phoneticPr fontId="1" type="noConversion"/>
  </si>
  <si>
    <t>UI_SWEEP</t>
    <phoneticPr fontId="1" type="noConversion"/>
  </si>
  <si>
    <t>토벌</t>
    <phoneticPr fontId="1" type="noConversion"/>
  </si>
  <si>
    <t>UI_MOST_RECORD</t>
    <phoneticPr fontId="1" type="noConversion"/>
  </si>
  <si>
    <t>최고기록</t>
    <phoneticPr fontId="1" type="noConversion"/>
  </si>
  <si>
    <t>UI_ENTER_LIMIT_DAILY</t>
  </si>
  <si>
    <t>일일 입장 가능 횟수: {0}</t>
    <phoneticPr fontId="1" type="noConversion"/>
  </si>
  <si>
    <t>UI_NONE</t>
    <phoneticPr fontId="1" type="noConversion"/>
  </si>
  <si>
    <t>없음</t>
    <phoneticPr fontId="1" type="noConversion"/>
  </si>
  <si>
    <t>POPUP_REGION_CHARACTERS</t>
    <phoneticPr fontId="1" type="noConversion"/>
  </si>
  <si>
    <t>대표 무장</t>
    <phoneticPr fontId="1" type="noConversion"/>
  </si>
  <si>
    <t>BUTTON_CANCEL</t>
    <phoneticPr fontId="1" type="noConversion"/>
  </si>
  <si>
    <t>취소</t>
    <phoneticPr fontId="1" type="noConversion"/>
  </si>
  <si>
    <t>DESC_MOBILE</t>
    <phoneticPr fontId="1" type="noConversion"/>
  </si>
  <si>
    <t>스토리 모드를 진행해서\n동료를 얻자!</t>
    <phoneticPr fontId="1" type="noConversion"/>
  </si>
  <si>
    <t>얻은 장수를 배치하자!</t>
    <phoneticPr fontId="1" type="noConversion"/>
  </si>
  <si>
    <t>[W,A,S,D]를 눌러\n이동해보자.</t>
  </si>
  <si>
    <t>화면을 터치해 이동해보자.</t>
  </si>
  <si>
    <t>[X]키를 눌러 공격해보자.\n화면을 터치해도 가능해.</t>
  </si>
  <si>
    <t>공격 버튼을 눌러보자.</t>
  </si>
  <si>
    <t>[C]키를 누른 후 좌클릭해봐.\n버튼을 눌러서도 가능해.</t>
  </si>
  <si>
    <t>스킬 버튼을 눌러보자.</t>
  </si>
  <si>
    <t>[SpaceBar]키를 눌러보자.\n버튼을 눌러서도 가능해.</t>
  </si>
  <si>
    <t>대쉬 버튼을 눌러보자.</t>
  </si>
  <si>
    <t>cn</t>
    <phoneticPr fontId="1" type="noConversion"/>
  </si>
  <si>
    <t>Target</t>
    <phoneticPr fontId="1" type="noConversion"/>
  </si>
  <si>
    <t>HuangGai</t>
    <phoneticPr fontId="1" type="noConversion"/>
  </si>
  <si>
    <t>AD_COMPLETE</t>
    <phoneticPr fontId="1" type="noConversion"/>
  </si>
  <si>
    <r>
      <t>광고</t>
    </r>
    <r>
      <rPr>
        <sz val="10"/>
        <color theme="1"/>
        <rFont val="돋움"/>
        <family val="2"/>
        <charset val="129"/>
      </rPr>
      <t xml:space="preserve"> 시청 완료</t>
    </r>
    <phoneticPr fontId="1" type="noConversion"/>
  </si>
  <si>
    <t>CASTLE_CLAIM</t>
    <phoneticPr fontId="1" type="noConversion"/>
  </si>
  <si>
    <r>
      <t>[{0}] {1}개</t>
    </r>
    <r>
      <rPr>
        <sz val="10"/>
        <color theme="1"/>
        <rFont val="돋움"/>
        <family val="2"/>
        <charset val="129"/>
      </rPr>
      <t xml:space="preserve"> 수령했습니다.</t>
    </r>
    <phoneticPr fontId="1" type="noConversion"/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</si>
  <si>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2"/>
        <charset val="129"/>
      </rPr>
      <t xml:space="preserve"> 도적이 출몰했습니다!</t>
    </r>
    <phoneticPr fontId="1" type="noConversion"/>
  </si>
  <si>
    <t>CASTLE_START_THIEF</t>
    <phoneticPr fontId="1" type="noConversion"/>
  </si>
  <si>
    <t>CASTLE_FINISH_THIEF</t>
    <phoneticPr fontId="1" type="noConversion"/>
  </si>
  <si>
    <r>
      <t>영지에서</t>
    </r>
    <r>
      <rPr>
        <sz val="10"/>
        <color theme="1"/>
        <rFont val="돋움"/>
        <family val="2"/>
        <charset val="129"/>
      </rPr>
      <t xml:space="preserve"> 도적이 도망갔습니다!</t>
    </r>
    <phoneticPr fontId="1" type="noConversion"/>
  </si>
  <si>
    <t>CASTLE_CATCH_THIEF</t>
    <phoneticPr fontId="1" type="noConversion"/>
  </si>
  <si>
    <t>도적을 잡았습니다!</t>
    <phoneticPr fontId="1" type="noConversion"/>
  </si>
  <si>
    <t>CASTLE_UPGRADE_COMPLETE</t>
    <phoneticPr fontId="1" type="noConversion"/>
  </si>
  <si>
    <r>
      <t>건물</t>
    </r>
    <r>
      <rPr>
        <sz val="10"/>
        <color theme="1"/>
        <rFont val="돋움"/>
        <family val="2"/>
        <charset val="129"/>
      </rPr>
      <t xml:space="preserve"> 업그레이드 완료</t>
    </r>
    <phoneticPr fontId="1" type="noConversion"/>
  </si>
  <si>
    <t>ALREADY_MAX_LEVEL</t>
    <phoneticPr fontId="1" type="noConversion"/>
  </si>
  <si>
    <t>이미 최고 레벨입니다.</t>
    <phoneticPr fontId="1" type="noConversion"/>
  </si>
  <si>
    <t>ALREADY_RUN_UPGRADE</t>
    <phoneticPr fontId="1" type="noConversion"/>
  </si>
  <si>
    <r>
      <t>이미</t>
    </r>
    <r>
      <rPr>
        <sz val="10"/>
        <color theme="1"/>
        <rFont val="돋움"/>
        <family val="2"/>
        <charset val="129"/>
      </rPr>
      <t xml:space="preserve"> 업그레이드가 진행중입니다.</t>
    </r>
    <phoneticPr fontId="1" type="noConversion"/>
  </si>
  <si>
    <t>REDUCED_TIME</t>
    <phoneticPr fontId="1" type="noConversion"/>
  </si>
  <si>
    <t>시간이 단축되었습니다.</t>
    <phoneticPr fontId="1" type="noConversion"/>
  </si>
  <si>
    <t>CASTLE_MISSION_START</t>
    <phoneticPr fontId="1" type="noConversion"/>
  </si>
  <si>
    <r>
      <t>파견</t>
    </r>
    <r>
      <rPr>
        <sz val="10"/>
        <color theme="1"/>
        <rFont val="돋움"/>
        <family val="2"/>
        <charset val="129"/>
      </rPr>
      <t xml:space="preserve"> 임무를 시작합니다.</t>
    </r>
    <phoneticPr fontId="1" type="noConversion"/>
  </si>
  <si>
    <t>CASLTE_READY_UPGRADE_OFFICE</t>
    <phoneticPr fontId="1" type="noConversion"/>
  </si>
  <si>
    <r>
      <t>관아</t>
    </r>
    <r>
      <rPr>
        <sz val="10"/>
        <color theme="1"/>
        <rFont val="돋움"/>
        <family val="2"/>
        <charset val="129"/>
      </rPr>
      <t xml:space="preserve"> 업그레이드 준비완료!</t>
    </r>
    <phoneticPr fontId="1" type="noConversion"/>
  </si>
  <si>
    <t>PASS_CAN_AFTER_PAID</t>
    <phoneticPr fontId="1" type="noConversion"/>
  </si>
  <si>
    <r>
      <t>특사</t>
    </r>
    <r>
      <rPr>
        <sz val="10"/>
        <color theme="1"/>
        <rFont val="돋움"/>
        <family val="2"/>
        <charset val="129"/>
      </rPr>
      <t xml:space="preserve"> 활성화 후에 획득 가능합니다.</t>
    </r>
    <phoneticPr fontId="1" type="noConversion"/>
  </si>
  <si>
    <t>STORYMODE_HAVE_OPEN_STORY</t>
    <phoneticPr fontId="1" type="noConversion"/>
  </si>
  <si>
    <t>해금된 스토리가 있습니다.</t>
    <phoneticPr fontId="1" type="noConversion"/>
  </si>
  <si>
    <t>TRAIT_CANT_FIND</t>
    <phoneticPr fontId="1" type="noConversion"/>
  </si>
  <si>
    <t>특성을 찾을 수 없습니다.</t>
    <phoneticPr fontId="1" type="noConversion"/>
  </si>
  <si>
    <t>GUIDEQUEST_COMPLETE</t>
    <phoneticPr fontId="1" type="noConversion"/>
  </si>
  <si>
    <t>길잡이 퀘스트 완료</t>
    <phoneticPr fontId="1" type="noConversion"/>
  </si>
  <si>
    <t>CASTLE_FULL_BATCH_HERO</t>
    <phoneticPr fontId="1" type="noConversion"/>
  </si>
  <si>
    <t>배치 인원이 이미 모두 찼습니다.</t>
    <phoneticPr fontId="1" type="noConversion"/>
  </si>
  <si>
    <t>MODAL_CASTLE_HERO_JOB_CHANGE</t>
    <phoneticPr fontId="1" type="noConversion"/>
  </si>
  <si>
    <t>이미 임무 중인 장수입니다.\n새로운 임무를 부여하겠습니까?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</si>
  <si>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능력치를 10%이상 달성해주세요.</t>
    </r>
    <phoneticPr fontId="1" type="noConversion"/>
  </si>
  <si>
    <t>CASTLE_MISSION_STAT_LIMIT_PER</t>
    <phoneticPr fontId="1" type="noConversion"/>
  </si>
  <si>
    <t>CASTLE_MISSION_OVER_COUNT</t>
    <phoneticPr fontId="1" type="noConversion"/>
  </si>
  <si>
    <t>더 이상 임무를 보낼 수 없습니다.</t>
    <phoneticPr fontId="1" type="noConversion"/>
  </si>
  <si>
    <t>CASTLE_MISSION_NO_HERO</t>
    <phoneticPr fontId="1" type="noConversion"/>
  </si>
  <si>
    <t>임무 보낼 장수가 없습니다.</t>
    <phoneticPr fontId="1" type="noConversion"/>
  </si>
  <si>
    <t>CASTLE_MISSION_RESULT_NO_COMPLETE</t>
    <phoneticPr fontId="1" type="noConversion"/>
  </si>
  <si>
    <r>
      <t>완료할</t>
    </r>
    <r>
      <rPr>
        <sz val="10"/>
        <color theme="1"/>
        <rFont val="돋움"/>
        <family val="2"/>
        <charset val="129"/>
      </rPr>
      <t xml:space="preserve"> 미션이 없습니다.</t>
    </r>
    <phoneticPr fontId="1" type="noConversion"/>
  </si>
  <si>
    <t>BUY_FAILED</t>
    <phoneticPr fontId="1" type="noConversion"/>
  </si>
  <si>
    <r>
      <t>구매</t>
    </r>
    <r>
      <rPr>
        <sz val="10"/>
        <color theme="1"/>
        <rFont val="돋움"/>
        <family val="2"/>
        <charset val="129"/>
      </rPr>
      <t xml:space="preserve"> 실패</t>
    </r>
    <phoneticPr fontId="1" type="noConversion"/>
  </si>
  <si>
    <t>SYSTEM_BAN</t>
    <phoneticPr fontId="1" type="noConversion"/>
  </si>
  <si>
    <t>시스템에 의해 차단되었습니다.</t>
    <phoneticPr fontId="1" type="noConversion"/>
  </si>
  <si>
    <t>ALREADY_MAX_GRADE</t>
    <phoneticPr fontId="1" type="noConversion"/>
  </si>
  <si>
    <t>이미 최고 등급입니다.</t>
    <phoneticPr fontId="1" type="noConversion"/>
  </si>
  <si>
    <t>UI_GRADE</t>
    <phoneticPr fontId="1" type="noConversion"/>
  </si>
  <si>
    <t>UI_REGION</t>
    <phoneticPr fontId="1" type="noConversion"/>
  </si>
  <si>
    <t>소속</t>
    <phoneticPr fontId="1" type="noConversion"/>
  </si>
  <si>
    <t>TRAIT_INVALID_GRADE</t>
    <phoneticPr fontId="1" type="noConversion"/>
  </si>
  <si>
    <t>명장부터 특성 부여가 가능합니다.</t>
    <phoneticPr fontId="1" type="noConversion"/>
  </si>
  <si>
    <t>TRAIT_INVALID_ALL_LOCK</t>
    <phoneticPr fontId="1" type="noConversion"/>
  </si>
  <si>
    <r>
      <t>모두</t>
    </r>
    <r>
      <rPr>
        <sz val="10"/>
        <color theme="1"/>
        <rFont val="돋움"/>
        <family val="2"/>
        <charset val="129"/>
      </rPr>
      <t xml:space="preserve"> 잠겨서 진행이 불가합니다.</t>
    </r>
    <phoneticPr fontId="1" type="noConversion"/>
  </si>
  <si>
    <t>POPUP_HERO_INFO_AUTO_CLOSE</t>
    <phoneticPr fontId="1" type="noConversion"/>
  </si>
  <si>
    <t>{0}초 후 닫힘. 터치하면 취소됩니다.</t>
    <phoneticPr fontId="1" type="noConversion"/>
  </si>
  <si>
    <t>UPGRADE_GRADE</t>
    <phoneticPr fontId="1" type="noConversion"/>
  </si>
  <si>
    <r>
      <t>승급합니다</t>
    </r>
    <r>
      <rPr>
        <sz val="10"/>
        <color theme="1"/>
        <rFont val="돋움"/>
        <family val="2"/>
        <charset val="129"/>
      </rPr>
      <t>.</t>
    </r>
    <phoneticPr fontId="1" type="noConversion"/>
  </si>
  <si>
    <t>UPGRADE_LEVEL</t>
    <phoneticPr fontId="1" type="noConversion"/>
  </si>
  <si>
    <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  <family val="2"/>
      </rPr>
      <t>.</t>
    </r>
  </si>
  <si>
    <t>STORYMOVE_BREAK_TIMELINE</t>
    <phoneticPr fontId="1" type="noConversion"/>
  </si>
  <si>
    <t>시간이 어긋나 버렸습니다.</t>
    <phoneticPr fontId="1" type="noConversion"/>
  </si>
  <si>
    <t>STORYMOVE_IF_FINISHED</t>
    <phoneticPr fontId="1" type="noConversion"/>
  </si>
  <si>
    <r>
      <t>어긋난</t>
    </r>
    <r>
      <rPr>
        <sz val="10"/>
        <color theme="1"/>
        <rFont val="돋움"/>
        <family val="2"/>
        <charset val="129"/>
      </rPr>
      <t xml:space="preserve"> 시간선의 끝에 도달했습니다.</t>
    </r>
    <phoneticPr fontId="1" type="noConversion"/>
  </si>
  <si>
    <t>STORYMODE_BREAK_RUN</t>
    <phoneticPr fontId="1" type="noConversion"/>
  </si>
  <si>
    <r>
      <t>시간이</t>
    </r>
    <r>
      <rPr>
        <sz val="10"/>
        <color theme="1"/>
        <rFont val="돋움"/>
        <family val="2"/>
        <charset val="129"/>
      </rPr>
      <t xml:space="preserve"> 어긋나 있습니다.</t>
    </r>
    <phoneticPr fontId="1" type="noConversion"/>
  </si>
  <si>
    <t>STORYMODE_IF_OUT</t>
    <phoneticPr fontId="1" type="noConversion"/>
  </si>
  <si>
    <r>
      <t>시간을</t>
    </r>
    <r>
      <rPr>
        <sz val="10"/>
        <color theme="1"/>
        <rFont val="돋움"/>
        <family val="2"/>
        <charset val="129"/>
      </rPr>
      <t xml:space="preserve"> 돌려 되돌아 갑니다.</t>
    </r>
    <phoneticPr fontId="1" type="noConversion"/>
  </si>
  <si>
    <t>BUTTON_BACK</t>
    <phoneticPr fontId="1" type="noConversion"/>
  </si>
  <si>
    <t>돌아가기</t>
    <phoneticPr fontId="1" type="noConversion"/>
  </si>
  <si>
    <t>BUTTON_GIVE_UP</t>
    <phoneticPr fontId="1" type="noConversion"/>
  </si>
  <si>
    <t>포기하기</t>
    <phoneticPr fontId="1" type="noConversion"/>
  </si>
  <si>
    <t>MODAL_GIVE_UP</t>
    <phoneticPr fontId="1" type="noConversion"/>
  </si>
  <si>
    <r>
      <t>포기하시겠습니까</t>
    </r>
    <r>
      <rPr>
        <sz val="10"/>
        <color theme="1"/>
        <rFont val="돋움"/>
        <family val="2"/>
        <charset val="129"/>
      </rPr>
      <t>?</t>
    </r>
    <phoneticPr fontId="1" type="noConversion"/>
  </si>
  <si>
    <t>TreasurePiece</t>
  </si>
  <si>
    <t>보물 파편</t>
    <phoneticPr fontId="1" type="noConversion"/>
  </si>
  <si>
    <t>GACHATICKET</t>
    <phoneticPr fontId="1" type="noConversion"/>
  </si>
  <si>
    <t>Treasure</t>
    <phoneticPr fontId="1" type="noConversion"/>
  </si>
  <si>
    <t>ContentsTicket</t>
    <phoneticPr fontId="1" type="noConversion"/>
  </si>
  <si>
    <t>입장권</t>
    <phoneticPr fontId="1" type="noConversion"/>
  </si>
  <si>
    <t>[{0}] 영혼석</t>
    <phoneticPr fontId="1" type="noConversion"/>
  </si>
  <si>
    <t>Soul_Stone</t>
    <phoneticPr fontId="1" type="noConversion"/>
  </si>
  <si>
    <t>ALL_RECEIVE_REWARD</t>
    <phoneticPr fontId="1" type="noConversion"/>
  </si>
  <si>
    <t>보상을 모두 수령했습니다.</t>
    <phoneticPr fontId="1" type="noConversion"/>
  </si>
  <si>
    <r>
      <t>[{0}] 영혼석을</t>
    </r>
    <r>
      <rPr>
        <sz val="10"/>
        <color theme="1"/>
        <rFont val="돋움"/>
        <family val="2"/>
        <charset val="129"/>
      </rPr>
      <t xml:space="preserve"> 획득했습니다.</t>
    </r>
    <phoneticPr fontId="1" type="noConversion"/>
  </si>
  <si>
    <t>RECEIVE_SOUL_STONE</t>
    <phoneticPr fontId="1" type="noConversion"/>
  </si>
  <si>
    <t>TOURNAMENT_BATCH_MIN</t>
    <phoneticPr fontId="1" type="noConversion"/>
  </si>
  <si>
    <t>최소 1명은 배치해야 합니다.</t>
    <phoneticPr fontId="1" type="noConversion"/>
  </si>
  <si>
    <t>TOURNAMENT_BATCH_MAX</t>
    <phoneticPr fontId="1" type="noConversion"/>
  </si>
  <si>
    <t>최대 4명까지 배치할 수 있습니다.</t>
    <phoneticPr fontId="1" type="noConversion"/>
  </si>
  <si>
    <t>MODAL_TOURNAMENT_CLOSE_NO_SAVE</t>
    <phoneticPr fontId="1" type="noConversion"/>
  </si>
  <si>
    <t>변경사항이 있습니다.\n닫겠습니까?</t>
    <phoneticPr fontId="1" type="noConversion"/>
  </si>
  <si>
    <t>RELIC_USE_MAX</t>
    <phoneticPr fontId="1" type="noConversion"/>
  </si>
  <si>
    <t>최대 3개까지만 장착 가능합니다.</t>
    <phoneticPr fontId="1" type="noConversion"/>
  </si>
  <si>
    <t>BUTTON_CHOICE</t>
    <phoneticPr fontId="1" type="noConversion"/>
  </si>
  <si>
    <t>선택하기</t>
    <phoneticPr fontId="1" type="noConversion"/>
  </si>
  <si>
    <t>BUTTON_CHOICE_RUN</t>
    <phoneticPr fontId="1" type="noConversion"/>
  </si>
  <si>
    <t>선택중</t>
    <phoneticPr fontId="1" type="noConversion"/>
  </si>
  <si>
    <t>OVER_PLAY_COUNT</t>
    <phoneticPr fontId="1" type="noConversion"/>
  </si>
  <si>
    <t>플레이 가능 횟수가 초과되었습니다.</t>
    <phoneticPr fontId="1" type="noConversion"/>
  </si>
  <si>
    <t>NOT_ENOUGH_CURRENCY</t>
    <phoneticPr fontId="1" type="noConversion"/>
  </si>
  <si>
    <t>재화가 부족합니다.</t>
    <phoneticPr fontId="1" type="noConversion"/>
  </si>
  <si>
    <t>MODAL_REFRESH_BY_CURRENCY</t>
    <phoneticPr fontId="1" type="noConversion"/>
  </si>
  <si>
    <t>재화를 사용하여 갱신하시겠습니까?</t>
    <phoneticPr fontId="1" type="noConversion"/>
  </si>
  <si>
    <t>OVER_TIME</t>
    <phoneticPr fontId="1" type="noConversion"/>
  </si>
  <si>
    <t>시간이 초과 되었습니다.</t>
    <phoneticPr fontId="1" type="noConversion"/>
  </si>
  <si>
    <t>NO_REWARDS</t>
    <phoneticPr fontId="1" type="noConversion"/>
  </si>
  <si>
    <r>
      <t>보상이</t>
    </r>
    <r>
      <rPr>
        <sz val="10"/>
        <color theme="1"/>
        <rFont val="돋움"/>
        <family val="3"/>
        <charset val="129"/>
      </rPr>
      <t xml:space="preserve"> 없습니다.</t>
    </r>
    <phoneticPr fontId="1" type="noConversion"/>
  </si>
  <si>
    <t>NOT_YET_READY</t>
    <phoneticPr fontId="1" type="noConversion"/>
  </si>
  <si>
    <r>
      <t>준비</t>
    </r>
    <r>
      <rPr>
        <sz val="10"/>
        <color theme="1"/>
        <rFont val="돋움"/>
        <family val="3"/>
        <charset val="129"/>
      </rPr>
      <t xml:space="preserve"> 중입니다.</t>
    </r>
    <phoneticPr fontId="1" type="noConversion"/>
  </si>
  <si>
    <t>HAS_REWARDS</t>
    <phoneticPr fontId="1" type="noConversion"/>
  </si>
  <si>
    <t>아직 받을 보상이 있습니다.</t>
    <phoneticPr fontId="1" type="noConversion"/>
  </si>
  <si>
    <t>POST_DELETE_COMPLETE</t>
    <phoneticPr fontId="1" type="noConversion"/>
  </si>
  <si>
    <t>삭제 완료</t>
    <phoneticPr fontId="1" type="noConversion"/>
  </si>
  <si>
    <t>POST_NO_HAVE_DELETE_POST</t>
    <phoneticPr fontId="1" type="noConversion"/>
  </si>
  <si>
    <t>삭제할 우편이 없습니다.</t>
    <phoneticPr fontId="1" type="noConversion"/>
  </si>
  <si>
    <t>COPY_COMPLETE</t>
    <phoneticPr fontId="1" type="noConversion"/>
  </si>
  <si>
    <t>복사완료</t>
    <phoneticPr fontId="1" type="noConversion"/>
  </si>
  <si>
    <t>잠김</t>
    <phoneticPr fontId="1" type="noConversion"/>
  </si>
  <si>
    <t>UI_ACTIVATE</t>
    <phoneticPr fontId="1" type="noConversion"/>
  </si>
  <si>
    <t>UI_DEACTIVATE</t>
    <phoneticPr fontId="1" type="noConversion"/>
  </si>
  <si>
    <t>SUMMON_COME_NEW_HERO</t>
    <phoneticPr fontId="1" type="noConversion"/>
  </si>
  <si>
    <t>새로운 영웅이 방문하였습니다.</t>
    <phoneticPr fontId="1" type="noConversion"/>
  </si>
  <si>
    <t>BUTTON_GET</t>
    <phoneticPr fontId="1" type="noConversion"/>
  </si>
  <si>
    <t>획득하기</t>
    <phoneticPr fontId="1" type="noConversion"/>
  </si>
  <si>
    <t>STAGE_FAILED</t>
    <phoneticPr fontId="1" type="noConversion"/>
  </si>
  <si>
    <t>잠시 후퇴! 전량상 후퇴일 뿐입니다.</t>
    <phoneticPr fontId="1" type="noConversion"/>
  </si>
  <si>
    <t>CAN_NOT_SKIP</t>
    <phoneticPr fontId="1" type="noConversion"/>
  </si>
  <si>
    <t>건너뛰기할 수 없습니다.</t>
    <phoneticPr fontId="1" type="noConversion"/>
  </si>
  <si>
    <t>MODAL_SKIP</t>
    <phoneticPr fontId="1" type="noConversion"/>
  </si>
  <si>
    <t>건너뛰겠습니까?</t>
    <phoneticPr fontId="1" type="noConversion"/>
  </si>
  <si>
    <t>BUTTON_PLAY</t>
    <phoneticPr fontId="1" type="noConversion"/>
  </si>
  <si>
    <t>BUTTON_PALY_RUN</t>
    <phoneticPr fontId="1" type="noConversion"/>
  </si>
  <si>
    <t>재생중</t>
    <phoneticPr fontId="1" type="noConversion"/>
  </si>
  <si>
    <t>재생하기</t>
    <phoneticPr fontId="1" type="noConversion"/>
  </si>
  <si>
    <t>STORYMODE_COMPLETE</t>
    <phoneticPr fontId="1" type="noConversion"/>
  </si>
  <si>
    <t>스토리를 완료했습니다.</t>
    <phoneticPr fontId="1" type="noConversion"/>
  </si>
  <si>
    <t>STORYMODE_RECEIVE_HEROES</t>
    <phoneticPr fontId="1" type="noConversion"/>
  </si>
  <si>
    <t>{0} {1} 진영에 합류합니다.</t>
    <phoneticPr fontId="1" type="noConversion"/>
  </si>
  <si>
    <t>STORYMODE_RECEIVE_HEROE</t>
    <phoneticPr fontId="1" type="noConversion"/>
  </si>
  <si>
    <t>{0} 진영에 합류합니다.</t>
    <phoneticPr fontId="1" type="noConversion"/>
  </si>
  <si>
    <t>던전</t>
    <phoneticPr fontId="1" type="noConversion"/>
  </si>
  <si>
    <t>상점</t>
    <phoneticPr fontId="1" type="noConversion"/>
  </si>
  <si>
    <t>L_HERO_TITLE_HERO</t>
    <phoneticPr fontId="1" type="noConversion"/>
  </si>
  <si>
    <t>L_BOT_HERO</t>
  </si>
  <si>
    <t>L_BOT_CASTLE</t>
  </si>
  <si>
    <t>L_BOT_BOSS</t>
  </si>
  <si>
    <t>L_BOT_SHOP</t>
  </si>
  <si>
    <t>L_BOT_SUMMON</t>
  </si>
  <si>
    <t>L_HERO_TITLE_RELIC</t>
    <phoneticPr fontId="1" type="noConversion"/>
  </si>
  <si>
    <t>L_HERO_TITLE_COLLECTION</t>
    <phoneticPr fontId="1" type="noConversion"/>
  </si>
  <si>
    <t>유물</t>
    <phoneticPr fontId="1" type="noConversion"/>
  </si>
  <si>
    <t>UI_MAIN_POSITION</t>
    <phoneticPr fontId="1" type="noConversion"/>
  </si>
  <si>
    <t>주장 위치</t>
    <phoneticPr fontId="1" type="noConversion"/>
  </si>
  <si>
    <t>UI_TREASURE_RELIC</t>
    <phoneticPr fontId="1" type="noConversion"/>
  </si>
  <si>
    <t>UI_TREASURE_TREASURE</t>
    <phoneticPr fontId="1" type="noConversion"/>
  </si>
  <si>
    <t>UI_MAX</t>
    <phoneticPr fontId="1" type="noConversion"/>
  </si>
  <si>
    <t>최대</t>
    <phoneticPr fontId="1" type="noConversion"/>
  </si>
  <si>
    <t>UI_MIN</t>
    <phoneticPr fontId="1" type="noConversion"/>
  </si>
  <si>
    <t>최소</t>
    <phoneticPr fontId="1" type="noConversion"/>
  </si>
  <si>
    <t>L_HERO_RELIC_CHOICE_COUNT</t>
    <phoneticPr fontId="1" type="noConversion"/>
  </si>
  <si>
    <t>선택한 보물</t>
    <phoneticPr fontId="1" type="noConversion"/>
  </si>
  <si>
    <t>CASTLE_MENU_OFFICE</t>
    <phoneticPr fontId="1" type="noConversion"/>
  </si>
  <si>
    <t>CASTLE_MENU_MERCHANT</t>
    <phoneticPr fontId="1" type="noConversion"/>
  </si>
  <si>
    <t>UI_RIGHT_NOW</t>
    <phoneticPr fontId="1" type="noConversion"/>
  </si>
  <si>
    <t>즉시</t>
    <phoneticPr fontId="1" type="noConversion"/>
  </si>
  <si>
    <t>CASTLE_SET_PAL_LEVEL_MAX</t>
    <phoneticPr fontId="1" type="noConversion"/>
  </si>
  <si>
    <t>건물 레벨 상한선</t>
    <phoneticPr fontId="1" type="noConversion"/>
  </si>
  <si>
    <t>CASTLE_SET_PAL_TIME_STONE_RATE</t>
    <phoneticPr fontId="1" type="noConversion"/>
  </si>
  <si>
    <t>시간석 개당 단축</t>
    <phoneticPr fontId="1" type="noConversion"/>
  </si>
  <si>
    <t>CASTLE_SET_PAL_AD_MINUS_RATE</t>
    <phoneticPr fontId="1" type="noConversion"/>
  </si>
  <si>
    <t>광고 회당 단축</t>
    <phoneticPr fontId="1" type="noConversion"/>
  </si>
  <si>
    <t>CASTLE_SET_GATE_AD_MINUS_RATE</t>
    <phoneticPr fontId="1" type="noConversion"/>
  </si>
  <si>
    <t>도적 유지 시간</t>
    <phoneticPr fontId="1" type="noConversion"/>
  </si>
  <si>
    <t>CASTLE_SET_GATE_TITLE</t>
    <phoneticPr fontId="1" type="noConversion"/>
  </si>
  <si>
    <t>청렴도 영향</t>
    <phoneticPr fontId="1" type="noConversion"/>
  </si>
  <si>
    <t>CASTLE_SET_GATE_CLAIM</t>
    <phoneticPr fontId="1" type="noConversion"/>
  </si>
  <si>
    <t>군량/금화 수령시 획득량</t>
    <phoneticPr fontId="1" type="noConversion"/>
  </si>
  <si>
    <t>CASTLE_SET_GATE_DC_RATE</t>
    <phoneticPr fontId="1" type="noConversion"/>
  </si>
  <si>
    <t>상점 할인율</t>
    <phoneticPr fontId="1" type="noConversion"/>
  </si>
  <si>
    <t>CASTLE_SET_GATE_HIGH_GRADE_RATE</t>
    <phoneticPr fontId="1" type="noConversion"/>
  </si>
  <si>
    <t>높은 등급 등장 확률 감소</t>
    <phoneticPr fontId="1" type="noConversion"/>
  </si>
  <si>
    <t>CASTLE_SET_PAL_MARKET</t>
    <phoneticPr fontId="1" type="noConversion"/>
  </si>
  <si>
    <t>금화 획득량</t>
    <phoneticPr fontId="1" type="noConversion"/>
  </si>
  <si>
    <t>CASTLE_SET_PAL_FARM</t>
    <phoneticPr fontId="1" type="noConversion"/>
  </si>
  <si>
    <t>군량 획득량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</si>
</sst>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4" xfId="0" applyFont="1" applyFill="1" applyBorder="1" applyAlignment="1">
      <alignment horizontal="left" vertical="center"/>
    </xf>
    <xf numFmtId="0" fontId="0" fillId="0" borderId="4" xfId="0" applyFont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3" xfId="0" applyFont="1" applyBorder="1">
      <alignment vertical="center"/>
    </xf>
    <xf numFmtId="0" fontId="0" fillId="0" borderId="6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Fill="1" applyBorder="1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5" fillId="2" borderId="2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15" fillId="2" borderId="1" xfId="0" applyFont="1" applyFill="1" applyBorder="1">
      <alignment vertical="center"/>
    </xf>
    <xf numFmtId="0" fontId="15" fillId="2" borderId="1" xfId="0" applyFont="1" applyFill="1" applyBorder="1" applyAlignment="1">
      <alignment vertical="center" wrapText="1"/>
    </xf>
    <xf numFmtId="0" fontId="16" fillId="0" borderId="1" xfId="0" applyFont="1" applyBorder="1">
      <alignment vertical="center"/>
    </xf>
    <xf numFmtId="0" fontId="16" fillId="0" borderId="1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6" fillId="0" borderId="7" xfId="0" applyFont="1" applyFill="1" applyBorder="1">
      <alignment vertical="center"/>
    </xf>
    <xf numFmtId="49" fontId="8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workbookViewId="0">
      <selection activeCell="B1" sqref="B1"/>
    </sheetView>
  </sheetViews>
  <sheetFormatPr defaultRowHeight="16.5" x14ac:dyDescent="0.3"/>
  <sheetData>
    <row r="1" spans="1:2" x14ac:dyDescent="0.3">
      <c r="A1" s="36" t="s">
        <v>4</v>
      </c>
      <c r="B1" s="36" t="s">
        <v>5</v>
      </c>
    </row>
    <row r="2" spans="1:2" x14ac:dyDescent="0.3">
      <c r="A2" s="36" t="s">
        <v>6</v>
      </c>
      <c r="B2" s="36" t="s">
        <v>7</v>
      </c>
    </row>
    <row r="3" spans="1:2" x14ac:dyDescent="0.3">
      <c r="A3" s="36" t="s">
        <v>8</v>
      </c>
      <c r="B3" s="36" t="s">
        <v>9</v>
      </c>
    </row>
    <row r="4" spans="1:2" x14ac:dyDescent="0.3">
      <c r="A4" s="36" t="s">
        <v>10</v>
      </c>
      <c r="B4" s="36" t="s">
        <v>511</v>
      </c>
    </row>
    <row r="5" spans="1:2" x14ac:dyDescent="0.3">
      <c r="A5" s="36" t="s">
        <v>429</v>
      </c>
      <c r="B5" s="27" t="s">
        <v>428</v>
      </c>
    </row>
    <row r="6" spans="1:2" ht="33" x14ac:dyDescent="0.3">
      <c r="A6" s="36" t="s">
        <v>11</v>
      </c>
      <c r="B6" s="36" t="s">
        <v>13</v>
      </c>
    </row>
    <row r="7" spans="1:2" x14ac:dyDescent="0.3">
      <c r="A7" s="36" t="s">
        <v>430</v>
      </c>
      <c r="B7" s="27" t="s">
        <v>415</v>
      </c>
    </row>
    <row r="8" spans="1:2" x14ac:dyDescent="0.3">
      <c r="A8" s="36" t="s">
        <v>431</v>
      </c>
      <c r="B8" s="27" t="s">
        <v>416</v>
      </c>
    </row>
    <row r="9" spans="1:2" x14ac:dyDescent="0.3">
      <c r="A9" s="36" t="s">
        <v>432</v>
      </c>
      <c r="B9" s="27" t="s">
        <v>417</v>
      </c>
    </row>
    <row r="10" spans="1:2" x14ac:dyDescent="0.3">
      <c r="A10" s="36" t="s">
        <v>433</v>
      </c>
      <c r="B10" s="27" t="s">
        <v>418</v>
      </c>
    </row>
    <row r="11" spans="1:2" x14ac:dyDescent="0.3">
      <c r="A11" s="36" t="s">
        <v>434</v>
      </c>
      <c r="B11" s="27" t="s">
        <v>419</v>
      </c>
    </row>
    <row r="12" spans="1:2" x14ac:dyDescent="0.3">
      <c r="A12" s="36" t="s">
        <v>435</v>
      </c>
      <c r="B12" s="27" t="s">
        <v>420</v>
      </c>
    </row>
    <row r="13" spans="1:2" x14ac:dyDescent="0.3">
      <c r="A13" s="27" t="s">
        <v>436</v>
      </c>
      <c r="B13" s="27" t="s">
        <v>421</v>
      </c>
    </row>
    <row r="14" spans="1:2" x14ac:dyDescent="0.3">
      <c r="A14" s="27" t="s">
        <v>437</v>
      </c>
      <c r="B14" s="27" t="s">
        <v>422</v>
      </c>
    </row>
    <row r="15" spans="1:2" x14ac:dyDescent="0.3">
      <c r="A15" s="27" t="s">
        <v>438</v>
      </c>
      <c r="B15" s="27" t="s">
        <v>1235</v>
      </c>
    </row>
    <row r="16" spans="1:2" x14ac:dyDescent="0.3">
      <c r="A16" s="27" t="s">
        <v>439</v>
      </c>
      <c r="B16" s="27" t="s">
        <v>424</v>
      </c>
    </row>
    <row r="17" spans="1:2" x14ac:dyDescent="0.3">
      <c r="A17" s="27" t="s">
        <v>440</v>
      </c>
      <c r="B17" s="27" t="s">
        <v>425</v>
      </c>
    </row>
    <row r="18" spans="1:2" x14ac:dyDescent="0.3">
      <c r="A18" s="27" t="s">
        <v>441</v>
      </c>
      <c r="B18" s="27" t="s">
        <v>426</v>
      </c>
    </row>
    <row r="19" spans="1:2" x14ac:dyDescent="0.3">
      <c r="A19" s="27" t="s">
        <v>442</v>
      </c>
      <c r="B19" s="27" t="s">
        <v>427</v>
      </c>
    </row>
    <row r="20" spans="1:2" x14ac:dyDescent="0.3">
      <c r="A20" s="36" t="s">
        <v>255</v>
      </c>
      <c r="B20" s="36" t="s">
        <v>256</v>
      </c>
    </row>
    <row r="21" spans="1:2" x14ac:dyDescent="0.3">
      <c r="A21" s="27" t="s">
        <v>597</v>
      </c>
      <c r="B21" t="s">
        <v>618</v>
      </c>
    </row>
    <row r="22" spans="1:2" x14ac:dyDescent="0.3">
      <c r="A22" s="27" t="s">
        <v>586</v>
      </c>
      <c r="B22" s="27" t="s">
        <v>619</v>
      </c>
    </row>
    <row r="23" spans="1:2" x14ac:dyDescent="0.3">
      <c r="A23" s="27" t="s">
        <v>596</v>
      </c>
      <c r="B23" t="s">
        <v>620</v>
      </c>
    </row>
    <row r="24" spans="1:2" x14ac:dyDescent="0.3">
      <c r="A24" s="27" t="s">
        <v>621</v>
      </c>
      <c r="B24" s="27" t="s">
        <v>622</v>
      </c>
    </row>
    <row r="25" spans="1:2" x14ac:dyDescent="0.3">
      <c r="A25" s="27" t="s">
        <v>623</v>
      </c>
      <c r="B25" s="27" t="s">
        <v>624</v>
      </c>
    </row>
    <row r="26" spans="1:2" x14ac:dyDescent="0.3">
      <c r="A26" s="27" t="s">
        <v>625</v>
      </c>
      <c r="B26" s="27" t="s">
        <v>626</v>
      </c>
    </row>
    <row r="27" spans="1:2" x14ac:dyDescent="0.3">
      <c r="A27" s="27" t="s">
        <v>687</v>
      </c>
      <c r="B27" s="27" t="s">
        <v>698</v>
      </c>
    </row>
    <row r="28" spans="1:2" x14ac:dyDescent="0.3">
      <c r="A28" s="27" t="s">
        <v>688</v>
      </c>
      <c r="B28" s="27" t="s">
        <v>699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4"/>
  <sheetViews>
    <sheetView tabSelected="1" topLeftCell="A94" workbookViewId="0">
      <selection activeCell="B112" sqref="B112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5" x14ac:dyDescent="0.3">
      <c r="A1" s="1" t="s">
        <v>382</v>
      </c>
      <c r="B1" s="1" t="s">
        <v>3</v>
      </c>
      <c r="C1" s="2" t="s">
        <v>0</v>
      </c>
      <c r="D1" s="2" t="s">
        <v>1</v>
      </c>
      <c r="E1" s="77" t="s">
        <v>1233</v>
      </c>
    </row>
    <row r="2" spans="1:5" x14ac:dyDescent="0.3">
      <c r="A2" s="1" t="s">
        <v>2</v>
      </c>
      <c r="B2" s="1" t="s">
        <v>2</v>
      </c>
      <c r="C2" s="2" t="s">
        <v>2</v>
      </c>
      <c r="D2" s="2" t="s">
        <v>2</v>
      </c>
      <c r="E2" s="77" t="s">
        <v>2</v>
      </c>
    </row>
    <row r="3" spans="1:5" x14ac:dyDescent="0.3">
      <c r="A3" s="27"/>
      <c r="B3" s="27" t="s">
        <v>81</v>
      </c>
      <c r="C3" s="27" t="s">
        <v>82</v>
      </c>
      <c r="D3" s="41"/>
      <c r="E3" s="78" t="str">
        <f t="shared" ref="E3:E66" si="0">"C_"&amp;C3</f>
        <v>C_공격력</v>
      </c>
    </row>
    <row r="4" spans="1:5" x14ac:dyDescent="0.3">
      <c r="A4" s="27"/>
      <c r="B4" s="27" t="s">
        <v>84</v>
      </c>
      <c r="C4" s="36" t="s">
        <v>93</v>
      </c>
      <c r="D4" s="41"/>
      <c r="E4" s="78" t="str">
        <f t="shared" si="0"/>
        <v>C_공격속도</v>
      </c>
    </row>
    <row r="5" spans="1:5" x14ac:dyDescent="0.3">
      <c r="A5" s="27"/>
      <c r="B5" s="27" t="s">
        <v>91</v>
      </c>
      <c r="C5" s="36" t="s">
        <v>100</v>
      </c>
      <c r="D5" s="41"/>
      <c r="E5" s="78" t="str">
        <f t="shared" si="0"/>
        <v>C_보스피해량</v>
      </c>
    </row>
    <row r="6" spans="1:5" x14ac:dyDescent="0.3">
      <c r="A6" s="27"/>
      <c r="B6" s="27" t="s">
        <v>89</v>
      </c>
      <c r="C6" s="36" t="s">
        <v>98</v>
      </c>
      <c r="D6" s="41"/>
      <c r="E6" s="78" t="str">
        <f t="shared" si="0"/>
        <v>C_쿨타임감소</v>
      </c>
    </row>
    <row r="7" spans="1:5" x14ac:dyDescent="0.3">
      <c r="A7" s="27"/>
      <c r="B7" s="27" t="s">
        <v>90</v>
      </c>
      <c r="C7" s="36" t="s">
        <v>99</v>
      </c>
      <c r="D7" s="41"/>
      <c r="E7" s="78" t="str">
        <f t="shared" si="0"/>
        <v>C_치명위력</v>
      </c>
    </row>
    <row r="8" spans="1:5" x14ac:dyDescent="0.3">
      <c r="A8" s="27"/>
      <c r="B8" s="27" t="s">
        <v>88</v>
      </c>
      <c r="C8" s="36" t="s">
        <v>97</v>
      </c>
      <c r="D8" s="41"/>
      <c r="E8" s="78" t="str">
        <f t="shared" si="0"/>
        <v>C_치명타율</v>
      </c>
    </row>
    <row r="9" spans="1:5" x14ac:dyDescent="0.3">
      <c r="A9" s="27"/>
      <c r="B9" s="27" t="s">
        <v>83</v>
      </c>
      <c r="C9" s="36" t="s">
        <v>92</v>
      </c>
      <c r="D9" s="41"/>
      <c r="E9" s="78" t="str">
        <f t="shared" si="0"/>
        <v>C_방어력</v>
      </c>
    </row>
    <row r="10" spans="1:5" x14ac:dyDescent="0.3">
      <c r="A10" s="27"/>
      <c r="B10" s="27" t="s">
        <v>85</v>
      </c>
      <c r="C10" s="36" t="s">
        <v>94</v>
      </c>
      <c r="D10" s="41"/>
      <c r="E10" s="78" t="str">
        <f t="shared" si="0"/>
        <v>C_체력</v>
      </c>
    </row>
    <row r="11" spans="1:5" x14ac:dyDescent="0.3">
      <c r="A11" s="27"/>
      <c r="B11" s="27" t="s">
        <v>87</v>
      </c>
      <c r="C11" s="36" t="s">
        <v>96</v>
      </c>
      <c r="D11" s="41"/>
      <c r="E11" s="78" t="str">
        <f t="shared" si="0"/>
        <v>C_체력흡수</v>
      </c>
    </row>
    <row r="12" spans="1:5" x14ac:dyDescent="0.3">
      <c r="A12" s="27"/>
      <c r="B12" s="27" t="s">
        <v>86</v>
      </c>
      <c r="C12" s="36" t="s">
        <v>95</v>
      </c>
      <c r="D12" s="41"/>
      <c r="E12" s="78" t="str">
        <f t="shared" si="0"/>
        <v>C_이동속도</v>
      </c>
    </row>
    <row r="13" spans="1:5" x14ac:dyDescent="0.3">
      <c r="A13" s="27"/>
      <c r="B13" s="27" t="s">
        <v>112</v>
      </c>
      <c r="C13" s="36" t="s">
        <v>121</v>
      </c>
      <c r="D13" s="41"/>
      <c r="E13" s="78" t="str">
        <f t="shared" si="0"/>
        <v>C_농지</v>
      </c>
    </row>
    <row r="14" spans="1:5" x14ac:dyDescent="0.3">
      <c r="A14" s="27"/>
      <c r="B14" s="27" t="s">
        <v>116</v>
      </c>
      <c r="C14" s="27" t="s">
        <v>117</v>
      </c>
      <c r="D14" s="41"/>
      <c r="E14" s="78" t="str">
        <f t="shared" si="0"/>
        <v>C_성문</v>
      </c>
    </row>
    <row r="15" spans="1:5" x14ac:dyDescent="0.3">
      <c r="A15" s="27"/>
      <c r="B15" s="27" t="s">
        <v>113</v>
      </c>
      <c r="C15" s="36" t="s">
        <v>120</v>
      </c>
      <c r="D15" s="41"/>
      <c r="E15" s="78" t="str">
        <f t="shared" si="0"/>
        <v>C_시장</v>
      </c>
    </row>
    <row r="16" spans="1:5" x14ac:dyDescent="0.3">
      <c r="A16" s="27"/>
      <c r="B16" s="27" t="s">
        <v>115</v>
      </c>
      <c r="C16" s="27" t="s">
        <v>118</v>
      </c>
      <c r="D16" s="41"/>
      <c r="E16" s="78" t="str">
        <f t="shared" si="0"/>
        <v>C_행상</v>
      </c>
    </row>
    <row r="17" spans="1:5" x14ac:dyDescent="0.3">
      <c r="A17" s="27"/>
      <c r="B17" s="27" t="s">
        <v>114</v>
      </c>
      <c r="C17" s="27" t="s">
        <v>119</v>
      </c>
      <c r="D17" s="41"/>
      <c r="E17" s="78" t="str">
        <f t="shared" si="0"/>
        <v>C_관아</v>
      </c>
    </row>
    <row r="18" spans="1:5" x14ac:dyDescent="0.3">
      <c r="A18" s="27"/>
      <c r="B18" s="27" t="s">
        <v>111</v>
      </c>
      <c r="C18" s="36" t="s">
        <v>122</v>
      </c>
      <c r="D18" s="41"/>
      <c r="E18" s="78" t="str">
        <f t="shared" si="0"/>
        <v>C_궁성</v>
      </c>
    </row>
    <row r="19" spans="1:5" x14ac:dyDescent="0.3">
      <c r="A19" s="27"/>
      <c r="B19" s="27" t="s">
        <v>104</v>
      </c>
      <c r="C19" s="36" t="s">
        <v>109</v>
      </c>
      <c r="D19" s="41"/>
      <c r="E19" s="78" t="str">
        <f t="shared" si="0"/>
        <v>C_매력</v>
      </c>
    </row>
    <row r="20" spans="1:5" x14ac:dyDescent="0.3">
      <c r="A20" s="27"/>
      <c r="B20" s="27" t="s">
        <v>110</v>
      </c>
      <c r="C20" s="36" t="s">
        <v>107</v>
      </c>
      <c r="D20" s="41"/>
      <c r="E20" s="78" t="str">
        <f t="shared" si="0"/>
        <v>C_지력</v>
      </c>
    </row>
    <row r="21" spans="1:5" x14ac:dyDescent="0.3">
      <c r="A21" s="27"/>
      <c r="B21" s="27" t="s">
        <v>101</v>
      </c>
      <c r="C21" s="36" t="s">
        <v>105</v>
      </c>
      <c r="D21" s="41"/>
      <c r="E21" s="78" t="str">
        <f t="shared" si="0"/>
        <v>C_통솔</v>
      </c>
    </row>
    <row r="22" spans="1:5" x14ac:dyDescent="0.3">
      <c r="A22" s="27"/>
      <c r="B22" s="27" t="s">
        <v>103</v>
      </c>
      <c r="C22" s="36" t="s">
        <v>108</v>
      </c>
      <c r="D22" s="41"/>
      <c r="E22" s="78" t="str">
        <f t="shared" si="0"/>
        <v>C_정치</v>
      </c>
    </row>
    <row r="23" spans="1:5" x14ac:dyDescent="0.3">
      <c r="A23" s="27"/>
      <c r="B23" s="27" t="s">
        <v>102</v>
      </c>
      <c r="C23" s="36" t="s">
        <v>106</v>
      </c>
      <c r="D23" s="41"/>
      <c r="E23" s="78" t="str">
        <f t="shared" si="0"/>
        <v>C_무력</v>
      </c>
    </row>
    <row r="24" spans="1:5" x14ac:dyDescent="0.3">
      <c r="A24" s="27"/>
      <c r="B24" s="20" t="s">
        <v>152</v>
      </c>
      <c r="C24" s="20" t="s">
        <v>144</v>
      </c>
      <c r="D24" s="41"/>
      <c r="E24" s="78" t="str">
        <f t="shared" si="0"/>
        <v>C_난세</v>
      </c>
    </row>
    <row r="25" spans="1:5" x14ac:dyDescent="0.3">
      <c r="A25" s="27"/>
      <c r="B25" s="20" t="s">
        <v>153</v>
      </c>
      <c r="C25" s="20" t="s">
        <v>145</v>
      </c>
      <c r="D25" s="41"/>
      <c r="E25" s="78" t="str">
        <f t="shared" si="0"/>
        <v>C_극한</v>
      </c>
    </row>
    <row r="26" spans="1:5" x14ac:dyDescent="0.3">
      <c r="A26" s="27"/>
      <c r="B26" s="20" t="s">
        <v>154</v>
      </c>
      <c r="C26" s="20" t="s">
        <v>146</v>
      </c>
      <c r="D26" s="41"/>
      <c r="E26" s="78" t="str">
        <f t="shared" si="0"/>
        <v>C_지옥</v>
      </c>
    </row>
    <row r="27" spans="1:5" x14ac:dyDescent="0.3">
      <c r="A27" s="27"/>
      <c r="B27" s="20" t="s">
        <v>155</v>
      </c>
      <c r="C27" s="20" t="s">
        <v>147</v>
      </c>
      <c r="D27" s="41"/>
      <c r="E27" s="78" t="str">
        <f t="shared" si="0"/>
        <v>C_심연</v>
      </c>
    </row>
    <row r="28" spans="1:5" x14ac:dyDescent="0.3">
      <c r="A28" s="27"/>
      <c r="B28" s="20" t="s">
        <v>151</v>
      </c>
      <c r="C28" s="20" t="s">
        <v>60</v>
      </c>
      <c r="D28" s="41"/>
      <c r="E28" s="78" t="str">
        <f t="shared" si="0"/>
        <v>C_일반</v>
      </c>
    </row>
    <row r="29" spans="1:5" x14ac:dyDescent="0.3">
      <c r="A29" s="27"/>
      <c r="B29" s="27" t="s">
        <v>61</v>
      </c>
      <c r="C29" s="36" t="s">
        <v>62</v>
      </c>
      <c r="D29" s="41"/>
      <c r="E29" s="78" t="str">
        <f t="shared" si="0"/>
        <v>C_정예</v>
      </c>
    </row>
    <row r="30" spans="1:5" x14ac:dyDescent="0.3">
      <c r="A30" s="27"/>
      <c r="B30" s="27" t="s">
        <v>63</v>
      </c>
      <c r="C30" s="36" t="s">
        <v>66</v>
      </c>
      <c r="D30" s="41"/>
      <c r="E30" s="78" t="str">
        <f t="shared" si="0"/>
        <v>C_명장</v>
      </c>
    </row>
    <row r="31" spans="1:5" x14ac:dyDescent="0.3">
      <c r="A31" s="27"/>
      <c r="B31" s="27" t="s">
        <v>64</v>
      </c>
      <c r="C31" s="36" t="s">
        <v>65</v>
      </c>
      <c r="D31" s="41"/>
      <c r="E31" s="78" t="str">
        <f t="shared" si="0"/>
        <v>C_영웅</v>
      </c>
    </row>
    <row r="32" spans="1:5" x14ac:dyDescent="0.3">
      <c r="A32" s="27"/>
      <c r="B32" s="27" t="s">
        <v>67</v>
      </c>
      <c r="C32" s="36" t="s">
        <v>68</v>
      </c>
      <c r="D32" s="41"/>
      <c r="E32" s="78" t="str">
        <f t="shared" si="0"/>
        <v>C_전설</v>
      </c>
    </row>
    <row r="33" spans="1:5" x14ac:dyDescent="0.3">
      <c r="A33" s="27"/>
      <c r="B33" s="27" t="s">
        <v>59</v>
      </c>
      <c r="C33" s="36" t="s">
        <v>60</v>
      </c>
      <c r="D33" s="41"/>
      <c r="E33" s="78" t="str">
        <f t="shared" si="0"/>
        <v>C_일반</v>
      </c>
    </row>
    <row r="34" spans="1:5" x14ac:dyDescent="0.3">
      <c r="A34" s="27"/>
      <c r="B34" s="27" t="s">
        <v>878</v>
      </c>
      <c r="C34" s="36" t="s">
        <v>62</v>
      </c>
      <c r="D34" s="41"/>
      <c r="E34" s="78" t="str">
        <f t="shared" si="0"/>
        <v>C_정예</v>
      </c>
    </row>
    <row r="35" spans="1:5" x14ac:dyDescent="0.3">
      <c r="A35" s="27"/>
      <c r="B35" s="27" t="s">
        <v>879</v>
      </c>
      <c r="C35" s="36" t="s">
        <v>66</v>
      </c>
      <c r="D35" s="41"/>
      <c r="E35" s="78" t="str">
        <f t="shared" si="0"/>
        <v>C_명장</v>
      </c>
    </row>
    <row r="36" spans="1:5" x14ac:dyDescent="0.3">
      <c r="A36" s="27"/>
      <c r="B36" s="27" t="s">
        <v>880</v>
      </c>
      <c r="C36" s="36" t="s">
        <v>65</v>
      </c>
      <c r="D36" s="41"/>
      <c r="E36" s="78" t="str">
        <f t="shared" si="0"/>
        <v>C_영웅</v>
      </c>
    </row>
    <row r="37" spans="1:5" x14ac:dyDescent="0.3">
      <c r="A37" s="27"/>
      <c r="B37" s="27" t="s">
        <v>881</v>
      </c>
      <c r="C37" s="36" t="s">
        <v>68</v>
      </c>
      <c r="D37" s="41"/>
      <c r="E37" s="78" t="str">
        <f t="shared" si="0"/>
        <v>C_전설</v>
      </c>
    </row>
    <row r="38" spans="1:5" x14ac:dyDescent="0.3">
      <c r="A38" s="27"/>
      <c r="B38" s="27" t="s">
        <v>882</v>
      </c>
      <c r="C38" s="36" t="s">
        <v>60</v>
      </c>
      <c r="D38" s="41"/>
      <c r="E38" s="78" t="str">
        <f t="shared" si="0"/>
        <v>C_일반</v>
      </c>
    </row>
    <row r="39" spans="1:5" x14ac:dyDescent="0.3">
      <c r="A39" s="27"/>
      <c r="B39" s="27" t="s">
        <v>149</v>
      </c>
      <c r="C39" s="27" t="s">
        <v>75</v>
      </c>
      <c r="D39" s="41"/>
      <c r="E39" s="78" t="str">
        <f t="shared" si="0"/>
        <v>C_영혼석</v>
      </c>
    </row>
    <row r="40" spans="1:5" x14ac:dyDescent="0.3">
      <c r="A40" s="27"/>
      <c r="B40" s="27" t="s">
        <v>72</v>
      </c>
      <c r="C40" s="27" t="s">
        <v>73</v>
      </c>
      <c r="D40" s="41"/>
      <c r="E40" s="78" t="str">
        <f t="shared" si="0"/>
        <v>C_금화</v>
      </c>
    </row>
    <row r="41" spans="1:5" x14ac:dyDescent="0.3">
      <c r="A41" s="27"/>
      <c r="B41" s="27" t="s">
        <v>148</v>
      </c>
      <c r="C41" s="27" t="s">
        <v>77</v>
      </c>
      <c r="D41" s="41"/>
      <c r="E41" s="78" t="str">
        <f t="shared" si="0"/>
        <v>C_연회권</v>
      </c>
    </row>
    <row r="42" spans="1:5" x14ac:dyDescent="0.3">
      <c r="A42" s="27"/>
      <c r="B42" s="27" t="s">
        <v>78</v>
      </c>
      <c r="C42" s="27" t="s">
        <v>74</v>
      </c>
      <c r="D42" s="41"/>
      <c r="E42" s="78" t="str">
        <f t="shared" si="0"/>
        <v>C_군량</v>
      </c>
    </row>
    <row r="43" spans="1:5" x14ac:dyDescent="0.3">
      <c r="A43" s="27"/>
      <c r="B43" s="27" t="s">
        <v>150</v>
      </c>
      <c r="C43" s="27" t="s">
        <v>76</v>
      </c>
      <c r="D43" s="41"/>
      <c r="E43" s="78" t="str">
        <f t="shared" si="0"/>
        <v>C_시간석</v>
      </c>
    </row>
    <row r="44" spans="1:5" x14ac:dyDescent="0.3">
      <c r="A44" s="27"/>
      <c r="B44" s="27" t="s">
        <v>52</v>
      </c>
      <c r="C44" s="36" t="s">
        <v>53</v>
      </c>
      <c r="D44" s="41"/>
      <c r="E44" s="78" t="str">
        <f t="shared" si="0"/>
        <v>C_군주를 선택해 주세요.</v>
      </c>
    </row>
    <row r="45" spans="1:5" x14ac:dyDescent="0.3">
      <c r="A45" s="27"/>
      <c r="B45" s="27" t="s">
        <v>162</v>
      </c>
      <c r="C45" s="27" t="s">
        <v>163</v>
      </c>
      <c r="D45" s="41"/>
      <c r="E45" s="78" t="str">
        <f t="shared" si="0"/>
        <v>C_군</v>
      </c>
    </row>
    <row r="46" spans="1:5" x14ac:dyDescent="0.3">
      <c r="A46" s="27"/>
      <c r="B46" s="27" t="s">
        <v>265</v>
      </c>
      <c r="C46" s="27" t="s">
        <v>261</v>
      </c>
      <c r="D46" s="41"/>
      <c r="E46" s="78" t="str">
        <f t="shared" si="0"/>
        <v>C_군웅</v>
      </c>
    </row>
    <row r="47" spans="1:5" x14ac:dyDescent="0.3">
      <c r="A47" s="27"/>
      <c r="B47" s="27" t="s">
        <v>263</v>
      </c>
      <c r="C47" s="27" t="s">
        <v>259</v>
      </c>
      <c r="D47" s="41"/>
      <c r="E47" s="78" t="str">
        <f t="shared" si="0"/>
        <v>C_촉나라</v>
      </c>
    </row>
    <row r="48" spans="1:5" x14ac:dyDescent="0.3">
      <c r="A48" s="27"/>
      <c r="B48" s="27" t="s">
        <v>262</v>
      </c>
      <c r="C48" s="27" t="s">
        <v>258</v>
      </c>
      <c r="D48" s="41"/>
      <c r="E48" s="78" t="str">
        <f t="shared" si="0"/>
        <v>C_위나라</v>
      </c>
    </row>
    <row r="49" spans="1:5" x14ac:dyDescent="0.3">
      <c r="A49" s="27"/>
      <c r="B49" s="27" t="s">
        <v>264</v>
      </c>
      <c r="C49" s="27" t="s">
        <v>260</v>
      </c>
      <c r="D49" s="41"/>
      <c r="E49" s="78" t="str">
        <f t="shared" si="0"/>
        <v>C_오나라</v>
      </c>
    </row>
    <row r="50" spans="1:5" x14ac:dyDescent="0.3">
      <c r="A50" s="27"/>
      <c r="B50" s="27" t="s">
        <v>161</v>
      </c>
      <c r="C50" s="27" t="s">
        <v>157</v>
      </c>
      <c r="D50" s="41"/>
      <c r="E50" s="78" t="str">
        <f t="shared" si="0"/>
        <v>C_촉</v>
      </c>
    </row>
    <row r="51" spans="1:5" x14ac:dyDescent="0.3">
      <c r="A51" s="27"/>
      <c r="B51" s="27" t="s">
        <v>159</v>
      </c>
      <c r="C51" s="27" t="s">
        <v>156</v>
      </c>
      <c r="D51" s="41"/>
      <c r="E51" s="78" t="str">
        <f t="shared" si="0"/>
        <v>C_위</v>
      </c>
    </row>
    <row r="52" spans="1:5" x14ac:dyDescent="0.3">
      <c r="A52" s="27"/>
      <c r="B52" s="27" t="s">
        <v>160</v>
      </c>
      <c r="C52" s="27" t="s">
        <v>158</v>
      </c>
      <c r="D52" s="41"/>
      <c r="E52" s="78" t="str">
        <f t="shared" si="0"/>
        <v>C_오</v>
      </c>
    </row>
    <row r="53" spans="1:5" x14ac:dyDescent="0.3">
      <c r="A53" s="27" t="s">
        <v>540</v>
      </c>
      <c r="B53" s="27" t="str">
        <f>"SORTTYPE_"&amp;A53</f>
        <v>SORTTYPE_CLASS</v>
      </c>
      <c r="C53" s="27" t="s">
        <v>545</v>
      </c>
      <c r="D53" s="41"/>
      <c r="E53" s="78" t="str">
        <f t="shared" si="0"/>
        <v>C_역할</v>
      </c>
    </row>
    <row r="54" spans="1:5" x14ac:dyDescent="0.3">
      <c r="A54" s="27" t="s">
        <v>541</v>
      </c>
      <c r="B54" s="27" t="str">
        <f>"SORTTYPE_"&amp;A54</f>
        <v>SORTTYPE_GRADE</v>
      </c>
      <c r="C54" s="27" t="s">
        <v>546</v>
      </c>
      <c r="D54" s="41"/>
      <c r="E54" s="78" t="str">
        <f t="shared" si="0"/>
        <v>C_등급</v>
      </c>
    </row>
    <row r="55" spans="1:5" x14ac:dyDescent="0.3">
      <c r="A55" s="27" t="s">
        <v>542</v>
      </c>
      <c r="B55" s="27" t="str">
        <f>"SORTTYPE_"&amp;A55</f>
        <v>SORTTYPE_LEVEL</v>
      </c>
      <c r="C55" s="27" t="s">
        <v>547</v>
      </c>
      <c r="D55" s="41"/>
      <c r="E55" s="78" t="str">
        <f t="shared" si="0"/>
        <v>C_레벨</v>
      </c>
    </row>
    <row r="56" spans="1:5" x14ac:dyDescent="0.3">
      <c r="A56" s="27" t="s">
        <v>543</v>
      </c>
      <c r="B56" s="27" t="str">
        <f>"SORTTYPE_"&amp;A56</f>
        <v>SORTTYPE_POWER</v>
      </c>
      <c r="C56" s="27" t="s">
        <v>548</v>
      </c>
      <c r="D56" s="41"/>
      <c r="E56" s="78" t="str">
        <f t="shared" si="0"/>
        <v>C_전투력</v>
      </c>
    </row>
    <row r="57" spans="1:5" x14ac:dyDescent="0.3">
      <c r="A57" s="27" t="s">
        <v>539</v>
      </c>
      <c r="B57" s="27" t="str">
        <f>"SORTTYPE_"&amp;A57</f>
        <v>SORTTYPE_REGION</v>
      </c>
      <c r="C57" s="27" t="s">
        <v>544</v>
      </c>
      <c r="D57" s="41"/>
      <c r="E57" s="78" t="str">
        <f t="shared" si="0"/>
        <v>C_국가</v>
      </c>
    </row>
    <row r="58" spans="1:5" x14ac:dyDescent="0.3">
      <c r="A58" s="27"/>
      <c r="B58" s="27" t="s">
        <v>549</v>
      </c>
      <c r="C58" s="27" t="s">
        <v>366</v>
      </c>
      <c r="D58" s="41"/>
      <c r="E58" s="78" t="str">
        <f t="shared" si="0"/>
        <v>C_전체</v>
      </c>
    </row>
    <row r="59" spans="1:5" x14ac:dyDescent="0.3">
      <c r="A59" s="27"/>
      <c r="B59" s="27" t="s">
        <v>517</v>
      </c>
      <c r="C59" s="27" t="s">
        <v>526</v>
      </c>
      <c r="D59" s="41"/>
      <c r="E59" s="78" t="str">
        <f t="shared" si="0"/>
        <v>C_재화 획득 / 관리</v>
      </c>
    </row>
    <row r="60" spans="1:5" x14ac:dyDescent="0.3">
      <c r="A60" s="27"/>
      <c r="B60" s="27" t="s">
        <v>513</v>
      </c>
      <c r="C60" s="27" t="s">
        <v>520</v>
      </c>
      <c r="D60" s="41"/>
      <c r="E60" s="78" t="str">
        <f t="shared" si="0"/>
        <v>C_영지 방문</v>
      </c>
    </row>
    <row r="61" spans="1:5" x14ac:dyDescent="0.3">
      <c r="A61" s="27"/>
      <c r="B61" s="27" t="s">
        <v>518</v>
      </c>
      <c r="C61" s="27" t="s">
        <v>525</v>
      </c>
      <c r="D61" s="41"/>
      <c r="E61" s="78" t="str">
        <f t="shared" si="0"/>
        <v>C_영혼석 획득 / 장수모집</v>
      </c>
    </row>
    <row r="62" spans="1:5" x14ac:dyDescent="0.3">
      <c r="A62" s="27"/>
      <c r="B62" s="27" t="s">
        <v>514</v>
      </c>
      <c r="C62" s="27" t="s">
        <v>521</v>
      </c>
      <c r="D62" s="41"/>
      <c r="E62" s="78" t="str">
        <f t="shared" si="0"/>
        <v>C_연회 열기</v>
      </c>
    </row>
    <row r="63" spans="1:5" x14ac:dyDescent="0.3">
      <c r="A63" s="27"/>
      <c r="B63" s="27" t="s">
        <v>516</v>
      </c>
      <c r="C63" s="27" t="s">
        <v>523</v>
      </c>
      <c r="D63" s="41"/>
      <c r="E63" s="78" t="str">
        <f t="shared" si="0"/>
        <v>C_승급 / 강화 / 유물강화 / 보물</v>
      </c>
    </row>
    <row r="64" spans="1:5" x14ac:dyDescent="0.3">
      <c r="A64" s="27"/>
      <c r="B64" s="27" t="s">
        <v>512</v>
      </c>
      <c r="C64" s="27" t="s">
        <v>550</v>
      </c>
      <c r="D64" s="41"/>
      <c r="E64" s="78" t="str">
        <f t="shared" si="0"/>
        <v>C_장수 관리</v>
      </c>
    </row>
    <row r="65" spans="1:5" x14ac:dyDescent="0.3">
      <c r="A65" s="27"/>
      <c r="B65" s="27" t="s">
        <v>519</v>
      </c>
      <c r="C65" s="27" t="s">
        <v>524</v>
      </c>
      <c r="D65" s="41"/>
      <c r="E65" s="78" t="str">
        <f t="shared" si="0"/>
        <v>C_스테이지 초기화 / 시간석 획득</v>
      </c>
    </row>
    <row r="66" spans="1:5" x14ac:dyDescent="0.3">
      <c r="A66" s="27"/>
      <c r="B66" s="27" t="s">
        <v>515</v>
      </c>
      <c r="C66" s="27" t="s">
        <v>522</v>
      </c>
      <c r="D66" s="41"/>
      <c r="E66" s="78" t="str">
        <f t="shared" si="0"/>
        <v>C_시간 되돌리기</v>
      </c>
    </row>
    <row r="67" spans="1:5" x14ac:dyDescent="0.3">
      <c r="A67" s="27"/>
      <c r="B67" s="27" t="s">
        <v>284</v>
      </c>
      <c r="C67" s="27" t="s">
        <v>290</v>
      </c>
      <c r="D67" s="27" t="s">
        <v>297</v>
      </c>
      <c r="E67" s="78" t="str">
        <f t="shared" ref="E67:E131" si="1">"C_"&amp;C67</f>
        <v>C_금요일</v>
      </c>
    </row>
    <row r="68" spans="1:5" x14ac:dyDescent="0.3">
      <c r="A68" s="27"/>
      <c r="B68" s="27" t="s">
        <v>280</v>
      </c>
      <c r="C68" s="27" t="s">
        <v>279</v>
      </c>
      <c r="D68" s="27" t="s">
        <v>293</v>
      </c>
      <c r="E68" s="78" t="str">
        <f t="shared" si="1"/>
        <v>C_월요일</v>
      </c>
    </row>
    <row r="69" spans="1:5" x14ac:dyDescent="0.3">
      <c r="A69" s="27"/>
      <c r="B69" s="27" t="s">
        <v>285</v>
      </c>
      <c r="C69" s="27" t="s">
        <v>291</v>
      </c>
      <c r="D69" s="27" t="s">
        <v>298</v>
      </c>
      <c r="E69" s="78" t="str">
        <f t="shared" si="1"/>
        <v>C_토요일</v>
      </c>
    </row>
    <row r="70" spans="1:5" x14ac:dyDescent="0.3">
      <c r="A70" s="27"/>
      <c r="B70" s="27" t="s">
        <v>286</v>
      </c>
      <c r="C70" s="27" t="s">
        <v>292</v>
      </c>
      <c r="D70" s="27" t="s">
        <v>299</v>
      </c>
      <c r="E70" s="78" t="str">
        <f t="shared" si="1"/>
        <v>C_일요일</v>
      </c>
    </row>
    <row r="71" spans="1:5" x14ac:dyDescent="0.3">
      <c r="A71" s="27"/>
      <c r="B71" s="27" t="s">
        <v>283</v>
      </c>
      <c r="C71" s="27" t="s">
        <v>289</v>
      </c>
      <c r="D71" s="27" t="s">
        <v>296</v>
      </c>
      <c r="E71" s="78" t="str">
        <f t="shared" si="1"/>
        <v>C_목요일</v>
      </c>
    </row>
    <row r="72" spans="1:5" x14ac:dyDescent="0.3">
      <c r="A72" s="27"/>
      <c r="B72" s="27" t="s">
        <v>281</v>
      </c>
      <c r="C72" s="27" t="s">
        <v>287</v>
      </c>
      <c r="D72" s="27" t="s">
        <v>294</v>
      </c>
      <c r="E72" s="78" t="str">
        <f t="shared" si="1"/>
        <v>C_화요일</v>
      </c>
    </row>
    <row r="73" spans="1:5" x14ac:dyDescent="0.3">
      <c r="A73" s="27"/>
      <c r="B73" s="27" t="s">
        <v>282</v>
      </c>
      <c r="C73" s="27" t="s">
        <v>288</v>
      </c>
      <c r="D73" s="27" t="s">
        <v>295</v>
      </c>
      <c r="E73" s="78" t="str">
        <f t="shared" si="1"/>
        <v>C_수요일</v>
      </c>
    </row>
    <row r="74" spans="1:5" x14ac:dyDescent="0.3">
      <c r="A74" s="27"/>
      <c r="B74" s="27" t="s">
        <v>887</v>
      </c>
      <c r="C74" s="27" t="s">
        <v>883</v>
      </c>
      <c r="D74" s="41"/>
      <c r="E74" s="78" t="str">
        <f t="shared" si="1"/>
        <v>C_일일상점</v>
      </c>
    </row>
    <row r="75" spans="1:5" x14ac:dyDescent="0.3">
      <c r="A75" s="27"/>
      <c r="B75" s="27" t="s">
        <v>888</v>
      </c>
      <c r="C75" s="27" t="s">
        <v>884</v>
      </c>
      <c r="D75" s="41"/>
      <c r="E75" s="78" t="str">
        <f t="shared" si="1"/>
        <v>C_파편상점</v>
      </c>
    </row>
    <row r="76" spans="1:5" x14ac:dyDescent="0.3">
      <c r="A76" s="27"/>
      <c r="B76" s="27" t="s">
        <v>889</v>
      </c>
      <c r="C76" s="27" t="s">
        <v>885</v>
      </c>
      <c r="D76" s="41"/>
      <c r="E76" s="78" t="str">
        <f t="shared" si="1"/>
        <v>C_비무상점</v>
      </c>
    </row>
    <row r="77" spans="1:5" x14ac:dyDescent="0.3">
      <c r="A77" s="27"/>
      <c r="B77" s="27" t="s">
        <v>890</v>
      </c>
      <c r="C77" s="27" t="s">
        <v>886</v>
      </c>
      <c r="D77" s="41"/>
      <c r="E77" s="78" t="str">
        <f t="shared" si="1"/>
        <v>C_상품은 매일 정해진 시간에 초기화되며, 등급에 따라 등장할 확률이 구분됩니다.\n&lt;size=85%&gt;일반 : 50%\t정예 28%\t명장 : 14%\n영웅 : 6%\t전설 : 2%&lt;/size&gt;</v>
      </c>
    </row>
    <row r="78" spans="1:5" x14ac:dyDescent="0.3">
      <c r="A78" s="27"/>
      <c r="B78" s="27" t="s">
        <v>891</v>
      </c>
      <c r="C78" s="27" t="s">
        <v>899</v>
      </c>
      <c r="D78" s="41"/>
      <c r="E78" s="78" t="str">
        <f t="shared" si="1"/>
        <v>C_레이드 처치 후 포인트를 획득하여 원하는 아이템으로 교환하세요!\n*종료 기간까지 포인트를 사용하지 않을 경우 포인트는 소멸됩니다.</v>
      </c>
    </row>
    <row r="79" spans="1:5" x14ac:dyDescent="0.3">
      <c r="A79" s="27"/>
      <c r="B79" s="27" t="s">
        <v>892</v>
      </c>
      <c r="C79" s="27" t="s">
        <v>900</v>
      </c>
      <c r="D79" s="41"/>
      <c r="E79" s="78" t="str">
        <f t="shared" si="1"/>
        <v>C_비무대회 참여 후 포인트를 획득하여 원하는 아이템으로 교환하세요!</v>
      </c>
    </row>
    <row r="80" spans="1:5" x14ac:dyDescent="0.3">
      <c r="A80" s="27"/>
      <c r="B80" s="27" t="s">
        <v>894</v>
      </c>
      <c r="C80" s="27" t="s">
        <v>898</v>
      </c>
      <c r="D80" s="41"/>
      <c r="E80" s="78" t="str">
        <f t="shared" si="1"/>
        <v>C_일일</v>
      </c>
    </row>
    <row r="81" spans="1:5" x14ac:dyDescent="0.3">
      <c r="A81" s="27"/>
      <c r="B81" s="27" t="s">
        <v>893</v>
      </c>
      <c r="C81" s="27" t="s">
        <v>897</v>
      </c>
      <c r="D81" s="41"/>
      <c r="E81" s="78" t="str">
        <f t="shared" si="1"/>
        <v>C_주간</v>
      </c>
    </row>
    <row r="82" spans="1:5" x14ac:dyDescent="0.3">
      <c r="A82" s="27"/>
      <c r="B82" s="27" t="s">
        <v>895</v>
      </c>
      <c r="C82" s="27" t="s">
        <v>896</v>
      </c>
      <c r="D82" s="41"/>
      <c r="E82" s="78" t="str">
        <f t="shared" si="1"/>
        <v>C_기간</v>
      </c>
    </row>
    <row r="83" spans="1:5" x14ac:dyDescent="0.3">
      <c r="A83" s="27"/>
      <c r="B83" s="27" t="s">
        <v>952</v>
      </c>
      <c r="C83" s="27" t="s">
        <v>959</v>
      </c>
      <c r="D83" s="41"/>
      <c r="E83" s="78" t="str">
        <f t="shared" si="1"/>
        <v>C_중급</v>
      </c>
    </row>
    <row r="84" spans="1:5" x14ac:dyDescent="0.3">
      <c r="A84" s="27"/>
      <c r="B84" s="27" t="s">
        <v>953</v>
      </c>
      <c r="C84" s="27" t="s">
        <v>958</v>
      </c>
      <c r="D84" s="41"/>
      <c r="E84" s="78" t="str">
        <f t="shared" si="1"/>
        <v>C_상급</v>
      </c>
    </row>
    <row r="85" spans="1:5" x14ac:dyDescent="0.3">
      <c r="A85" s="27"/>
      <c r="B85" s="27" t="s">
        <v>954</v>
      </c>
      <c r="C85" s="27" t="s">
        <v>957</v>
      </c>
      <c r="D85" s="41"/>
      <c r="E85" s="78" t="str">
        <f t="shared" si="1"/>
        <v>C_최상급</v>
      </c>
    </row>
    <row r="86" spans="1:5" x14ac:dyDescent="0.3">
      <c r="A86" s="27"/>
      <c r="B86" s="27" t="s">
        <v>955</v>
      </c>
      <c r="C86" s="27" t="s">
        <v>68</v>
      </c>
      <c r="D86" s="41"/>
      <c r="E86" s="78" t="str">
        <f t="shared" si="1"/>
        <v>C_전설</v>
      </c>
    </row>
    <row r="87" spans="1:5" x14ac:dyDescent="0.3">
      <c r="A87" s="27"/>
      <c r="B87" s="27" t="s">
        <v>956</v>
      </c>
      <c r="C87" s="27" t="s">
        <v>60</v>
      </c>
      <c r="D87" s="41"/>
      <c r="E87" s="78" t="str">
        <f t="shared" si="1"/>
        <v>C_일반</v>
      </c>
    </row>
    <row r="88" spans="1:5" x14ac:dyDescent="0.3">
      <c r="A88" s="61" t="s">
        <v>970</v>
      </c>
      <c r="B88" s="27" t="str">
        <f t="shared" ref="B88:B100" si="2">"CHARACTER_POSITION_"&amp;UPPER(A88)</f>
        <v>CHARACTER_POSITION_PRIME_MINISTER</v>
      </c>
      <c r="C88" s="47" t="s">
        <v>976</v>
      </c>
      <c r="D88" s="41"/>
      <c r="E88" s="78" t="str">
        <f t="shared" si="1"/>
        <v>C_승상</v>
      </c>
    </row>
    <row r="89" spans="1:5" x14ac:dyDescent="0.3">
      <c r="A89" s="61" t="s">
        <v>984</v>
      </c>
      <c r="B89" s="27" t="str">
        <f t="shared" si="2"/>
        <v>CHARACTER_POSITION_GRAND_GENERAL</v>
      </c>
      <c r="C89" s="47" t="s">
        <v>977</v>
      </c>
      <c r="D89" s="41"/>
      <c r="E89" s="78" t="str">
        <f t="shared" si="1"/>
        <v>C_대장군</v>
      </c>
    </row>
    <row r="90" spans="1:5" x14ac:dyDescent="0.3">
      <c r="A90" s="61" t="s">
        <v>985</v>
      </c>
      <c r="B90" s="27" t="str">
        <f t="shared" si="2"/>
        <v>CHARACTER_POSITION_GRAND_STRATEGIST</v>
      </c>
      <c r="C90" s="47" t="s">
        <v>991</v>
      </c>
      <c r="D90" s="41"/>
      <c r="E90" s="78" t="str">
        <f t="shared" si="1"/>
        <v>C_군사</v>
      </c>
    </row>
    <row r="91" spans="1:5" x14ac:dyDescent="0.3">
      <c r="A91" s="61" t="s">
        <v>971</v>
      </c>
      <c r="B91" s="27" t="str">
        <f t="shared" si="2"/>
        <v>CHARACTER_POSITION_DIRECTOR_OF_THE_SECRETARIAT</v>
      </c>
      <c r="C91" s="47" t="s">
        <v>978</v>
      </c>
      <c r="D91" s="41"/>
      <c r="E91" s="78" t="str">
        <f t="shared" si="1"/>
        <v>C_상서령</v>
      </c>
    </row>
    <row r="92" spans="1:5" x14ac:dyDescent="0.3">
      <c r="A92" t="s">
        <v>986</v>
      </c>
      <c r="B92" s="27" t="str">
        <f t="shared" si="2"/>
        <v>CHARACTER_POSITION_PALACE_ASSISTANT_INSPECTOR</v>
      </c>
      <c r="C92" t="s">
        <v>992</v>
      </c>
      <c r="D92" s="41"/>
      <c r="E92" s="78" t="str">
        <f t="shared" si="1"/>
        <v>C_어사중승</v>
      </c>
    </row>
    <row r="93" spans="1:5" x14ac:dyDescent="0.3">
      <c r="A93" s="61" t="s">
        <v>972</v>
      </c>
      <c r="B93" s="27" t="str">
        <f t="shared" si="2"/>
        <v>CHARACTER_POSITION_GENERAL_OF_THE_VANGUARD</v>
      </c>
      <c r="C93" s="47" t="s">
        <v>979</v>
      </c>
      <c r="D93" s="41"/>
      <c r="E93" s="78" t="str">
        <f t="shared" si="1"/>
        <v>C_전장군</v>
      </c>
    </row>
    <row r="94" spans="1:5" x14ac:dyDescent="0.2">
      <c r="A94" s="62" t="s">
        <v>973</v>
      </c>
      <c r="B94" s="27" t="str">
        <f t="shared" si="2"/>
        <v>CHARACTER_POSITION_GENERAL_OF_THE_LEFT</v>
      </c>
      <c r="C94" s="25" t="s">
        <v>980</v>
      </c>
      <c r="D94" s="41"/>
      <c r="E94" s="78" t="str">
        <f t="shared" si="1"/>
        <v>C_좌장군</v>
      </c>
    </row>
    <row r="95" spans="1:5" x14ac:dyDescent="0.2">
      <c r="A95" s="62" t="s">
        <v>974</v>
      </c>
      <c r="B95" s="27" t="str">
        <f t="shared" si="2"/>
        <v>CHARACTER_POSITION_GENERAL_OF_THE_RIGHT</v>
      </c>
      <c r="C95" s="25" t="s">
        <v>981</v>
      </c>
      <c r="D95" s="41"/>
      <c r="E95" s="78" t="str">
        <f t="shared" si="1"/>
        <v>C_우장군</v>
      </c>
    </row>
    <row r="96" spans="1:5" x14ac:dyDescent="0.2">
      <c r="A96" s="62" t="s">
        <v>975</v>
      </c>
      <c r="B96" s="27" t="str">
        <f t="shared" si="2"/>
        <v>CHARACTER_POSITION_GENERAL_OF_THE_REAR</v>
      </c>
      <c r="C96" s="25" t="s">
        <v>982</v>
      </c>
      <c r="D96" s="41"/>
      <c r="E96" s="78" t="str">
        <f t="shared" si="1"/>
        <v>C_후장군</v>
      </c>
    </row>
    <row r="97" spans="1:5" x14ac:dyDescent="0.2">
      <c r="A97" s="27" t="s">
        <v>987</v>
      </c>
      <c r="B97" s="27" t="str">
        <f t="shared" si="2"/>
        <v>CHARACTER_POSITION_SUPPRESSES_BANDITS</v>
      </c>
      <c r="C97" s="25" t="s">
        <v>993</v>
      </c>
      <c r="D97" s="41"/>
      <c r="E97" s="78" t="str">
        <f t="shared" si="1"/>
        <v>C_탕구장군</v>
      </c>
    </row>
    <row r="98" spans="1:5" x14ac:dyDescent="0.3">
      <c r="A98" s="27" t="s">
        <v>988</v>
      </c>
      <c r="B98" s="27" t="str">
        <f t="shared" si="2"/>
        <v>CHARACTER_POSITION_VANQUISHES_REBELS</v>
      </c>
      <c r="C98" s="63" t="s">
        <v>994</v>
      </c>
      <c r="D98" s="41"/>
      <c r="E98" s="78" t="str">
        <f t="shared" si="1"/>
        <v>C_파적장군</v>
      </c>
    </row>
    <row r="99" spans="1:5" x14ac:dyDescent="0.3">
      <c r="A99" s="27" t="s">
        <v>989</v>
      </c>
      <c r="B99" s="27" t="str">
        <f t="shared" si="2"/>
        <v>CHARACTER_POSITION_THE_STANDARD</v>
      </c>
      <c r="C99" s="63" t="s">
        <v>995</v>
      </c>
      <c r="D99" s="41"/>
      <c r="E99" s="78" t="str">
        <f t="shared" si="1"/>
        <v>C_아문장군</v>
      </c>
    </row>
    <row r="100" spans="1:5" x14ac:dyDescent="0.3">
      <c r="A100" s="27" t="s">
        <v>990</v>
      </c>
      <c r="B100" s="27" t="str">
        <f t="shared" si="2"/>
        <v>CHARACTER_POSITION_CHIEF_MILITARY_ADVISER</v>
      </c>
      <c r="C100" s="63" t="s">
        <v>996</v>
      </c>
      <c r="D100" s="41"/>
      <c r="E100" s="78" t="str">
        <f t="shared" si="1"/>
        <v>C_군사중랑장</v>
      </c>
    </row>
    <row r="101" spans="1:5" x14ac:dyDescent="0.3">
      <c r="A101" s="27" t="s">
        <v>983</v>
      </c>
      <c r="B101" s="27" t="str">
        <f>"CHARACTER_POSITION_"&amp;UPPER(A101)</f>
        <v>CHARACTER_POSITION_DRAGON_FIGHTER</v>
      </c>
      <c r="C101" s="27" t="s">
        <v>997</v>
      </c>
      <c r="D101" s="41"/>
      <c r="E101" s="78" t="str">
        <f t="shared" si="1"/>
        <v>C_용의 전사</v>
      </c>
    </row>
    <row r="102" spans="1:5" x14ac:dyDescent="0.3">
      <c r="B102" s="6" t="s">
        <v>1061</v>
      </c>
      <c r="C102" s="6" t="s">
        <v>1062</v>
      </c>
      <c r="D102" s="41"/>
      <c r="E102" s="78" t="str">
        <f t="shared" si="1"/>
        <v>C_받기</v>
      </c>
    </row>
    <row r="103" spans="1:5" x14ac:dyDescent="0.3">
      <c r="B103" t="s">
        <v>1063</v>
      </c>
      <c r="C103" s="64" t="s">
        <v>1089</v>
      </c>
      <c r="D103" s="41"/>
      <c r="E103" s="78" t="str">
        <f t="shared" si="1"/>
        <v>C_이동</v>
      </c>
    </row>
    <row r="104" spans="1:5" x14ac:dyDescent="0.3">
      <c r="B104" s="6" t="s">
        <v>1064</v>
      </c>
      <c r="C104" s="64" t="s">
        <v>1065</v>
      </c>
      <c r="D104" s="41"/>
      <c r="E104" s="78" t="str">
        <f t="shared" si="1"/>
        <v>C_보기</v>
      </c>
    </row>
    <row r="105" spans="1:5" x14ac:dyDescent="0.3">
      <c r="B105" t="s">
        <v>1090</v>
      </c>
      <c r="C105" s="64" t="s">
        <v>1088</v>
      </c>
      <c r="D105" s="41"/>
      <c r="E105" s="78" t="str">
        <f t="shared" si="1"/>
        <v>C_완료</v>
      </c>
    </row>
    <row r="106" spans="1:5" x14ac:dyDescent="0.3">
      <c r="B106" s="69" t="s">
        <v>1091</v>
      </c>
      <c r="C106" s="64" t="s">
        <v>1092</v>
      </c>
      <c r="D106" s="41"/>
      <c r="E106" s="78" t="str">
        <f t="shared" si="1"/>
        <v>C_획득완료</v>
      </c>
    </row>
    <row r="107" spans="1:5" x14ac:dyDescent="0.3">
      <c r="B107" t="s">
        <v>1096</v>
      </c>
      <c r="C107" s="64" t="s">
        <v>1093</v>
      </c>
      <c r="D107" s="41"/>
      <c r="E107" s="78" t="str">
        <f t="shared" si="1"/>
        <v>C_편집</v>
      </c>
    </row>
    <row r="108" spans="1:5" x14ac:dyDescent="0.3">
      <c r="B108" s="69" t="s">
        <v>1097</v>
      </c>
      <c r="C108" s="64" t="s">
        <v>1094</v>
      </c>
      <c r="D108" s="41"/>
      <c r="E108" s="78" t="str">
        <f t="shared" si="1"/>
        <v>C_확인</v>
      </c>
    </row>
    <row r="109" spans="1:5" x14ac:dyDescent="0.3">
      <c r="B109" t="s">
        <v>1098</v>
      </c>
      <c r="C109" s="64" t="s">
        <v>1095</v>
      </c>
      <c r="D109" s="41"/>
      <c r="E109" s="78" t="str">
        <f t="shared" si="1"/>
        <v>C_저장</v>
      </c>
    </row>
    <row r="110" spans="1:5" x14ac:dyDescent="0.3">
      <c r="B110" t="s">
        <v>1099</v>
      </c>
      <c r="C110" s="64" t="s">
        <v>1088</v>
      </c>
      <c r="D110" s="41"/>
      <c r="E110" s="78" t="str">
        <f t="shared" si="1"/>
        <v>C_완료</v>
      </c>
    </row>
    <row r="111" spans="1:5" x14ac:dyDescent="0.3">
      <c r="B111" t="s">
        <v>1220</v>
      </c>
      <c r="C111" s="64" t="s">
        <v>1221</v>
      </c>
      <c r="D111" s="41"/>
      <c r="E111" s="78" t="str">
        <f t="shared" si="1"/>
        <v>C_취소</v>
      </c>
    </row>
    <row r="112" spans="1:5" x14ac:dyDescent="0.3">
      <c r="B112" t="s">
        <v>1100</v>
      </c>
      <c r="C112" s="64" t="s">
        <v>1101</v>
      </c>
      <c r="D112" s="41"/>
      <c r="E112" s="78" t="str">
        <f t="shared" si="1"/>
        <v>C_배치</v>
      </c>
    </row>
    <row r="113" spans="2:5" x14ac:dyDescent="0.3">
      <c r="B113" t="s">
        <v>1389</v>
      </c>
      <c r="C113" s="64" t="s">
        <v>1390</v>
      </c>
      <c r="D113" s="41"/>
      <c r="E113" s="78" t="str">
        <f t="shared" si="1"/>
        <v>C_주장 위치</v>
      </c>
    </row>
    <row r="114" spans="2:5" x14ac:dyDescent="0.3">
      <c r="B114" t="s">
        <v>1102</v>
      </c>
      <c r="C114" s="64" t="s">
        <v>1103</v>
      </c>
      <c r="D114" s="41"/>
      <c r="E114" s="78" t="str">
        <f t="shared" si="1"/>
        <v>C_전열</v>
      </c>
    </row>
    <row r="115" spans="2:5" x14ac:dyDescent="0.3">
      <c r="B115" t="s">
        <v>1104</v>
      </c>
      <c r="C115" s="64" t="s">
        <v>1105</v>
      </c>
      <c r="D115" s="41"/>
      <c r="E115" s="78" t="str">
        <f t="shared" si="1"/>
        <v>C_후열</v>
      </c>
    </row>
    <row r="116" spans="2:5" x14ac:dyDescent="0.3">
      <c r="B116" t="s">
        <v>1107</v>
      </c>
      <c r="C116" s="64" t="s">
        <v>1106</v>
      </c>
      <c r="D116" s="41"/>
      <c r="E116" s="78" t="str">
        <f t="shared" si="1"/>
        <v>C_주장</v>
      </c>
    </row>
    <row r="117" spans="2:5" x14ac:dyDescent="0.3">
      <c r="B117" t="s">
        <v>1108</v>
      </c>
      <c r="C117" s="64" t="s">
        <v>1109</v>
      </c>
      <c r="D117" s="41"/>
      <c r="E117" s="78" t="str">
        <f t="shared" si="1"/>
        <v>C_부장</v>
      </c>
    </row>
    <row r="118" spans="2:5" x14ac:dyDescent="0.3">
      <c r="B118" t="s">
        <v>1110</v>
      </c>
      <c r="C118" s="64" t="s">
        <v>1111</v>
      </c>
      <c r="D118" s="41"/>
      <c r="E118" s="78" t="str">
        <f t="shared" si="1"/>
        <v>C_필터</v>
      </c>
    </row>
    <row r="119" spans="2:5" x14ac:dyDescent="0.3">
      <c r="B119" t="s">
        <v>1112</v>
      </c>
      <c r="C119" s="64" t="s">
        <v>1113</v>
      </c>
      <c r="D119" s="41"/>
      <c r="E119" s="78" t="str">
        <f t="shared" si="1"/>
        <v>C_장수목록</v>
      </c>
    </row>
    <row r="120" spans="2:5" x14ac:dyDescent="0.3">
      <c r="B120" t="s">
        <v>1114</v>
      </c>
      <c r="C120" s="64" t="s">
        <v>1115</v>
      </c>
      <c r="D120" s="41"/>
      <c r="E120" s="78" t="str">
        <f t="shared" si="1"/>
        <v>C_장수</v>
      </c>
    </row>
    <row r="121" spans="2:5" x14ac:dyDescent="0.3">
      <c r="B121" t="s">
        <v>1116</v>
      </c>
      <c r="C121" s="64" t="s">
        <v>1117</v>
      </c>
      <c r="D121" s="41"/>
      <c r="E121" s="78" t="str">
        <f t="shared" si="1"/>
        <v>C_인연</v>
      </c>
    </row>
    <row r="122" spans="2:5" x14ac:dyDescent="0.3">
      <c r="B122" t="s">
        <v>1118</v>
      </c>
      <c r="C122" s="64" t="s">
        <v>1012</v>
      </c>
      <c r="D122" s="41"/>
      <c r="E122" s="78" t="str">
        <f t="shared" si="1"/>
        <v>C_보물</v>
      </c>
    </row>
    <row r="123" spans="2:5" x14ac:dyDescent="0.3">
      <c r="B123" t="s">
        <v>1391</v>
      </c>
      <c r="C123" s="64" t="s">
        <v>1119</v>
      </c>
      <c r="D123" s="41"/>
      <c r="E123" s="78" t="str">
        <f t="shared" si="1"/>
        <v>C_장수무기</v>
      </c>
    </row>
    <row r="124" spans="2:5" x14ac:dyDescent="0.3">
      <c r="B124" t="s">
        <v>1392</v>
      </c>
      <c r="C124" s="64" t="s">
        <v>60</v>
      </c>
      <c r="D124" s="41"/>
      <c r="E124" s="78" t="str">
        <f t="shared" si="1"/>
        <v>C_일반</v>
      </c>
    </row>
    <row r="125" spans="2:5" x14ac:dyDescent="0.3">
      <c r="B125" t="s">
        <v>1120</v>
      </c>
      <c r="C125" s="64" t="s">
        <v>1121</v>
      </c>
      <c r="D125" s="41"/>
      <c r="E125" s="78" t="str">
        <f t="shared" si="1"/>
        <v>C_강화</v>
      </c>
    </row>
    <row r="126" spans="2:5" x14ac:dyDescent="0.3">
      <c r="B126" t="s">
        <v>1122</v>
      </c>
      <c r="C126" s="64" t="s">
        <v>1123</v>
      </c>
      <c r="D126" s="41"/>
      <c r="E126" s="78" t="str">
        <f t="shared" si="1"/>
        <v>C_기본 능력치</v>
      </c>
    </row>
    <row r="127" spans="2:5" x14ac:dyDescent="0.3">
      <c r="B127" t="s">
        <v>1124</v>
      </c>
      <c r="C127" s="64" t="s">
        <v>1125</v>
      </c>
      <c r="D127" s="41"/>
      <c r="E127" s="78" t="str">
        <f t="shared" si="1"/>
        <v>C_관리</v>
      </c>
    </row>
    <row r="128" spans="2:5" x14ac:dyDescent="0.3">
      <c r="B128" t="s">
        <v>1126</v>
      </c>
      <c r="C128" s="64" t="s">
        <v>1127</v>
      </c>
      <c r="D128" s="41"/>
      <c r="E128" s="78" t="str">
        <f t="shared" si="1"/>
        <v>C_개요</v>
      </c>
    </row>
    <row r="129" spans="2:5" x14ac:dyDescent="0.3">
      <c r="B129" t="s">
        <v>1399</v>
      </c>
      <c r="C129" s="64" t="s">
        <v>1128</v>
      </c>
      <c r="D129" s="41"/>
      <c r="E129" s="78" t="str">
        <f t="shared" si="1"/>
        <v>C_파견</v>
      </c>
    </row>
    <row r="130" spans="2:5" x14ac:dyDescent="0.3">
      <c r="B130" t="s">
        <v>1400</v>
      </c>
      <c r="C130" s="64" t="s">
        <v>118</v>
      </c>
      <c r="D130" s="41"/>
      <c r="E130" s="78" t="str">
        <f t="shared" si="1"/>
        <v>C_행상</v>
      </c>
    </row>
    <row r="131" spans="2:5" x14ac:dyDescent="0.3">
      <c r="B131" t="s">
        <v>1129</v>
      </c>
      <c r="C131" s="64" t="s">
        <v>1130</v>
      </c>
      <c r="D131" s="41"/>
      <c r="E131" s="78" t="str">
        <f t="shared" si="1"/>
        <v>C_효과</v>
      </c>
    </row>
    <row r="132" spans="2:5" x14ac:dyDescent="0.3">
      <c r="B132" t="s">
        <v>1154</v>
      </c>
      <c r="C132" s="64" t="s">
        <v>1131</v>
      </c>
      <c r="D132" s="41"/>
      <c r="E132" s="78" t="str">
        <f t="shared" ref="E132:E170" si="3">"C_"&amp;C132</f>
        <v>C_초당 획득량</v>
      </c>
    </row>
    <row r="133" spans="2:5" x14ac:dyDescent="0.3">
      <c r="B133" t="s">
        <v>1132</v>
      </c>
      <c r="C133" s="64" t="s">
        <v>1133</v>
      </c>
      <c r="D133" s="41"/>
      <c r="E133" s="78" t="str">
        <f t="shared" si="3"/>
        <v>C_보유량 한도</v>
      </c>
    </row>
    <row r="134" spans="2:5" x14ac:dyDescent="0.3">
      <c r="B134" t="s">
        <v>1134</v>
      </c>
      <c r="C134" s="64" t="s">
        <v>1135</v>
      </c>
      <c r="D134" s="41"/>
      <c r="E134" s="78" t="str">
        <f t="shared" si="3"/>
        <v>C_고유 능력치 요구</v>
      </c>
    </row>
    <row r="135" spans="2:5" x14ac:dyDescent="0.3">
      <c r="B135" t="s">
        <v>1136</v>
      </c>
      <c r="C135" s="64" t="s">
        <v>1137</v>
      </c>
      <c r="D135" s="41"/>
      <c r="E135" s="78" t="str">
        <f t="shared" si="3"/>
        <v>C_배치 장수 수</v>
      </c>
    </row>
    <row r="136" spans="2:5" x14ac:dyDescent="0.3">
      <c r="B136" t="s">
        <v>1138</v>
      </c>
      <c r="C136" s="64" t="s">
        <v>1139</v>
      </c>
      <c r="D136" s="41"/>
      <c r="E136" s="78" t="str">
        <f t="shared" si="3"/>
        <v>C_증축 시간</v>
      </c>
    </row>
    <row r="137" spans="2:5" x14ac:dyDescent="0.3">
      <c r="B137" t="s">
        <v>1142</v>
      </c>
      <c r="C137" s="64" t="s">
        <v>1140</v>
      </c>
      <c r="D137" s="41"/>
      <c r="E137" s="78" t="str">
        <f t="shared" si="3"/>
        <v>C_조건 미달성</v>
      </c>
    </row>
    <row r="138" spans="2:5" x14ac:dyDescent="0.3">
      <c r="B138" t="s">
        <v>1141</v>
      </c>
      <c r="C138" s="64" t="s">
        <v>1143</v>
      </c>
      <c r="D138" s="41"/>
      <c r="E138" s="78" t="str">
        <f t="shared" si="3"/>
        <v>C_증축 시작</v>
      </c>
    </row>
    <row r="139" spans="2:5" x14ac:dyDescent="0.3">
      <c r="B139" t="s">
        <v>1144</v>
      </c>
      <c r="C139" s="64" t="s">
        <v>1145</v>
      </c>
      <c r="D139" s="41"/>
      <c r="E139" s="78" t="str">
        <f t="shared" si="3"/>
        <v>C_필요 {0} 수치</v>
      </c>
    </row>
    <row r="140" spans="2:5" x14ac:dyDescent="0.3">
      <c r="B140" t="s">
        <v>1146</v>
      </c>
      <c r="C140" s="64" t="s">
        <v>1147</v>
      </c>
      <c r="D140" s="41"/>
      <c r="E140" s="78" t="str">
        <f t="shared" si="3"/>
        <v>C_임무</v>
      </c>
    </row>
    <row r="141" spans="2:5" x14ac:dyDescent="0.3">
      <c r="B141" t="s">
        <v>1148</v>
      </c>
      <c r="C141" s="64" t="s">
        <v>1149</v>
      </c>
      <c r="D141" s="41"/>
      <c r="E141" s="78" t="str">
        <f t="shared" si="3"/>
        <v>C_영지</v>
      </c>
    </row>
    <row r="142" spans="2:5" x14ac:dyDescent="0.3">
      <c r="B142" t="s">
        <v>1158</v>
      </c>
      <c r="C142" s="64" t="s">
        <v>1155</v>
      </c>
      <c r="D142" s="41"/>
      <c r="E142" s="78" t="str">
        <f t="shared" si="3"/>
        <v>C_(고유 능력치 감소 {0})</v>
      </c>
    </row>
    <row r="143" spans="2:5" x14ac:dyDescent="0.3">
      <c r="B143" t="s">
        <v>1159</v>
      </c>
      <c r="C143" s="64" t="s">
        <v>1156</v>
      </c>
      <c r="D143" s="41"/>
      <c r="E143" s="78" t="str">
        <f t="shared" si="3"/>
        <v>C_(획득량 {0})</v>
      </c>
    </row>
    <row r="144" spans="2:5" x14ac:dyDescent="0.3">
      <c r="B144" t="s">
        <v>1163</v>
      </c>
      <c r="C144" s="64" t="s">
        <v>1157</v>
      </c>
      <c r="D144" s="41"/>
      <c r="E144" s="78" t="str">
        <f t="shared" si="3"/>
        <v>C_(최대치 {0})</v>
      </c>
    </row>
    <row r="145" spans="2:5" x14ac:dyDescent="0.3">
      <c r="B145" t="s">
        <v>1167</v>
      </c>
      <c r="C145" s="64" t="s">
        <v>1160</v>
      </c>
      <c r="D145" s="41"/>
      <c r="E145" s="78" t="str">
        <f t="shared" si="3"/>
        <v>C_(할인율 {0})</v>
      </c>
    </row>
    <row r="146" spans="2:5" x14ac:dyDescent="0.3">
      <c r="B146" t="s">
        <v>1168</v>
      </c>
      <c r="C146" s="64" t="s">
        <v>1161</v>
      </c>
      <c r="D146" s="41"/>
      <c r="E146" s="78" t="str">
        <f t="shared" si="3"/>
        <v>C_(판매 개수 {0})</v>
      </c>
    </row>
    <row r="147" spans="2:5" x14ac:dyDescent="0.3">
      <c r="B147" t="s">
        <v>1162</v>
      </c>
      <c r="C147" s="64" t="s">
        <v>1165</v>
      </c>
      <c r="D147" s="41"/>
      <c r="E147" s="78" t="str">
        <f t="shared" si="3"/>
        <v>C_(청렴도 {0})</v>
      </c>
    </row>
    <row r="148" spans="2:5" x14ac:dyDescent="0.3">
      <c r="B148" t="s">
        <v>1164</v>
      </c>
      <c r="C148" s="64" t="s">
        <v>1166</v>
      </c>
      <c r="D148" s="41"/>
      <c r="E148" s="78" t="str">
        <f t="shared" si="3"/>
        <v>C_(치안율 {0})</v>
      </c>
    </row>
    <row r="149" spans="2:5" x14ac:dyDescent="0.3">
      <c r="B149" t="s">
        <v>1173</v>
      </c>
      <c r="C149" s="64" t="s">
        <v>1174</v>
      </c>
      <c r="D149" s="41"/>
      <c r="E149" s="78" t="str">
        <f t="shared" si="3"/>
        <v>C_경험치</v>
      </c>
    </row>
    <row r="150" spans="2:5" x14ac:dyDescent="0.3">
      <c r="B150" t="s">
        <v>1175</v>
      </c>
      <c r="C150" s="64" t="s">
        <v>1176</v>
      </c>
      <c r="D150" s="41"/>
      <c r="E150" s="78" t="str">
        <f t="shared" si="3"/>
        <v>C_남은 시간</v>
      </c>
    </row>
    <row r="151" spans="2:5" x14ac:dyDescent="0.3">
      <c r="B151" t="s">
        <v>1356</v>
      </c>
      <c r="C151" s="64" t="s">
        <v>1177</v>
      </c>
      <c r="D151" s="41"/>
      <c r="E151" s="78" t="str">
        <f t="shared" si="3"/>
        <v>C_활성화</v>
      </c>
    </row>
    <row r="152" spans="2:5" x14ac:dyDescent="0.3">
      <c r="B152" t="s">
        <v>1357</v>
      </c>
      <c r="C152" s="64" t="s">
        <v>1179</v>
      </c>
      <c r="D152" s="41"/>
      <c r="E152" s="78" t="str">
        <f t="shared" si="3"/>
        <v>C_비활성화</v>
      </c>
    </row>
    <row r="153" spans="2:5" x14ac:dyDescent="0.3">
      <c r="B153" t="s">
        <v>1180</v>
      </c>
      <c r="C153" s="64" t="s">
        <v>1181</v>
      </c>
      <c r="D153" s="41"/>
      <c r="E153" s="78" t="str">
        <f t="shared" si="3"/>
        <v>C_건너뛰기</v>
      </c>
    </row>
    <row r="154" spans="2:5" x14ac:dyDescent="0.3">
      <c r="B154" t="s">
        <v>1182</v>
      </c>
      <c r="C154" s="64" t="s">
        <v>1183</v>
      </c>
      <c r="D154" s="41"/>
      <c r="E154" s="78" t="str">
        <f t="shared" si="3"/>
        <v>C_연회</v>
      </c>
    </row>
    <row r="155" spans="2:5" x14ac:dyDescent="0.3">
      <c r="B155" t="s">
        <v>1184</v>
      </c>
      <c r="C155" s="64" t="s">
        <v>1185</v>
      </c>
      <c r="D155" s="41"/>
      <c r="E155" s="78" t="str">
        <f t="shared" si="3"/>
        <v>C_연회권 {0}장</v>
      </c>
    </row>
    <row r="156" spans="2:5" x14ac:dyDescent="0.3">
      <c r="B156" t="s">
        <v>1186</v>
      </c>
      <c r="C156" s="64" t="s">
        <v>1187</v>
      </c>
      <c r="D156" s="41"/>
      <c r="E156" s="78" t="str">
        <f t="shared" si="3"/>
        <v>C_주최자 변경까지 남은시간</v>
      </c>
    </row>
    <row r="157" spans="2:5" x14ac:dyDescent="0.3">
      <c r="B157" t="s">
        <v>1188</v>
      </c>
      <c r="C157" s="64" t="s">
        <v>1189</v>
      </c>
      <c r="D157" s="41"/>
      <c r="E157" s="78" t="str">
        <f t="shared" si="3"/>
        <v>C_시작하기</v>
      </c>
    </row>
    <row r="158" spans="2:5" x14ac:dyDescent="0.3">
      <c r="B158" t="s">
        <v>1190</v>
      </c>
      <c r="C158" s="64" t="s">
        <v>1191</v>
      </c>
      <c r="D158" s="41"/>
      <c r="E158" s="78" t="str">
        <f t="shared" si="3"/>
        <v>C_주최자</v>
      </c>
    </row>
    <row r="159" spans="2:5" x14ac:dyDescent="0.3">
      <c r="B159" t="s">
        <v>1192</v>
      </c>
      <c r="C159" s="64" t="s">
        <v>1193</v>
      </c>
      <c r="D159" s="41"/>
      <c r="E159" s="78" t="str">
        <f t="shared" si="3"/>
        <v>C_영혼석 10개 획득 100%</v>
      </c>
    </row>
    <row r="160" spans="2:5" x14ac:dyDescent="0.3">
      <c r="B160" t="s">
        <v>1194</v>
      </c>
      <c r="C160" s="64" t="s">
        <v>1195</v>
      </c>
      <c r="D160" s="41"/>
      <c r="E160" s="78" t="str">
        <f t="shared" si="3"/>
        <v>C_전체 영웅</v>
      </c>
    </row>
    <row r="161" spans="2:5" x14ac:dyDescent="0.3">
      <c r="B161" t="s">
        <v>1196</v>
      </c>
      <c r="C161" s="64" t="s">
        <v>1197</v>
      </c>
      <c r="D161" s="41"/>
      <c r="E161" s="78" t="str">
        <f t="shared" si="3"/>
        <v>C_{0} 확률 증가</v>
      </c>
    </row>
    <row r="162" spans="2:5" x14ac:dyDescent="0.3">
      <c r="B162" t="s">
        <v>1198</v>
      </c>
      <c r="C162" s="64" t="s">
        <v>1199</v>
      </c>
      <c r="D162" s="41"/>
      <c r="E162" s="78" t="str">
        <f t="shared" si="3"/>
        <v>C_진행중</v>
      </c>
    </row>
    <row r="163" spans="2:5" x14ac:dyDescent="0.3">
      <c r="B163" t="s">
        <v>1202</v>
      </c>
      <c r="C163" s="64" t="s">
        <v>1203</v>
      </c>
      <c r="D163" s="41"/>
      <c r="E163" s="78" t="str">
        <f t="shared" si="3"/>
        <v>C_마무리</v>
      </c>
    </row>
    <row r="164" spans="2:5" x14ac:dyDescent="0.3">
      <c r="B164" t="s">
        <v>1204</v>
      </c>
      <c r="C164" s="64" t="s">
        <v>1205</v>
      </c>
      <c r="D164" s="41"/>
      <c r="E164" s="78" t="str">
        <f t="shared" si="3"/>
        <v>C_고대 장수전</v>
      </c>
    </row>
    <row r="165" spans="2:5" x14ac:dyDescent="0.3">
      <c r="B165" t="s">
        <v>1214</v>
      </c>
      <c r="C165" s="64" t="s">
        <v>1215</v>
      </c>
      <c r="D165" s="41"/>
      <c r="E165" s="78" t="str">
        <f t="shared" si="3"/>
        <v>C_일일 입장 가능 횟수: {0}</v>
      </c>
    </row>
    <row r="166" spans="2:5" x14ac:dyDescent="0.3">
      <c r="B166" t="s">
        <v>1206</v>
      </c>
      <c r="C166" s="64" t="s">
        <v>1207</v>
      </c>
      <c r="D166" s="41"/>
      <c r="E166" s="78" t="str">
        <f t="shared" si="3"/>
        <v>C_획득 가능 보상</v>
      </c>
    </row>
    <row r="167" spans="2:5" x14ac:dyDescent="0.3">
      <c r="B167" t="s">
        <v>1208</v>
      </c>
      <c r="C167" s="64" t="s">
        <v>1209</v>
      </c>
      <c r="D167" s="41"/>
      <c r="E167" s="78" t="str">
        <f t="shared" si="3"/>
        <v>C_입장</v>
      </c>
    </row>
    <row r="168" spans="2:5" x14ac:dyDescent="0.3">
      <c r="B168" t="s">
        <v>1210</v>
      </c>
      <c r="C168" s="64" t="s">
        <v>1211</v>
      </c>
      <c r="D168" s="41"/>
      <c r="E168" s="78" t="str">
        <f t="shared" si="3"/>
        <v>C_토벌</v>
      </c>
    </row>
    <row r="169" spans="2:5" x14ac:dyDescent="0.3">
      <c r="B169" t="s">
        <v>1212</v>
      </c>
      <c r="C169" s="64" t="s">
        <v>1213</v>
      </c>
      <c r="D169" s="41"/>
      <c r="E169" s="78" t="str">
        <f t="shared" si="3"/>
        <v>C_최고기록</v>
      </c>
    </row>
    <row r="170" spans="2:5" x14ac:dyDescent="0.3">
      <c r="B170" t="s">
        <v>1216</v>
      </c>
      <c r="C170" s="64" t="s">
        <v>1217</v>
      </c>
      <c r="D170" s="41"/>
      <c r="E170" s="78" t="str">
        <f t="shared" si="3"/>
        <v>C_없음</v>
      </c>
    </row>
    <row r="171" spans="2:5" x14ac:dyDescent="0.3">
      <c r="B171" t="s">
        <v>1218</v>
      </c>
      <c r="C171" s="64" t="s">
        <v>1219</v>
      </c>
      <c r="D171" s="41"/>
      <c r="E171" s="78" t="str">
        <f t="shared" ref="E171:E203" si="4">"C_"&amp;C171</f>
        <v>C_대표 무장</v>
      </c>
    </row>
    <row r="172" spans="2:5" x14ac:dyDescent="0.3">
      <c r="B172" t="s">
        <v>1284</v>
      </c>
      <c r="C172" s="64" t="s">
        <v>546</v>
      </c>
      <c r="E172" s="88" t="str">
        <f t="shared" si="4"/>
        <v>C_등급</v>
      </c>
    </row>
    <row r="173" spans="2:5" x14ac:dyDescent="0.3">
      <c r="B173" t="s">
        <v>1285</v>
      </c>
      <c r="C173" s="64" t="s">
        <v>1286</v>
      </c>
      <c r="E173" s="88" t="str">
        <f t="shared" si="4"/>
        <v>C_소속</v>
      </c>
    </row>
    <row r="174" spans="2:5" x14ac:dyDescent="0.3">
      <c r="B174" t="s">
        <v>1291</v>
      </c>
      <c r="C174" s="64" t="s">
        <v>1292</v>
      </c>
      <c r="E174" s="88" t="str">
        <f t="shared" si="4"/>
        <v>C_{0}초 후 닫힘. 터치하면 취소됩니다.</v>
      </c>
    </row>
    <row r="175" spans="2:5" x14ac:dyDescent="0.3">
      <c r="B175" t="s">
        <v>1305</v>
      </c>
      <c r="C175" s="64" t="s">
        <v>1306</v>
      </c>
      <c r="E175" s="88" t="str">
        <f t="shared" si="4"/>
        <v>C_돌아가기</v>
      </c>
    </row>
    <row r="176" spans="2:5" x14ac:dyDescent="0.3">
      <c r="B176" t="s">
        <v>1307</v>
      </c>
      <c r="C176" s="64" t="s">
        <v>1308</v>
      </c>
      <c r="E176" s="88" t="str">
        <f t="shared" si="4"/>
        <v>C_포기하기</v>
      </c>
    </row>
    <row r="177" spans="2:5" x14ac:dyDescent="0.3">
      <c r="B177" t="s">
        <v>1331</v>
      </c>
      <c r="C177" s="64" t="s">
        <v>1332</v>
      </c>
      <c r="E177" s="88" t="str">
        <f t="shared" si="4"/>
        <v>C_선택하기</v>
      </c>
    </row>
    <row r="178" spans="2:5" x14ac:dyDescent="0.3">
      <c r="B178" t="s">
        <v>1333</v>
      </c>
      <c r="C178" s="64" t="s">
        <v>1334</v>
      </c>
      <c r="E178" s="88" t="str">
        <f t="shared" si="4"/>
        <v>C_선택중</v>
      </c>
    </row>
    <row r="179" spans="2:5" x14ac:dyDescent="0.3">
      <c r="B179" t="s">
        <v>1178</v>
      </c>
      <c r="C179" s="64" t="s">
        <v>1355</v>
      </c>
      <c r="E179" s="88" t="str">
        <f t="shared" si="4"/>
        <v>C_잠김</v>
      </c>
    </row>
    <row r="180" spans="2:5" x14ac:dyDescent="0.3">
      <c r="B180" t="s">
        <v>1360</v>
      </c>
      <c r="C180" s="64" t="s">
        <v>1361</v>
      </c>
      <c r="E180" s="88" t="str">
        <f t="shared" si="4"/>
        <v>C_획득하기</v>
      </c>
    </row>
    <row r="181" spans="2:5" x14ac:dyDescent="0.3">
      <c r="B181" t="s">
        <v>1368</v>
      </c>
      <c r="C181" s="64" t="s">
        <v>1371</v>
      </c>
      <c r="E181" s="88" t="str">
        <f t="shared" si="4"/>
        <v>C_재생하기</v>
      </c>
    </row>
    <row r="182" spans="2:5" x14ac:dyDescent="0.3">
      <c r="B182" t="s">
        <v>1369</v>
      </c>
      <c r="C182" s="64" t="s">
        <v>1370</v>
      </c>
      <c r="E182" s="88" t="str">
        <f t="shared" si="4"/>
        <v>C_재생중</v>
      </c>
    </row>
    <row r="183" spans="2:5" x14ac:dyDescent="0.3">
      <c r="B183" t="s">
        <v>1381</v>
      </c>
      <c r="C183" s="64" t="s">
        <v>1115</v>
      </c>
      <c r="E183" s="88" t="str">
        <f t="shared" si="4"/>
        <v>C_장수</v>
      </c>
    </row>
    <row r="184" spans="2:5" x14ac:dyDescent="0.3">
      <c r="B184" t="s">
        <v>1382</v>
      </c>
      <c r="C184" s="64" t="s">
        <v>1149</v>
      </c>
      <c r="E184" s="88" t="str">
        <f t="shared" si="4"/>
        <v>C_영지</v>
      </c>
    </row>
    <row r="185" spans="2:5" x14ac:dyDescent="0.3">
      <c r="B185" t="s">
        <v>1383</v>
      </c>
      <c r="C185" s="64" t="s">
        <v>1378</v>
      </c>
      <c r="E185" s="88" t="str">
        <f t="shared" si="4"/>
        <v>C_던전</v>
      </c>
    </row>
    <row r="186" spans="2:5" x14ac:dyDescent="0.3">
      <c r="B186" t="s">
        <v>1384</v>
      </c>
      <c r="C186" s="64" t="s">
        <v>1379</v>
      </c>
      <c r="E186" s="88" t="str">
        <f t="shared" si="4"/>
        <v>C_상점</v>
      </c>
    </row>
    <row r="187" spans="2:5" x14ac:dyDescent="0.3">
      <c r="B187" t="s">
        <v>1385</v>
      </c>
      <c r="C187" s="64" t="s">
        <v>1183</v>
      </c>
      <c r="E187" s="88" t="str">
        <f t="shared" si="4"/>
        <v>C_연회</v>
      </c>
    </row>
    <row r="188" spans="2:5" x14ac:dyDescent="0.3">
      <c r="B188" t="s">
        <v>1380</v>
      </c>
      <c r="C188" s="64" t="s">
        <v>1115</v>
      </c>
      <c r="E188" s="88" t="str">
        <f t="shared" si="4"/>
        <v>C_장수</v>
      </c>
    </row>
    <row r="189" spans="2:5" x14ac:dyDescent="0.3">
      <c r="B189" t="s">
        <v>1386</v>
      </c>
      <c r="C189" s="64" t="s">
        <v>1388</v>
      </c>
      <c r="E189" s="88" t="str">
        <f t="shared" si="4"/>
        <v>C_유물</v>
      </c>
    </row>
    <row r="190" spans="2:5" x14ac:dyDescent="0.3">
      <c r="B190" t="s">
        <v>1387</v>
      </c>
      <c r="C190" s="64" t="s">
        <v>1117</v>
      </c>
      <c r="E190" s="88" t="str">
        <f t="shared" si="4"/>
        <v>C_인연</v>
      </c>
    </row>
    <row r="191" spans="2:5" x14ac:dyDescent="0.3">
      <c r="B191" t="s">
        <v>1393</v>
      </c>
      <c r="C191" s="64" t="s">
        <v>1394</v>
      </c>
      <c r="E191" s="88" t="str">
        <f t="shared" si="4"/>
        <v>C_최대</v>
      </c>
    </row>
    <row r="192" spans="2:5" x14ac:dyDescent="0.3">
      <c r="B192" t="s">
        <v>1395</v>
      </c>
      <c r="C192" s="64" t="s">
        <v>1396</v>
      </c>
      <c r="E192" s="88" t="str">
        <f t="shared" si="4"/>
        <v>C_최소</v>
      </c>
    </row>
    <row r="193" spans="2:5" x14ac:dyDescent="0.3">
      <c r="B193" t="s">
        <v>1397</v>
      </c>
      <c r="C193" s="64" t="s">
        <v>1398</v>
      </c>
      <c r="E193" s="88" t="str">
        <f t="shared" si="4"/>
        <v>C_선택한 보물</v>
      </c>
    </row>
    <row r="194" spans="2:5" x14ac:dyDescent="0.3">
      <c r="B194" t="s">
        <v>1401</v>
      </c>
      <c r="C194" s="64" t="s">
        <v>1402</v>
      </c>
      <c r="E194" s="88" t="str">
        <f t="shared" si="4"/>
        <v>C_즉시</v>
      </c>
    </row>
    <row r="195" spans="2:5" x14ac:dyDescent="0.3">
      <c r="B195" t="s">
        <v>1403</v>
      </c>
      <c r="C195" s="64" t="s">
        <v>1404</v>
      </c>
      <c r="E195" s="88" t="str">
        <f t="shared" si="4"/>
        <v>C_건물 레벨 상한선</v>
      </c>
    </row>
    <row r="196" spans="2:5" x14ac:dyDescent="0.3">
      <c r="B196" t="s">
        <v>1405</v>
      </c>
      <c r="C196" s="64" t="s">
        <v>1406</v>
      </c>
      <c r="E196" s="88" t="str">
        <f t="shared" si="4"/>
        <v>C_시간석 개당 단축</v>
      </c>
    </row>
    <row r="197" spans="2:5" x14ac:dyDescent="0.3">
      <c r="B197" t="s">
        <v>1407</v>
      </c>
      <c r="C197" s="64" t="s">
        <v>1408</v>
      </c>
      <c r="E197" s="88" t="str">
        <f t="shared" si="4"/>
        <v>C_광고 회당 단축</v>
      </c>
    </row>
    <row r="198" spans="2:5" x14ac:dyDescent="0.3">
      <c r="B198" t="s">
        <v>1409</v>
      </c>
      <c r="C198" s="64" t="s">
        <v>1410</v>
      </c>
      <c r="E198" s="88" t="str">
        <f t="shared" si="4"/>
        <v>C_도적 유지 시간</v>
      </c>
    </row>
    <row r="199" spans="2:5" x14ac:dyDescent="0.3">
      <c r="B199" t="s">
        <v>1411</v>
      </c>
      <c r="C199" s="64" t="s">
        <v>1412</v>
      </c>
      <c r="E199" s="88" t="str">
        <f t="shared" si="4"/>
        <v>C_청렴도 영향</v>
      </c>
    </row>
    <row r="200" spans="2:5" x14ac:dyDescent="0.3">
      <c r="B200" t="s">
        <v>1413</v>
      </c>
      <c r="C200" s="64" t="s">
        <v>1414</v>
      </c>
      <c r="E200" s="88" t="str">
        <f t="shared" si="4"/>
        <v>C_군량/금화 수령시 획득량</v>
      </c>
    </row>
    <row r="201" spans="2:5" x14ac:dyDescent="0.3">
      <c r="B201" t="s">
        <v>1415</v>
      </c>
      <c r="C201" s="64" t="s">
        <v>1416</v>
      </c>
      <c r="E201" s="88" t="str">
        <f t="shared" si="4"/>
        <v>C_상점 할인율</v>
      </c>
    </row>
    <row r="202" spans="2:5" x14ac:dyDescent="0.3">
      <c r="B202" t="s">
        <v>1417</v>
      </c>
      <c r="C202" s="64" t="s">
        <v>1418</v>
      </c>
      <c r="E202" s="88" t="str">
        <f t="shared" si="4"/>
        <v>C_높은 등급 등장 확률 감소</v>
      </c>
    </row>
    <row r="203" spans="2:5" x14ac:dyDescent="0.3">
      <c r="B203" t="s">
        <v>1419</v>
      </c>
      <c r="C203" s="64" t="s">
        <v>1420</v>
      </c>
      <c r="E203" s="88" t="str">
        <f t="shared" si="4"/>
        <v>C_금화 획득량</v>
      </c>
    </row>
    <row r="204" spans="2:5" x14ac:dyDescent="0.3">
      <c r="B204" t="s">
        <v>1421</v>
      </c>
      <c r="C204" s="64" t="s">
        <v>1422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E40"/>
  <sheetViews>
    <sheetView workbookViewId="0">
      <selection activeCell="B13" sqref="B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5" x14ac:dyDescent="0.3">
      <c r="A1" s="80" t="s">
        <v>382</v>
      </c>
      <c r="B1" s="80" t="s">
        <v>3</v>
      </c>
      <c r="C1" s="81" t="s">
        <v>0</v>
      </c>
      <c r="D1" s="77" t="s">
        <v>1</v>
      </c>
      <c r="E1" s="77" t="s">
        <v>1233</v>
      </c>
    </row>
    <row r="2" spans="1:5" x14ac:dyDescent="0.3">
      <c r="A2" s="80" t="s">
        <v>2</v>
      </c>
      <c r="B2" s="80" t="s">
        <v>2</v>
      </c>
      <c r="C2" s="81" t="s">
        <v>2</v>
      </c>
      <c r="D2" s="77" t="s">
        <v>2</v>
      </c>
      <c r="E2" s="77" t="s">
        <v>2</v>
      </c>
    </row>
    <row r="3" spans="1:5" x14ac:dyDescent="0.3">
      <c r="A3" s="82" t="s">
        <v>1055</v>
      </c>
      <c r="B3" s="83" t="str">
        <f>"CATEGORY_"&amp;UPPER(A3)</f>
        <v>CATEGORY_NONE</v>
      </c>
      <c r="C3" s="84" t="s">
        <v>366</v>
      </c>
      <c r="D3" s="78"/>
      <c r="E3" s="78" t="str">
        <f>"C_"&amp;C3</f>
        <v>C_전체</v>
      </c>
    </row>
    <row r="4" spans="1:5" x14ac:dyDescent="0.3">
      <c r="A4" s="82" t="s">
        <v>998</v>
      </c>
      <c r="B4" s="83" t="str">
        <f>"CATEGORY_"&amp;UPPER(A4)</f>
        <v>CATEGORY_CURRENCY</v>
      </c>
      <c r="C4" s="82" t="s">
        <v>1002</v>
      </c>
      <c r="D4" s="78"/>
      <c r="E4" s="78" t="str">
        <f t="shared" ref="E4:E40" si="0">"C_"&amp;C4</f>
        <v>C_재화</v>
      </c>
    </row>
    <row r="5" spans="1:5" x14ac:dyDescent="0.3">
      <c r="A5" s="82" t="s">
        <v>999</v>
      </c>
      <c r="B5" s="83" t="str">
        <f t="shared" ref="B5:B8" si="1">"CATEGORY_"&amp;UPPER(A5)</f>
        <v>CATEGORY_SOUL_STONE</v>
      </c>
      <c r="C5" s="84" t="s">
        <v>75</v>
      </c>
      <c r="D5" s="78"/>
      <c r="E5" s="78" t="str">
        <f t="shared" si="0"/>
        <v>C_영혼석</v>
      </c>
    </row>
    <row r="6" spans="1:5" x14ac:dyDescent="0.3">
      <c r="A6" s="82" t="s">
        <v>1000</v>
      </c>
      <c r="B6" s="83" t="str">
        <f t="shared" si="1"/>
        <v>CATEGORY_BUNDLE</v>
      </c>
      <c r="C6" s="84" t="s">
        <v>1003</v>
      </c>
      <c r="D6" s="78"/>
      <c r="E6" s="78" t="str">
        <f t="shared" si="0"/>
        <v>C_번들</v>
      </c>
    </row>
    <row r="7" spans="1:5" x14ac:dyDescent="0.3">
      <c r="A7" s="82" t="s">
        <v>1001</v>
      </c>
      <c r="B7" s="83" t="str">
        <f t="shared" si="1"/>
        <v>CATEGORY_ITEM</v>
      </c>
      <c r="C7" s="85" t="s">
        <v>1004</v>
      </c>
      <c r="D7" s="78"/>
      <c r="E7" s="78" t="str">
        <f t="shared" si="0"/>
        <v>C_아이템</v>
      </c>
    </row>
    <row r="8" spans="1:5" x14ac:dyDescent="0.3">
      <c r="A8" s="82" t="s">
        <v>1311</v>
      </c>
      <c r="B8" s="83" t="str">
        <f t="shared" si="1"/>
        <v>CATEGORY_TREASUREPIECE</v>
      </c>
      <c r="C8" s="84" t="s">
        <v>1312</v>
      </c>
      <c r="D8" s="78"/>
      <c r="E8" s="78" t="str">
        <f t="shared" si="0"/>
        <v>C_보물 파편</v>
      </c>
    </row>
    <row r="9" spans="1:5" x14ac:dyDescent="0.3">
      <c r="A9" s="90" t="s">
        <v>1313</v>
      </c>
      <c r="B9" s="83" t="str">
        <f>"CATEGORY_"&amp;UPPER(A9)</f>
        <v>CATEGORY_GACHATICKET</v>
      </c>
      <c r="C9" s="84" t="s">
        <v>77</v>
      </c>
      <c r="D9" s="78"/>
      <c r="E9" s="78" t="str">
        <f t="shared" si="0"/>
        <v>C_연회권</v>
      </c>
    </row>
    <row r="10" spans="1:5" x14ac:dyDescent="0.3">
      <c r="A10" s="90" t="s">
        <v>1314</v>
      </c>
      <c r="B10" s="83" t="str">
        <f>"CATEGORY_"&amp;UPPER(A10)</f>
        <v>CATEGORY_TREASURE</v>
      </c>
      <c r="C10" s="84" t="s">
        <v>1012</v>
      </c>
      <c r="D10" s="78"/>
      <c r="E10" s="78" t="str">
        <f t="shared" si="0"/>
        <v>C_보물</v>
      </c>
    </row>
    <row r="11" spans="1:5" x14ac:dyDescent="0.3">
      <c r="A11" s="90" t="s">
        <v>1315</v>
      </c>
      <c r="B11" s="83" t="str">
        <f>"CATEGORY_"&amp;UPPER(A11)</f>
        <v>CATEGORY_CONTENTSTICKET</v>
      </c>
      <c r="C11" s="84" t="s">
        <v>1316</v>
      </c>
      <c r="D11" s="78"/>
      <c r="E11" s="78" t="str">
        <f t="shared" si="0"/>
        <v>C_입장권</v>
      </c>
    </row>
    <row r="12" spans="1:5" x14ac:dyDescent="0.3">
      <c r="A12" s="83" t="s">
        <v>1054</v>
      </c>
      <c r="B12" s="83" t="str">
        <f>"CATEGORY_"&amp;UPPER(A12)</f>
        <v>CATEGORY_MAX</v>
      </c>
      <c r="C12" s="83" t="s">
        <v>1056</v>
      </c>
      <c r="D12" s="78"/>
      <c r="E12" s="78" t="str">
        <f t="shared" si="0"/>
        <v>C_기타</v>
      </c>
    </row>
    <row r="13" spans="1:5" x14ac:dyDescent="0.3">
      <c r="A13" s="83" t="s">
        <v>1318</v>
      </c>
      <c r="B13" s="83" t="str">
        <f t="shared" ref="B13:B33" si="2">"NAME_"&amp;UPPER(A13)</f>
        <v>NAME_SOUL_STONE</v>
      </c>
      <c r="C13" s="83" t="s">
        <v>1317</v>
      </c>
      <c r="D13" s="78"/>
      <c r="E13" s="78" t="str">
        <f t="shared" si="0"/>
        <v>C_[{0}] 영혼석</v>
      </c>
    </row>
    <row r="14" spans="1:5" x14ac:dyDescent="0.3">
      <c r="A14" s="82" t="s">
        <v>1031</v>
      </c>
      <c r="B14" s="83" t="str">
        <f t="shared" si="2"/>
        <v>NAME_GOLD</v>
      </c>
      <c r="C14" s="82" t="s">
        <v>73</v>
      </c>
      <c r="D14" s="78"/>
      <c r="E14" s="78" t="str">
        <f t="shared" si="0"/>
        <v>C_금화</v>
      </c>
    </row>
    <row r="15" spans="1:5" x14ac:dyDescent="0.3">
      <c r="A15" s="82" t="s">
        <v>1032</v>
      </c>
      <c r="B15" s="83" t="str">
        <f t="shared" si="2"/>
        <v>NAME_RICE</v>
      </c>
      <c r="C15" s="85" t="s">
        <v>74</v>
      </c>
      <c r="D15" s="78"/>
      <c r="E15" s="78" t="str">
        <f t="shared" si="0"/>
        <v>C_군량</v>
      </c>
    </row>
    <row r="16" spans="1:5" x14ac:dyDescent="0.3">
      <c r="A16" s="83" t="s">
        <v>1033</v>
      </c>
      <c r="B16" s="83" t="str">
        <f t="shared" si="2"/>
        <v>NAME_TIME_STONE</v>
      </c>
      <c r="C16" s="83" t="s">
        <v>76</v>
      </c>
      <c r="D16" s="78"/>
      <c r="E16" s="78" t="str">
        <f t="shared" si="0"/>
        <v>C_시간석</v>
      </c>
    </row>
    <row r="17" spans="1:5" x14ac:dyDescent="0.3">
      <c r="A17" s="83" t="s">
        <v>1034</v>
      </c>
      <c r="B17" s="83" t="str">
        <f t="shared" si="2"/>
        <v>NAME_BUNDLE_NORMAL</v>
      </c>
      <c r="C17" s="83" t="s">
        <v>1018</v>
      </c>
      <c r="D17" s="78"/>
      <c r="E17" s="78" t="str">
        <f t="shared" si="0"/>
        <v>C_[일반] 상자</v>
      </c>
    </row>
    <row r="18" spans="1:5" x14ac:dyDescent="0.3">
      <c r="A18" s="83" t="s">
        <v>1035</v>
      </c>
      <c r="B18" s="83" t="str">
        <f t="shared" si="2"/>
        <v>NAME_BUNDLE_ELITE</v>
      </c>
      <c r="C18" s="83" t="s">
        <v>1019</v>
      </c>
      <c r="D18" s="78"/>
      <c r="E18" s="78" t="str">
        <f t="shared" si="0"/>
        <v>C_[중급] 상자</v>
      </c>
    </row>
    <row r="19" spans="1:5" x14ac:dyDescent="0.3">
      <c r="A19" s="83" t="s">
        <v>1036</v>
      </c>
      <c r="B19" s="83" t="str">
        <f t="shared" si="2"/>
        <v>NAME_BUNDLE_GENERAL</v>
      </c>
      <c r="C19" s="83" t="s">
        <v>1020</v>
      </c>
      <c r="D19" s="78"/>
      <c r="E19" s="78" t="str">
        <f t="shared" si="0"/>
        <v>C_[상급] 상자</v>
      </c>
    </row>
    <row r="20" spans="1:5" x14ac:dyDescent="0.3">
      <c r="A20" s="83" t="s">
        <v>1037</v>
      </c>
      <c r="B20" s="83" t="str">
        <f t="shared" si="2"/>
        <v>NAME_BUNDLE_HERO</v>
      </c>
      <c r="C20" s="83" t="s">
        <v>1021</v>
      </c>
      <c r="D20" s="78"/>
      <c r="E20" s="78" t="str">
        <f t="shared" si="0"/>
        <v>C_[최상급] 상자</v>
      </c>
    </row>
    <row r="21" spans="1:5" x14ac:dyDescent="0.3">
      <c r="A21" s="83" t="s">
        <v>1038</v>
      </c>
      <c r="B21" s="83" t="str">
        <f t="shared" si="2"/>
        <v>NAME_BUNDLE_LEGEND</v>
      </c>
      <c r="C21" s="83" t="s">
        <v>1017</v>
      </c>
      <c r="D21" s="78"/>
      <c r="E21" s="78" t="str">
        <f t="shared" si="0"/>
        <v>C_[전설] 상자</v>
      </c>
    </row>
    <row r="22" spans="1:5" x14ac:dyDescent="0.3">
      <c r="A22" s="83" t="s">
        <v>1039</v>
      </c>
      <c r="B22" s="83" t="str">
        <f t="shared" si="2"/>
        <v>NAME_PUBLIC_SOUL_STONE</v>
      </c>
      <c r="C22" s="83" t="s">
        <v>1008</v>
      </c>
      <c r="D22" s="78"/>
      <c r="E22" s="78" t="str">
        <f t="shared" si="0"/>
        <v>C_공통 영혼석</v>
      </c>
    </row>
    <row r="23" spans="1:5" x14ac:dyDescent="0.3">
      <c r="A23" s="83" t="s">
        <v>1040</v>
      </c>
      <c r="B23" s="83" t="str">
        <f t="shared" si="2"/>
        <v>NAME_CLASS_SOUL_STONE</v>
      </c>
      <c r="C23" s="83" t="s">
        <v>1317</v>
      </c>
      <c r="D23" s="78"/>
      <c r="E23" s="78" t="str">
        <f t="shared" si="0"/>
        <v>C_[{0}] 영혼석</v>
      </c>
    </row>
    <row r="24" spans="1:5" x14ac:dyDescent="0.3">
      <c r="A24" s="83" t="s">
        <v>1041</v>
      </c>
      <c r="B24" s="83" t="str">
        <f t="shared" si="2"/>
        <v>NAME_DEDICATED_SOUL_STONE</v>
      </c>
      <c r="C24" s="83" t="s">
        <v>1009</v>
      </c>
      <c r="D24" s="78"/>
      <c r="E24" s="78" t="str">
        <f t="shared" si="0"/>
        <v>C_전용 영혼석</v>
      </c>
    </row>
    <row r="25" spans="1:5" x14ac:dyDescent="0.3">
      <c r="A25" s="83" t="s">
        <v>1042</v>
      </c>
      <c r="B25" s="83" t="str">
        <f t="shared" si="2"/>
        <v>NAME_CLASS_SOUL_STONE_RANDOM_BOX</v>
      </c>
      <c r="C25" s="83" t="s">
        <v>1010</v>
      </c>
      <c r="D25" s="78"/>
      <c r="E25" s="78" t="str">
        <f t="shared" si="0"/>
        <v>C_클래스 영혼석 랜덤상자</v>
      </c>
    </row>
    <row r="26" spans="1:5" x14ac:dyDescent="0.3">
      <c r="A26" s="83" t="s">
        <v>1043</v>
      </c>
      <c r="B26" s="83" t="str">
        <f t="shared" si="2"/>
        <v>NAME_DEDICATED_SOUL_STONE_RANDOM_BOX</v>
      </c>
      <c r="C26" s="83" t="s">
        <v>1011</v>
      </c>
      <c r="D26" s="78"/>
      <c r="E26" s="78" t="str">
        <f t="shared" si="0"/>
        <v>C_전용 영혼석 랜덤상자</v>
      </c>
    </row>
    <row r="27" spans="1:5" x14ac:dyDescent="0.3">
      <c r="A27" s="83" t="s">
        <v>1044</v>
      </c>
      <c r="B27" s="83" t="str">
        <f t="shared" si="2"/>
        <v>NAME_TREASURE</v>
      </c>
      <c r="C27" s="83" t="s">
        <v>1012</v>
      </c>
      <c r="D27" s="78"/>
      <c r="E27" s="78" t="str">
        <f t="shared" si="0"/>
        <v>C_보물</v>
      </c>
    </row>
    <row r="28" spans="1:5" x14ac:dyDescent="0.3">
      <c r="A28" s="83" t="s">
        <v>1045</v>
      </c>
      <c r="B28" s="83" t="str">
        <f t="shared" si="2"/>
        <v>NAME_TREASURE_PIECE</v>
      </c>
      <c r="C28" s="83" t="s">
        <v>1013</v>
      </c>
      <c r="D28" s="78"/>
      <c r="E28" s="78" t="str">
        <f t="shared" si="0"/>
        <v>C_보물 조각</v>
      </c>
    </row>
    <row r="29" spans="1:5" x14ac:dyDescent="0.3">
      <c r="A29" s="83" t="s">
        <v>1046</v>
      </c>
      <c r="B29" s="83" t="str">
        <f t="shared" si="2"/>
        <v>NAME_TREASURE_PIECE_RANDOM_BOX</v>
      </c>
      <c r="C29" s="83" t="s">
        <v>1014</v>
      </c>
      <c r="D29" s="78"/>
      <c r="E29" s="78" t="str">
        <f t="shared" si="0"/>
        <v>C_보물 조각 랜덤상자</v>
      </c>
    </row>
    <row r="30" spans="1:5" x14ac:dyDescent="0.3">
      <c r="A30" s="83" t="s">
        <v>1047</v>
      </c>
      <c r="B30" s="83" t="str">
        <f t="shared" si="2"/>
        <v>NAME_NORMAL_GATCHA_TICKET</v>
      </c>
      <c r="C30" s="83" t="s">
        <v>1015</v>
      </c>
      <c r="D30" s="78"/>
      <c r="E30" s="78" t="str">
        <f t="shared" si="0"/>
        <v>C_[일반] 연회권</v>
      </c>
    </row>
    <row r="31" spans="1:5" x14ac:dyDescent="0.3">
      <c r="A31" s="83" t="s">
        <v>1048</v>
      </c>
      <c r="B31" s="83" t="str">
        <f t="shared" si="2"/>
        <v>NAME_RARE_GATCHA_TICKET</v>
      </c>
      <c r="C31" s="83" t="s">
        <v>1016</v>
      </c>
      <c r="D31" s="78"/>
      <c r="E31" s="78" t="str">
        <f t="shared" si="0"/>
        <v>C_[고급] 연회권</v>
      </c>
    </row>
    <row r="32" spans="1:5" x14ac:dyDescent="0.3">
      <c r="A32" s="83" t="s">
        <v>1005</v>
      </c>
      <c r="B32" s="83" t="str">
        <f t="shared" si="2"/>
        <v>NAME_TOURNAMENT_POINT</v>
      </c>
      <c r="C32" s="83" t="s">
        <v>1022</v>
      </c>
      <c r="D32" s="78"/>
      <c r="E32" s="78" t="str">
        <f t="shared" si="0"/>
        <v>C_비무대회 포인트</v>
      </c>
    </row>
    <row r="33" spans="1:5" x14ac:dyDescent="0.3">
      <c r="A33" s="83" t="s">
        <v>1006</v>
      </c>
      <c r="B33" s="83" t="str">
        <f t="shared" si="2"/>
        <v>NAME_TOURNAMENT_TICKET</v>
      </c>
      <c r="C33" s="83" t="s">
        <v>1023</v>
      </c>
      <c r="D33" s="78"/>
      <c r="E33" s="78" t="str">
        <f t="shared" si="0"/>
        <v>C_비무대회 입장권</v>
      </c>
    </row>
    <row r="34" spans="1:5" x14ac:dyDescent="0.3">
      <c r="A34" s="83" t="s">
        <v>1007</v>
      </c>
      <c r="B34" s="83" t="str">
        <f>"NAME_"&amp;UPPER(A34)</f>
        <v>NAME_RAID_POINT</v>
      </c>
      <c r="C34" s="83" t="s">
        <v>1024</v>
      </c>
      <c r="D34" s="78"/>
      <c r="E34" s="78" t="str">
        <f t="shared" si="0"/>
        <v>C_레이드 포인트</v>
      </c>
    </row>
    <row r="35" spans="1:5" x14ac:dyDescent="0.3">
      <c r="A35" s="83" t="s">
        <v>1049</v>
      </c>
      <c r="B35" s="83" t="str">
        <f>"NAME_CLASS_SOUL_STONE_"&amp;UPPER(A35)</f>
        <v>NAME_CLASS_SOUL_STONE_COMMANDER</v>
      </c>
      <c r="C35" s="83" t="s">
        <v>1025</v>
      </c>
      <c r="D35" s="78"/>
      <c r="E35" s="78" t="str">
        <f t="shared" si="0"/>
        <v>C_[지휘관] 영혼석</v>
      </c>
    </row>
    <row r="36" spans="1:5" x14ac:dyDescent="0.3">
      <c r="A36" s="83" t="s">
        <v>1050</v>
      </c>
      <c r="B36" s="83" t="str">
        <f t="shared" ref="B36:B40" si="3">"NAME_CLASS_SOUL_STONE_"&amp;UPPER(A36)</f>
        <v>NAME_CLASS_SOUL_STONE_CHAMPION</v>
      </c>
      <c r="C36" s="83" t="s">
        <v>1027</v>
      </c>
      <c r="D36" s="78"/>
      <c r="E36" s="78" t="str">
        <f t="shared" si="0"/>
        <v>C_[용장] 영혼석</v>
      </c>
    </row>
    <row r="37" spans="1:5" x14ac:dyDescent="0.3">
      <c r="A37" s="83" t="s">
        <v>21</v>
      </c>
      <c r="B37" s="83" t="str">
        <f t="shared" si="3"/>
        <v>NAME_CLASS_SOUL_STONE_VANGUARD</v>
      </c>
      <c r="C37" s="83" t="s">
        <v>1026</v>
      </c>
      <c r="D37" s="78"/>
      <c r="E37" s="78" t="str">
        <f t="shared" si="0"/>
        <v>C_[선봉장] 영혼석</v>
      </c>
    </row>
    <row r="38" spans="1:5" x14ac:dyDescent="0.3">
      <c r="A38" s="83" t="s">
        <v>1051</v>
      </c>
      <c r="B38" s="83" t="str">
        <f t="shared" si="3"/>
        <v>NAME_CLASS_SOUL_STONE_CHASER</v>
      </c>
      <c r="C38" s="83" t="s">
        <v>1028</v>
      </c>
      <c r="D38" s="78"/>
      <c r="E38" s="78" t="str">
        <f t="shared" si="0"/>
        <v>C_[추격자] 영혼석</v>
      </c>
    </row>
    <row r="39" spans="1:5" x14ac:dyDescent="0.3">
      <c r="A39" s="83" t="s">
        <v>1052</v>
      </c>
      <c r="B39" s="83" t="str">
        <f t="shared" si="3"/>
        <v>NAME_CLASS_SOUL_STONE_ARCHER</v>
      </c>
      <c r="C39" s="83" t="s">
        <v>1029</v>
      </c>
      <c r="D39" s="78"/>
      <c r="E39" s="78" t="str">
        <f t="shared" si="0"/>
        <v>C_[궁장] 영혼석</v>
      </c>
    </row>
    <row r="40" spans="1:5" x14ac:dyDescent="0.3">
      <c r="A40" s="83" t="s">
        <v>1053</v>
      </c>
      <c r="B40" s="83" t="str">
        <f t="shared" si="3"/>
        <v>NAME_CLASS_SOUL_STONE_STRATEGIST</v>
      </c>
      <c r="C40" s="83" t="s">
        <v>1030</v>
      </c>
      <c r="D40" s="78"/>
      <c r="E40" s="78" t="str">
        <f t="shared" si="0"/>
        <v>C_[책사] 영혼석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workbookViewId="0">
      <selection activeCell="E1" sqref="E1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5" x14ac:dyDescent="0.3">
      <c r="A1" s="4" t="s">
        <v>123</v>
      </c>
      <c r="B1" s="4" t="s">
        <v>3</v>
      </c>
      <c r="C1" s="5" t="s">
        <v>0</v>
      </c>
      <c r="D1" s="2" t="s">
        <v>1</v>
      </c>
      <c r="E1" s="77" t="s">
        <v>1233</v>
      </c>
    </row>
    <row r="2" spans="1:5" x14ac:dyDescent="0.3">
      <c r="A2" s="13" t="s">
        <v>2</v>
      </c>
      <c r="B2" s="13" t="s">
        <v>2</v>
      </c>
      <c r="C2" s="14" t="s">
        <v>2</v>
      </c>
      <c r="D2" s="15" t="s">
        <v>2</v>
      </c>
      <c r="E2" s="77" t="s">
        <v>2</v>
      </c>
    </row>
    <row r="3" spans="1:5" x14ac:dyDescent="0.3">
      <c r="A3" s="16" t="s">
        <v>124</v>
      </c>
      <c r="B3" s="17" t="str">
        <f>UPPER(A3)&amp;"_TITLE"</f>
        <v>MILITARY_TRAINING_TITLE</v>
      </c>
      <c r="C3" s="16" t="s">
        <v>134</v>
      </c>
      <c r="D3" s="18"/>
      <c r="E3" s="78" t="str">
        <f t="shared" ref="E3:E11" si="0">"C_"&amp;C3</f>
        <v>C_군사 훈련 지휘</v>
      </c>
    </row>
    <row r="4" spans="1:5" x14ac:dyDescent="0.3">
      <c r="A4" s="16" t="s">
        <v>125</v>
      </c>
      <c r="B4" s="17" t="str">
        <f t="shared" ref="B4:B12" si="1">UPPER(A4)&amp;"_TITLE"</f>
        <v>RALLY_REMNANTS_TITLE</v>
      </c>
      <c r="C4" s="16" t="s">
        <v>135</v>
      </c>
      <c r="D4" s="18"/>
      <c r="E4" s="78" t="str">
        <f t="shared" si="0"/>
        <v>C_패잔병 수습</v>
      </c>
    </row>
    <row r="5" spans="1:5" x14ac:dyDescent="0.3">
      <c r="A5" s="16" t="s">
        <v>126</v>
      </c>
      <c r="B5" s="17" t="str">
        <f t="shared" si="1"/>
        <v>BANDIT_SUBJUGATION_TITLE</v>
      </c>
      <c r="C5" s="16" t="s">
        <v>136</v>
      </c>
      <c r="D5" s="18"/>
      <c r="E5" s="78" t="str">
        <f t="shared" si="0"/>
        <v>C_산적 토벌</v>
      </c>
    </row>
    <row r="6" spans="1:5" x14ac:dyDescent="0.3">
      <c r="A6" s="16" t="s">
        <v>127</v>
      </c>
      <c r="B6" s="17" t="str">
        <f t="shared" si="1"/>
        <v>BORDER_DEFENSE_TITLE</v>
      </c>
      <c r="C6" s="16" t="s">
        <v>137</v>
      </c>
      <c r="D6" s="18"/>
      <c r="E6" s="78" t="str">
        <f t="shared" si="0"/>
        <v>C_변경 수비</v>
      </c>
    </row>
    <row r="7" spans="1:5" x14ac:dyDescent="0.3">
      <c r="A7" s="16" t="s">
        <v>128</v>
      </c>
      <c r="B7" s="17" t="str">
        <f t="shared" si="1"/>
        <v>TAX_REFORM_TITLE</v>
      </c>
      <c r="C7" s="16" t="s">
        <v>138</v>
      </c>
      <c r="D7" s="18"/>
      <c r="E7" s="78" t="str">
        <f t="shared" si="0"/>
        <v>C_조세 제도 정비</v>
      </c>
    </row>
    <row r="8" spans="1:5" x14ac:dyDescent="0.3">
      <c r="A8" s="16" t="s">
        <v>129</v>
      </c>
      <c r="B8" s="17" t="str">
        <f t="shared" si="1"/>
        <v>FOREIGN_DIPLOMACY_TITLE</v>
      </c>
      <c r="C8" s="16" t="s">
        <v>139</v>
      </c>
      <c r="D8" s="18"/>
      <c r="E8" s="78" t="str">
        <f t="shared" si="0"/>
        <v>C_인근 제후국 외교</v>
      </c>
    </row>
    <row r="9" spans="1:5" x14ac:dyDescent="0.3">
      <c r="A9" s="16" t="s">
        <v>130</v>
      </c>
      <c r="B9" s="17" t="str">
        <f t="shared" si="1"/>
        <v>ENEMY_INTELLIGENCE_TITLE</v>
      </c>
      <c r="C9" s="16" t="s">
        <v>140</v>
      </c>
      <c r="D9" s="18"/>
      <c r="E9" s="78" t="str">
        <f t="shared" si="0"/>
        <v>C_적진 첩보 수집</v>
      </c>
    </row>
    <row r="10" spans="1:5" x14ac:dyDescent="0.3">
      <c r="A10" s="16" t="s">
        <v>131</v>
      </c>
      <c r="B10" s="17" t="str">
        <f t="shared" si="1"/>
        <v>TACTICS_RESEARCH_TITLE</v>
      </c>
      <c r="C10" s="16" t="s">
        <v>141</v>
      </c>
      <c r="D10" s="18"/>
      <c r="E10" s="78" t="str">
        <f t="shared" si="0"/>
        <v>C_병법서 연구</v>
      </c>
    </row>
    <row r="11" spans="1:5" x14ac:dyDescent="0.3">
      <c r="A11" s="16" t="s">
        <v>132</v>
      </c>
      <c r="B11" s="17" t="str">
        <f t="shared" si="1"/>
        <v>REFUGEE_PERSUASION_TITLE</v>
      </c>
      <c r="C11" s="16" t="s">
        <v>142</v>
      </c>
      <c r="D11" s="18"/>
      <c r="E11" s="78" t="str">
        <f t="shared" si="0"/>
        <v>C_유랑민 귀순 설득</v>
      </c>
    </row>
    <row r="12" spans="1:5" x14ac:dyDescent="0.3">
      <c r="A12" s="16" t="s">
        <v>133</v>
      </c>
      <c r="B12" s="17" t="str">
        <f t="shared" si="1"/>
        <v>RECRUIT_TALENT_TITLE</v>
      </c>
      <c r="C12" s="16" t="s">
        <v>143</v>
      </c>
      <c r="D12" s="18"/>
      <c r="E12" s="78" t="str">
        <f t="shared" ref="E12" si="2">"C_"&amp;C12</f>
        <v>C_재야 인재 영입</v>
      </c>
    </row>
    <row r="13" spans="1:5" x14ac:dyDescent="0.3">
      <c r="A13" s="17"/>
      <c r="D13" s="18"/>
    </row>
    <row r="14" spans="1:5" x14ac:dyDescent="0.3">
      <c r="A14" s="17"/>
      <c r="D14" s="18"/>
    </row>
    <row r="15" spans="1:5" x14ac:dyDescent="0.3">
      <c r="A15" s="17"/>
      <c r="D15" s="18"/>
    </row>
    <row r="16" spans="1:5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8" workbookViewId="0">
      <selection activeCell="G1" sqref="G1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76" t="s">
        <v>448</v>
      </c>
      <c r="B1" s="76" t="s">
        <v>54</v>
      </c>
      <c r="C1" s="76" t="s">
        <v>443</v>
      </c>
      <c r="D1" s="76" t="s">
        <v>3</v>
      </c>
      <c r="E1" s="77" t="s">
        <v>0</v>
      </c>
      <c r="F1" s="77" t="s">
        <v>1</v>
      </c>
      <c r="G1" s="77" t="s">
        <v>1233</v>
      </c>
    </row>
    <row r="2" spans="1:7" x14ac:dyDescent="0.3">
      <c r="A2" s="76" t="s">
        <v>2</v>
      </c>
      <c r="B2" s="76" t="s">
        <v>2</v>
      </c>
      <c r="C2" s="76" t="s">
        <v>2</v>
      </c>
      <c r="D2" s="76" t="s">
        <v>2</v>
      </c>
      <c r="E2" s="77" t="s">
        <v>2</v>
      </c>
      <c r="F2" s="77" t="s">
        <v>2</v>
      </c>
      <c r="G2" s="77" t="s">
        <v>2</v>
      </c>
    </row>
    <row r="3" spans="1:7" x14ac:dyDescent="0.3">
      <c r="A3" s="78"/>
      <c r="B3" s="78"/>
      <c r="C3" s="78"/>
      <c r="D3" s="78" t="s">
        <v>28</v>
      </c>
      <c r="E3" s="79" t="s">
        <v>26</v>
      </c>
      <c r="F3" s="79" t="s">
        <v>23</v>
      </c>
      <c r="G3" s="78" t="str">
        <f t="shared" ref="G3:G66" si="0">"C_"&amp;E3</f>
        <v>C_궁장</v>
      </c>
    </row>
    <row r="4" spans="1:7" x14ac:dyDescent="0.3">
      <c r="A4" s="78"/>
      <c r="B4" s="78"/>
      <c r="C4" s="78"/>
      <c r="D4" s="78" t="s">
        <v>80</v>
      </c>
      <c r="E4" s="79" t="s">
        <v>17</v>
      </c>
      <c r="F4" s="79" t="s">
        <v>18</v>
      </c>
      <c r="G4" s="78" t="str">
        <f t="shared" si="0"/>
        <v>C_용장</v>
      </c>
    </row>
    <row r="5" spans="1:7" x14ac:dyDescent="0.3">
      <c r="A5" s="78"/>
      <c r="B5" s="78"/>
      <c r="C5" s="78"/>
      <c r="D5" s="78" t="s">
        <v>79</v>
      </c>
      <c r="E5" s="79" t="s">
        <v>27</v>
      </c>
      <c r="F5" s="79" t="s">
        <v>22</v>
      </c>
      <c r="G5" s="78" t="str">
        <f t="shared" si="0"/>
        <v>C_추격자</v>
      </c>
    </row>
    <row r="6" spans="1:7" x14ac:dyDescent="0.3">
      <c r="A6" s="78"/>
      <c r="B6" s="78"/>
      <c r="C6" s="78"/>
      <c r="D6" s="78" t="s">
        <v>14</v>
      </c>
      <c r="E6" s="79" t="s">
        <v>15</v>
      </c>
      <c r="F6" s="79" t="s">
        <v>16</v>
      </c>
      <c r="G6" s="78" t="str">
        <f t="shared" si="0"/>
        <v>C_지휘관</v>
      </c>
    </row>
    <row r="7" spans="1:7" x14ac:dyDescent="0.3">
      <c r="A7" s="78"/>
      <c r="B7" s="78"/>
      <c r="C7" s="78"/>
      <c r="D7" s="78" t="s">
        <v>29</v>
      </c>
      <c r="E7" s="79" t="s">
        <v>25</v>
      </c>
      <c r="F7" s="79" t="s">
        <v>24</v>
      </c>
      <c r="G7" s="78" t="str">
        <f t="shared" si="0"/>
        <v>C_책사</v>
      </c>
    </row>
    <row r="8" spans="1:7" x14ac:dyDescent="0.3">
      <c r="A8" s="78"/>
      <c r="B8" s="78"/>
      <c r="C8" s="78"/>
      <c r="D8" s="78" t="s">
        <v>19</v>
      </c>
      <c r="E8" s="79" t="s">
        <v>20</v>
      </c>
      <c r="F8" s="79" t="s">
        <v>21</v>
      </c>
      <c r="G8" s="78" t="str">
        <f t="shared" si="0"/>
        <v>C_선봉장</v>
      </c>
    </row>
    <row r="9" spans="1:7" x14ac:dyDescent="0.3">
      <c r="A9" s="78" t="s">
        <v>476</v>
      </c>
      <c r="B9" s="79" t="s">
        <v>256</v>
      </c>
      <c r="C9" s="79" t="s">
        <v>447</v>
      </c>
      <c r="D9" s="78" t="str">
        <f t="shared" ref="D9:D48" si="1">UPPER(A9)&amp;"_"&amp;UPPER(C9)&amp;"_"&amp;UPPER(B9)</f>
        <v>COURTESY_ETC_LUBU</v>
      </c>
      <c r="E9" s="79" t="s">
        <v>257</v>
      </c>
      <c r="F9" s="79" t="s">
        <v>504</v>
      </c>
      <c r="G9" s="78" t="str">
        <f t="shared" si="0"/>
        <v>C_봉선</v>
      </c>
    </row>
    <row r="10" spans="1:7" x14ac:dyDescent="0.3">
      <c r="A10" s="78" t="s">
        <v>476</v>
      </c>
      <c r="B10" s="79" t="s">
        <v>7</v>
      </c>
      <c r="C10" s="79" t="s">
        <v>444</v>
      </c>
      <c r="D10" s="78" t="str">
        <f t="shared" si="1"/>
        <v>COURTESY_SHU_GUANYU</v>
      </c>
      <c r="E10" s="79" t="s">
        <v>31</v>
      </c>
      <c r="F10" s="79" t="s">
        <v>505</v>
      </c>
      <c r="G10" s="78" t="str">
        <f t="shared" si="0"/>
        <v>C_운장</v>
      </c>
    </row>
    <row r="11" spans="1:7" x14ac:dyDescent="0.3">
      <c r="A11" s="78" t="s">
        <v>476</v>
      </c>
      <c r="B11" s="78" t="s">
        <v>428</v>
      </c>
      <c r="C11" s="79" t="s">
        <v>444</v>
      </c>
      <c r="D11" s="78" t="str">
        <f t="shared" si="1"/>
        <v>COURTESY_SHU_HUANGZHONG</v>
      </c>
      <c r="E11" s="79" t="s">
        <v>477</v>
      </c>
      <c r="F11" s="79" t="s">
        <v>506</v>
      </c>
      <c r="G11" s="78" t="str">
        <f t="shared" si="0"/>
        <v>C_항승</v>
      </c>
    </row>
    <row r="12" spans="1:7" x14ac:dyDescent="0.3">
      <c r="A12" s="78" t="s">
        <v>476</v>
      </c>
      <c r="B12" s="79" t="s">
        <v>5</v>
      </c>
      <c r="C12" s="79" t="s">
        <v>444</v>
      </c>
      <c r="D12" s="78" t="str">
        <f t="shared" si="1"/>
        <v>COURTESY_SHU_LIUBEI</v>
      </c>
      <c r="E12" s="79" t="s">
        <v>30</v>
      </c>
      <c r="F12" s="79" t="s">
        <v>507</v>
      </c>
      <c r="G12" s="78" t="str">
        <f t="shared" si="0"/>
        <v>C_현덕</v>
      </c>
    </row>
    <row r="13" spans="1:7" x14ac:dyDescent="0.3">
      <c r="A13" s="78" t="s">
        <v>476</v>
      </c>
      <c r="B13" s="79" t="s">
        <v>9</v>
      </c>
      <c r="C13" s="79" t="s">
        <v>444</v>
      </c>
      <c r="D13" s="78" t="str">
        <f t="shared" si="1"/>
        <v>COURTESY_SHU_ZHANGFEI</v>
      </c>
      <c r="E13" s="79" t="s">
        <v>32</v>
      </c>
      <c r="F13" s="79" t="s">
        <v>508</v>
      </c>
      <c r="G13" s="78" t="str">
        <f t="shared" si="0"/>
        <v>C_익덕</v>
      </c>
    </row>
    <row r="14" spans="1:7" x14ac:dyDescent="0.3">
      <c r="A14" s="78" t="s">
        <v>476</v>
      </c>
      <c r="B14" s="79" t="s">
        <v>511</v>
      </c>
      <c r="C14" s="79" t="s">
        <v>444</v>
      </c>
      <c r="D14" s="78" t="str">
        <f t="shared" si="1"/>
        <v>COURTESY_SHU_ZHAOYUN</v>
      </c>
      <c r="E14" s="79" t="s">
        <v>33</v>
      </c>
      <c r="F14" s="79" t="s">
        <v>509</v>
      </c>
      <c r="G14" s="78" t="str">
        <f t="shared" si="0"/>
        <v>C_자룡</v>
      </c>
    </row>
    <row r="15" spans="1:7" x14ac:dyDescent="0.3">
      <c r="A15" s="78" t="s">
        <v>476</v>
      </c>
      <c r="B15" s="79" t="s">
        <v>13</v>
      </c>
      <c r="C15" s="79" t="s">
        <v>444</v>
      </c>
      <c r="D15" s="78" t="str">
        <f t="shared" si="1"/>
        <v>COURTESY_SHU_ZHUGELIANG</v>
      </c>
      <c r="E15" s="79" t="s">
        <v>34</v>
      </c>
      <c r="F15" s="79" t="s">
        <v>510</v>
      </c>
      <c r="G15" s="78" t="str">
        <f t="shared" si="0"/>
        <v>C_공명</v>
      </c>
    </row>
    <row r="16" spans="1:7" x14ac:dyDescent="0.3">
      <c r="A16" s="78" t="s">
        <v>476</v>
      </c>
      <c r="B16" s="78" t="s">
        <v>51</v>
      </c>
      <c r="C16" s="79" t="s">
        <v>445</v>
      </c>
      <c r="D16" s="78" t="str">
        <f t="shared" si="1"/>
        <v>COURTESY_WEI_CAOCAO</v>
      </c>
      <c r="E16" s="79" t="s">
        <v>478</v>
      </c>
      <c r="F16" s="78" t="s">
        <v>491</v>
      </c>
      <c r="G16" s="78" t="str">
        <f t="shared" si="0"/>
        <v>C_맹덕</v>
      </c>
    </row>
    <row r="17" spans="1:7" x14ac:dyDescent="0.3">
      <c r="A17" s="78" t="s">
        <v>476</v>
      </c>
      <c r="B17" s="78" t="s">
        <v>416</v>
      </c>
      <c r="C17" s="79" t="s">
        <v>445</v>
      </c>
      <c r="D17" s="78" t="str">
        <f t="shared" si="1"/>
        <v>COURTESY_WEI_CAOREN</v>
      </c>
      <c r="E17" s="79" t="s">
        <v>479</v>
      </c>
      <c r="F17" s="78" t="s">
        <v>492</v>
      </c>
      <c r="G17" s="78" t="str">
        <f t="shared" si="0"/>
        <v>C_자효</v>
      </c>
    </row>
    <row r="18" spans="1:7" x14ac:dyDescent="0.3">
      <c r="A18" s="78" t="s">
        <v>476</v>
      </c>
      <c r="B18" s="78" t="s">
        <v>417</v>
      </c>
      <c r="C18" s="79" t="s">
        <v>445</v>
      </c>
      <c r="D18" s="78" t="str">
        <f t="shared" si="1"/>
        <v>COURTESY_WEI_XIAHOUDUN</v>
      </c>
      <c r="E18" s="79" t="s">
        <v>480</v>
      </c>
      <c r="F18" s="79" t="s">
        <v>493</v>
      </c>
      <c r="G18" s="78" t="str">
        <f t="shared" si="0"/>
        <v>C_원양</v>
      </c>
    </row>
    <row r="19" spans="1:7" x14ac:dyDescent="0.3">
      <c r="A19" s="78" t="s">
        <v>476</v>
      </c>
      <c r="B19" s="78" t="s">
        <v>419</v>
      </c>
      <c r="C19" s="79" t="s">
        <v>445</v>
      </c>
      <c r="D19" s="78" t="str">
        <f t="shared" si="1"/>
        <v>COURTESY_WEI_XIAHOUYUAN</v>
      </c>
      <c r="E19" s="79" t="s">
        <v>481</v>
      </c>
      <c r="F19" s="79" t="s">
        <v>494</v>
      </c>
      <c r="G19" s="78" t="str">
        <f t="shared" si="0"/>
        <v>C_묘재</v>
      </c>
    </row>
    <row r="20" spans="1:7" x14ac:dyDescent="0.3">
      <c r="A20" s="78" t="s">
        <v>476</v>
      </c>
      <c r="B20" s="78" t="s">
        <v>420</v>
      </c>
      <c r="C20" s="79" t="s">
        <v>445</v>
      </c>
      <c r="D20" s="78" t="str">
        <f t="shared" si="1"/>
        <v>COURTESY_WEI_XUNYU</v>
      </c>
      <c r="E20" s="79" t="s">
        <v>482</v>
      </c>
      <c r="F20" s="79" t="s">
        <v>495</v>
      </c>
      <c r="G20" s="78" t="str">
        <f t="shared" si="0"/>
        <v>C_문약</v>
      </c>
    </row>
    <row r="21" spans="1:7" x14ac:dyDescent="0.3">
      <c r="A21" s="78" t="s">
        <v>476</v>
      </c>
      <c r="B21" s="78" t="s">
        <v>418</v>
      </c>
      <c r="C21" s="79" t="s">
        <v>445</v>
      </c>
      <c r="D21" s="78" t="str">
        <f t="shared" si="1"/>
        <v>COURTESY_WEI_ZHANGLIAO</v>
      </c>
      <c r="E21" s="79" t="s">
        <v>483</v>
      </c>
      <c r="F21" s="79" t="s">
        <v>497</v>
      </c>
      <c r="G21" s="78" t="str">
        <f t="shared" si="0"/>
        <v>C_문원</v>
      </c>
    </row>
    <row r="22" spans="1:7" x14ac:dyDescent="0.3">
      <c r="A22" s="78" t="s">
        <v>476</v>
      </c>
      <c r="B22" s="78" t="s">
        <v>426</v>
      </c>
      <c r="C22" s="79" t="s">
        <v>446</v>
      </c>
      <c r="D22" s="78" t="str">
        <f t="shared" si="1"/>
        <v>COURTESY_WU_HANDANG</v>
      </c>
      <c r="E22" s="79" t="s">
        <v>484</v>
      </c>
      <c r="F22" s="78" t="s">
        <v>496</v>
      </c>
      <c r="G22" s="78" t="str">
        <f t="shared" si="0"/>
        <v>C_의공</v>
      </c>
    </row>
    <row r="23" spans="1:7" x14ac:dyDescent="0.3">
      <c r="A23" s="78" t="s">
        <v>476</v>
      </c>
      <c r="B23" s="78" t="s">
        <v>423</v>
      </c>
      <c r="C23" s="79" t="s">
        <v>446</v>
      </c>
      <c r="D23" s="78" t="str">
        <f t="shared" si="1"/>
        <v>COURTESY_WU_HUANGGAI</v>
      </c>
      <c r="E23" s="79" t="s">
        <v>485</v>
      </c>
      <c r="F23" s="78" t="s">
        <v>498</v>
      </c>
      <c r="G23" s="78" t="str">
        <f t="shared" si="0"/>
        <v>C_공복</v>
      </c>
    </row>
    <row r="24" spans="1:7" x14ac:dyDescent="0.3">
      <c r="A24" s="78" t="s">
        <v>476</v>
      </c>
      <c r="B24" s="78" t="s">
        <v>424</v>
      </c>
      <c r="C24" s="79" t="s">
        <v>446</v>
      </c>
      <c r="D24" s="78" t="str">
        <f t="shared" si="1"/>
        <v>COURTESY_WU_SUNCE</v>
      </c>
      <c r="E24" s="79" t="s">
        <v>486</v>
      </c>
      <c r="F24" s="78" t="s">
        <v>499</v>
      </c>
      <c r="G24" s="78" t="str">
        <f t="shared" si="0"/>
        <v>C_백부</v>
      </c>
    </row>
    <row r="25" spans="1:7" x14ac:dyDescent="0.3">
      <c r="A25" s="78" t="s">
        <v>476</v>
      </c>
      <c r="B25" s="78" t="s">
        <v>421</v>
      </c>
      <c r="C25" s="79" t="s">
        <v>446</v>
      </c>
      <c r="D25" s="78" t="str">
        <f t="shared" si="1"/>
        <v>COURTESY_WU_SUNJIAN</v>
      </c>
      <c r="E25" s="79" t="s">
        <v>487</v>
      </c>
      <c r="F25" s="78" t="s">
        <v>500</v>
      </c>
      <c r="G25" s="78" t="str">
        <f t="shared" si="0"/>
        <v>C_문대</v>
      </c>
    </row>
    <row r="26" spans="1:7" x14ac:dyDescent="0.3">
      <c r="A26" s="78" t="s">
        <v>476</v>
      </c>
      <c r="B26" s="78" t="s">
        <v>422</v>
      </c>
      <c r="C26" s="79" t="s">
        <v>446</v>
      </c>
      <c r="D26" s="78" t="str">
        <f t="shared" si="1"/>
        <v>COURTESY_WU_SUNQUAN</v>
      </c>
      <c r="E26" s="79" t="s">
        <v>488</v>
      </c>
      <c r="F26" s="78" t="s">
        <v>501</v>
      </c>
      <c r="G26" s="78" t="str">
        <f t="shared" si="0"/>
        <v>C_중모</v>
      </c>
    </row>
    <row r="27" spans="1:7" x14ac:dyDescent="0.3">
      <c r="A27" s="78" t="s">
        <v>476</v>
      </c>
      <c r="B27" s="78" t="s">
        <v>425</v>
      </c>
      <c r="C27" s="79" t="s">
        <v>446</v>
      </c>
      <c r="D27" s="78" t="str">
        <f t="shared" si="1"/>
        <v>COURTESY_WU_TAISHICI</v>
      </c>
      <c r="E27" s="79" t="s">
        <v>489</v>
      </c>
      <c r="F27" s="78" t="s">
        <v>502</v>
      </c>
      <c r="G27" s="78" t="str">
        <f t="shared" si="0"/>
        <v>C_자의</v>
      </c>
    </row>
    <row r="28" spans="1:7" x14ac:dyDescent="0.3">
      <c r="A28" s="78" t="s">
        <v>476</v>
      </c>
      <c r="B28" s="78" t="s">
        <v>427</v>
      </c>
      <c r="C28" s="79" t="s">
        <v>446</v>
      </c>
      <c r="D28" s="78" t="str">
        <f t="shared" si="1"/>
        <v>COURTESY_WU_ZHOUYU</v>
      </c>
      <c r="E28" s="79" t="s">
        <v>490</v>
      </c>
      <c r="F28" s="78" t="s">
        <v>503</v>
      </c>
      <c r="G28" s="78" t="str">
        <f t="shared" si="0"/>
        <v>C_공근</v>
      </c>
    </row>
    <row r="29" spans="1:7" ht="27" x14ac:dyDescent="0.3">
      <c r="A29" s="78" t="s">
        <v>462</v>
      </c>
      <c r="B29" s="79" t="s">
        <v>256</v>
      </c>
      <c r="C29" s="79" t="s">
        <v>447</v>
      </c>
      <c r="D29" s="78" t="str">
        <f t="shared" si="1"/>
        <v>DESC_TALK_ETC_LUBU</v>
      </c>
      <c r="E29" s="79" t="s">
        <v>266</v>
      </c>
      <c r="F29" s="79"/>
      <c r="G29" s="78" t="str">
        <f t="shared" si="0"/>
        <v>C_"누가 감히 나와 싸우겠느냐?
귀큰 놈, 네 놈이냐?!"</v>
      </c>
    </row>
    <row r="30" spans="1:7" ht="27" x14ac:dyDescent="0.3">
      <c r="A30" s="78" t="s">
        <v>462</v>
      </c>
      <c r="B30" s="79" t="s">
        <v>7</v>
      </c>
      <c r="C30" s="79" t="s">
        <v>444</v>
      </c>
      <c r="D30" s="78" t="str">
        <f t="shared" si="1"/>
        <v>DESC_TALK_SHU_GUANYU</v>
      </c>
      <c r="E30" s="79" t="s">
        <v>37</v>
      </c>
      <c r="F30" s="79"/>
      <c r="G30" s="78" t="str">
        <f t="shared" si="0"/>
        <v>C_"이 술은 따라 두시오.
술이 식기 전에 돌아오겠소."</v>
      </c>
    </row>
    <row r="31" spans="1:7" ht="27" x14ac:dyDescent="0.3">
      <c r="A31" s="78" t="s">
        <v>462</v>
      </c>
      <c r="B31" s="79" t="s">
        <v>5</v>
      </c>
      <c r="C31" s="79" t="s">
        <v>444</v>
      </c>
      <c r="D31" s="78" t="str">
        <f t="shared" si="1"/>
        <v>DESC_TALK_SHU_LIUBEI</v>
      </c>
      <c r="E31" s="79" t="s">
        <v>35</v>
      </c>
      <c r="F31" s="79"/>
      <c r="G31" s="78" t="str">
        <f t="shared" si="0"/>
        <v>C_"천하는 곧 백성이며, 백성의 마음을
얻는 것이 곧 천하를 얻는 것이다."</v>
      </c>
    </row>
    <row r="32" spans="1:7" ht="27" x14ac:dyDescent="0.3">
      <c r="A32" s="78" t="s">
        <v>462</v>
      </c>
      <c r="B32" s="79" t="s">
        <v>9</v>
      </c>
      <c r="C32" s="79" t="s">
        <v>444</v>
      </c>
      <c r="D32" s="78" t="str">
        <f t="shared" si="1"/>
        <v>DESC_TALK_SHU_ZHANGFEI</v>
      </c>
      <c r="E32" s="79" t="s">
        <v>36</v>
      </c>
      <c r="F32" s="79"/>
      <c r="G32" s="78" t="str">
        <f t="shared" si="0"/>
        <v>C_"연인 장익덕이 여기 있다!
목숨이 아깝지 않은 놈부터 나와라!"</v>
      </c>
    </row>
    <row r="33" spans="1:7" ht="27" x14ac:dyDescent="0.3">
      <c r="A33" s="78" t="s">
        <v>462</v>
      </c>
      <c r="B33" s="79" t="s">
        <v>511</v>
      </c>
      <c r="C33" s="79" t="s">
        <v>444</v>
      </c>
      <c r="D33" s="78" t="str">
        <f t="shared" si="1"/>
        <v>DESC_TALK_SHU_ZHAOYUN</v>
      </c>
      <c r="E33" s="79" t="s">
        <v>70</v>
      </c>
      <c r="F33" s="79"/>
      <c r="G33" s="78" t="str">
        <f t="shared" si="0"/>
        <v>C_"죽음을 각오한 자 만이
나의 창을 마주할 것이다."</v>
      </c>
    </row>
    <row r="34" spans="1:7" ht="27" x14ac:dyDescent="0.3">
      <c r="A34" s="78" t="s">
        <v>462</v>
      </c>
      <c r="B34" s="79" t="s">
        <v>13</v>
      </c>
      <c r="C34" s="79" t="s">
        <v>444</v>
      </c>
      <c r="D34" s="78" t="str">
        <f t="shared" si="1"/>
        <v>DESC_TALK_SHU_ZHUGELIANG</v>
      </c>
      <c r="E34" s="79" t="s">
        <v>69</v>
      </c>
      <c r="F34" s="79"/>
      <c r="G34" s="78" t="str">
        <f t="shared" si="0"/>
        <v>C_"하늘의 뜻은 이미 정해졌소.
그대가 어찌 내 계책을 벗어나겠소?"</v>
      </c>
    </row>
    <row r="35" spans="1:7" ht="27" x14ac:dyDescent="0.3">
      <c r="A35" s="78" t="s">
        <v>462</v>
      </c>
      <c r="B35" s="78" t="s">
        <v>428</v>
      </c>
      <c r="C35" s="79" t="s">
        <v>444</v>
      </c>
      <c r="D35" s="78" t="str">
        <f t="shared" si="1"/>
        <v>DESC_TALK_SHU_HUANGZHONG</v>
      </c>
      <c r="E35" s="79" t="s">
        <v>467</v>
      </c>
      <c r="F35" s="79"/>
      <c r="G35" s="78" t="str">
        <f t="shared" si="0"/>
        <v>C_"아직 젊은이들에게 뒤처질 순 없지.
허허허"</v>
      </c>
    </row>
    <row r="36" spans="1:7" ht="27" x14ac:dyDescent="0.3">
      <c r="A36" s="78" t="s">
        <v>462</v>
      </c>
      <c r="B36" s="78" t="s">
        <v>415</v>
      </c>
      <c r="C36" s="79" t="s">
        <v>445</v>
      </c>
      <c r="D36" s="78" t="str">
        <f t="shared" si="1"/>
        <v>DESC_TALK_WEI_CAOCAO</v>
      </c>
      <c r="E36" s="79" t="s">
        <v>473</v>
      </c>
      <c r="F36" s="79"/>
      <c r="G36" s="78" t="str">
        <f t="shared" si="0"/>
        <v>C_"내가 천하를 등질지언정,
천하가 나를 등지게 하지는 않겠소."</v>
      </c>
    </row>
    <row r="37" spans="1:7" ht="27" x14ac:dyDescent="0.3">
      <c r="A37" s="78" t="s">
        <v>462</v>
      </c>
      <c r="B37" s="78" t="s">
        <v>416</v>
      </c>
      <c r="C37" s="79" t="s">
        <v>445</v>
      </c>
      <c r="D37" s="78" t="str">
        <f t="shared" si="1"/>
        <v>DESC_TALK_WEI_CAOREN</v>
      </c>
      <c r="E37" s="79" t="s">
        <v>463</v>
      </c>
      <c r="F37" s="79"/>
      <c r="G37" s="78" t="str">
        <f t="shared" si="0"/>
        <v>C_"내 검과 방패가 살아있는 한,
위나라의 깃발은 꺽이지 않는다."</v>
      </c>
    </row>
    <row r="38" spans="1:7" ht="27" x14ac:dyDescent="0.3">
      <c r="A38" s="78" t="s">
        <v>462</v>
      </c>
      <c r="B38" s="78" t="s">
        <v>417</v>
      </c>
      <c r="C38" s="79" t="s">
        <v>445</v>
      </c>
      <c r="D38" s="78" t="str">
        <f t="shared" si="1"/>
        <v>DESC_TALK_WEI_XIAHOUDUN</v>
      </c>
      <c r="E38" s="79" t="s">
        <v>464</v>
      </c>
      <c r="F38" s="79"/>
      <c r="G38" s="78" t="str">
        <f t="shared" si="0"/>
        <v>C_"내 눈이 뭐 어떻다고??
찢어발겨주마!!"</v>
      </c>
    </row>
    <row r="39" spans="1:7" ht="27" x14ac:dyDescent="0.3">
      <c r="A39" s="78" t="s">
        <v>462</v>
      </c>
      <c r="B39" s="78" t="s">
        <v>419</v>
      </c>
      <c r="C39" s="79" t="s">
        <v>445</v>
      </c>
      <c r="D39" s="78" t="str">
        <f t="shared" si="1"/>
        <v>DESC_TALK_WEI_XIAHOUYUAN</v>
      </c>
      <c r="E39" s="79" t="s">
        <v>466</v>
      </c>
      <c r="F39" s="79"/>
      <c r="G39" s="78" t="str">
        <f t="shared" si="0"/>
        <v>C_"지체할 시간 없다.
전군, 숨도 쉬지 말고 달려라."</v>
      </c>
    </row>
    <row r="40" spans="1:7" ht="27" x14ac:dyDescent="0.3">
      <c r="A40" s="78" t="s">
        <v>462</v>
      </c>
      <c r="B40" s="78" t="s">
        <v>420</v>
      </c>
      <c r="C40" s="79" t="s">
        <v>445</v>
      </c>
      <c r="D40" s="78" t="str">
        <f t="shared" si="1"/>
        <v>DESC_TALK_WEI_XUNYU</v>
      </c>
      <c r="E40" s="79" t="s">
        <v>901</v>
      </c>
      <c r="F40" s="79"/>
      <c r="G40" s="78" t="str">
        <f t="shared" si="0"/>
        <v>C_"천하를 도모할 판을 짜드리지요.
가만, 누가 내 도시락에 손을 댄 것이오!?"</v>
      </c>
    </row>
    <row r="41" spans="1:7" x14ac:dyDescent="0.3">
      <c r="A41" s="78" t="s">
        <v>462</v>
      </c>
      <c r="B41" s="78" t="s">
        <v>418</v>
      </c>
      <c r="C41" s="79" t="s">
        <v>445</v>
      </c>
      <c r="D41" s="78" t="str">
        <f t="shared" si="1"/>
        <v>DESC_TALK_WEI_ZHANGLIAO</v>
      </c>
      <c r="E41" s="79" t="s">
        <v>475</v>
      </c>
      <c r="F41" s="79" t="s">
        <v>256</v>
      </c>
      <c r="G41" s="78" t="str">
        <f t="shared" si="0"/>
        <v>C_"사나이란 죽을 때 깨끗이 죽는 법이다."</v>
      </c>
    </row>
    <row r="42" spans="1:7" ht="27" x14ac:dyDescent="0.3">
      <c r="A42" s="78" t="s">
        <v>462</v>
      </c>
      <c r="B42" s="78" t="s">
        <v>426</v>
      </c>
      <c r="C42" s="79" t="s">
        <v>446</v>
      </c>
      <c r="D42" s="78" t="str">
        <f t="shared" si="1"/>
        <v>DESC_TALK_WU_HANDANG</v>
      </c>
      <c r="E42" s="79" t="s">
        <v>465</v>
      </c>
      <c r="F42" s="79" t="s">
        <v>7</v>
      </c>
      <c r="G42" s="78" t="str">
        <f t="shared" si="0"/>
        <v>C_"손가 3대를 모셧다!
내 이름은 대체 언제 외워줄텐가?!"</v>
      </c>
    </row>
    <row r="43" spans="1:7" ht="27" x14ac:dyDescent="0.3">
      <c r="A43" s="78" t="s">
        <v>462</v>
      </c>
      <c r="B43" s="78" t="s">
        <v>423</v>
      </c>
      <c r="C43" s="79" t="s">
        <v>446</v>
      </c>
      <c r="D43" s="78" t="str">
        <f t="shared" si="1"/>
        <v>DESC_TALK_WU_HUANGGAI</v>
      </c>
      <c r="E43" s="79" t="s">
        <v>472</v>
      </c>
      <c r="F43" s="78" t="s">
        <v>428</v>
      </c>
      <c r="G43" s="78" t="str">
        <f t="shared" si="0"/>
        <v>C_"등짝은 조금 따끔했지만,
적벽을 불태울 준비는 끝났다."</v>
      </c>
    </row>
    <row r="44" spans="1:7" ht="27" x14ac:dyDescent="0.3">
      <c r="A44" s="78" t="s">
        <v>462</v>
      </c>
      <c r="B44" s="78" t="s">
        <v>424</v>
      </c>
      <c r="C44" s="79" t="s">
        <v>446</v>
      </c>
      <c r="D44" s="78" t="str">
        <f t="shared" si="1"/>
        <v>DESC_TALK_WU_SUNCE</v>
      </c>
      <c r="E44" s="79" t="s">
        <v>468</v>
      </c>
      <c r="F44" s="79" t="s">
        <v>5</v>
      </c>
      <c r="G44" s="78" t="str">
        <f t="shared" si="0"/>
        <v>C_"비켜라!
강동을 평정하는 데는 한 달도 길다."</v>
      </c>
    </row>
    <row r="45" spans="1:7" x14ac:dyDescent="0.3">
      <c r="A45" s="78" t="s">
        <v>462</v>
      </c>
      <c r="B45" s="78" t="s">
        <v>421</v>
      </c>
      <c r="C45" s="79" t="s">
        <v>446</v>
      </c>
      <c r="D45" s="78" t="str">
        <f t="shared" si="1"/>
        <v>DESC_TALK_WU_SUNJIAN</v>
      </c>
      <c r="E45" s="79" t="s">
        <v>470</v>
      </c>
      <c r="F45" s="79" t="s">
        <v>9</v>
      </c>
      <c r="G45" s="78" t="str">
        <f t="shared" si="0"/>
        <v>C_"화웅을 벤 자가 누구라고?"</v>
      </c>
    </row>
    <row r="46" spans="1:7" ht="27" x14ac:dyDescent="0.3">
      <c r="A46" s="78" t="s">
        <v>462</v>
      </c>
      <c r="B46" s="78" t="s">
        <v>422</v>
      </c>
      <c r="C46" s="79" t="s">
        <v>446</v>
      </c>
      <c r="D46" s="78" t="str">
        <f t="shared" si="1"/>
        <v>DESC_TALK_WU_SUNQUAN</v>
      </c>
      <c r="E46" s="79" t="s">
        <v>469</v>
      </c>
      <c r="F46" s="79" t="s">
        <v>12</v>
      </c>
      <c r="G46" s="78" t="str">
        <f t="shared" si="0"/>
        <v>C_"나의 검이 책상을 벤 뜻을 모르는가!
이제 수성의 시간이다."</v>
      </c>
    </row>
    <row r="47" spans="1:7" ht="27" x14ac:dyDescent="0.3">
      <c r="A47" s="78" t="s">
        <v>462</v>
      </c>
      <c r="B47" s="78" t="s">
        <v>425</v>
      </c>
      <c r="C47" s="79" t="s">
        <v>446</v>
      </c>
      <c r="D47" s="78" t="str">
        <f t="shared" si="1"/>
        <v>DESC_TALK_WU_TAISHICI</v>
      </c>
      <c r="E47" s="79" t="s">
        <v>471</v>
      </c>
      <c r="F47" s="79" t="s">
        <v>13</v>
      </c>
      <c r="G47" s="78" t="str">
        <f t="shared" si="0"/>
        <v>C_"백부가 가리키는 곳이 곧
내가 화살을 날릴 과녁이다."</v>
      </c>
    </row>
    <row r="48" spans="1:7" ht="27" x14ac:dyDescent="0.3">
      <c r="A48" s="78" t="s">
        <v>462</v>
      </c>
      <c r="B48" s="78" t="s">
        <v>427</v>
      </c>
      <c r="C48" s="79" t="s">
        <v>446</v>
      </c>
      <c r="D48" s="78" t="str">
        <f t="shared" si="1"/>
        <v>DESC_TALK_WU_ZHOUYU</v>
      </c>
      <c r="E48" s="79" t="s">
        <v>474</v>
      </c>
      <c r="F48" s="78" t="s">
        <v>415</v>
      </c>
      <c r="G48" s="78" t="str">
        <f t="shared" si="0"/>
        <v>C_"불의 연주가 시작되었다.
잔을 들어라."</v>
      </c>
    </row>
    <row r="49" spans="1:7" x14ac:dyDescent="0.3">
      <c r="A49" s="78"/>
      <c r="B49" s="78"/>
      <c r="C49" s="78"/>
      <c r="D49" s="78" t="s">
        <v>461</v>
      </c>
      <c r="E49" s="79" t="s">
        <v>268</v>
      </c>
      <c r="F49" s="78" t="s">
        <v>416</v>
      </c>
      <c r="G49" s="78" t="str">
        <f t="shared" si="0"/>
        <v>C_강상</v>
      </c>
    </row>
    <row r="50" spans="1:7" x14ac:dyDescent="0.3">
      <c r="A50" s="78"/>
      <c r="B50" s="78"/>
      <c r="C50" s="78"/>
      <c r="D50" s="78" t="s">
        <v>450</v>
      </c>
      <c r="E50" s="79" t="s">
        <v>274</v>
      </c>
      <c r="F50" s="78" t="s">
        <v>417</v>
      </c>
      <c r="G50" s="78" t="str">
        <f t="shared" si="0"/>
        <v>C_낚시꾼의 시조</v>
      </c>
    </row>
    <row r="51" spans="1:7" x14ac:dyDescent="0.3">
      <c r="A51" s="78"/>
      <c r="B51" s="78"/>
      <c r="C51" s="78"/>
      <c r="D51" s="78" t="s">
        <v>451</v>
      </c>
      <c r="E51" s="79" t="s">
        <v>271</v>
      </c>
      <c r="F51" s="78" t="s">
        <v>419</v>
      </c>
      <c r="G51" s="78" t="str">
        <f t="shared" si="0"/>
        <v>C_염파</v>
      </c>
    </row>
    <row r="52" spans="1:7" x14ac:dyDescent="0.3">
      <c r="A52" s="78"/>
      <c r="B52" s="78"/>
      <c r="C52" s="78"/>
      <c r="D52" s="78" t="s">
        <v>452</v>
      </c>
      <c r="E52" s="79" t="s">
        <v>278</v>
      </c>
      <c r="F52" s="78" t="s">
        <v>420</v>
      </c>
      <c r="G52" s="78" t="str">
        <f t="shared" si="0"/>
        <v>C_백전백승의 노익장</v>
      </c>
    </row>
    <row r="53" spans="1:7" x14ac:dyDescent="0.3">
      <c r="A53" s="78"/>
      <c r="B53" s="78"/>
      <c r="C53" s="78"/>
      <c r="D53" s="78" t="s">
        <v>453</v>
      </c>
      <c r="E53" s="79" t="s">
        <v>267</v>
      </c>
      <c r="F53" s="78" t="s">
        <v>418</v>
      </c>
      <c r="G53" s="78" t="str">
        <f t="shared" si="0"/>
        <v>C_진시황</v>
      </c>
    </row>
    <row r="54" spans="1:7" x14ac:dyDescent="0.3">
      <c r="A54" s="78"/>
      <c r="B54" s="78"/>
      <c r="C54" s="78"/>
      <c r="D54" s="78" t="s">
        <v>454</v>
      </c>
      <c r="E54" s="79" t="s">
        <v>273</v>
      </c>
      <c r="F54" s="78" t="s">
        <v>426</v>
      </c>
      <c r="G54" s="78" t="str">
        <f t="shared" si="0"/>
        <v>C_최초의 황제</v>
      </c>
    </row>
    <row r="55" spans="1:7" x14ac:dyDescent="0.3">
      <c r="A55" s="78"/>
      <c r="B55" s="78"/>
      <c r="C55" s="78"/>
      <c r="D55" s="78" t="s">
        <v>455</v>
      </c>
      <c r="E55" s="79" t="s">
        <v>272</v>
      </c>
      <c r="F55" s="78" t="s">
        <v>423</v>
      </c>
      <c r="G55" s="78" t="str">
        <f t="shared" si="0"/>
        <v>C_항우</v>
      </c>
    </row>
    <row r="56" spans="1:7" x14ac:dyDescent="0.3">
      <c r="A56" s="78"/>
      <c r="B56" s="78"/>
      <c r="C56" s="78"/>
      <c r="D56" s="78" t="s">
        <v>456</v>
      </c>
      <c r="E56" s="79" t="s">
        <v>277</v>
      </c>
      <c r="F56" s="78" t="s">
        <v>424</v>
      </c>
      <c r="G56" s="78" t="str">
        <f t="shared" si="0"/>
        <v>C_최강의 역발산 패왕</v>
      </c>
    </row>
    <row r="57" spans="1:7" x14ac:dyDescent="0.3">
      <c r="A57" s="78"/>
      <c r="B57" s="78"/>
      <c r="C57" s="78"/>
      <c r="D57" s="78" t="s">
        <v>457</v>
      </c>
      <c r="E57" s="79" t="s">
        <v>269</v>
      </c>
      <c r="F57" s="78" t="s">
        <v>421</v>
      </c>
      <c r="G57" s="78" t="str">
        <f t="shared" si="0"/>
        <v>C_양유기</v>
      </c>
    </row>
    <row r="58" spans="1:7" x14ac:dyDescent="0.3">
      <c r="A58" s="78"/>
      <c r="B58" s="78"/>
      <c r="C58" s="78"/>
      <c r="D58" s="78" t="s">
        <v>458</v>
      </c>
      <c r="E58" s="79" t="s">
        <v>275</v>
      </c>
      <c r="F58" s="78" t="s">
        <v>422</v>
      </c>
      <c r="G58" s="78" t="str">
        <f t="shared" si="0"/>
        <v>C_백발백중의 신궁</v>
      </c>
    </row>
    <row r="59" spans="1:7" x14ac:dyDescent="0.3">
      <c r="A59" s="78"/>
      <c r="B59" s="78"/>
      <c r="C59" s="78"/>
      <c r="D59" s="78" t="s">
        <v>459</v>
      </c>
      <c r="E59" s="79" t="s">
        <v>270</v>
      </c>
      <c r="F59" s="78" t="s">
        <v>425</v>
      </c>
      <c r="G59" s="78" t="str">
        <f t="shared" si="0"/>
        <v>C_악의</v>
      </c>
    </row>
    <row r="60" spans="1:7" x14ac:dyDescent="0.3">
      <c r="A60" s="78"/>
      <c r="B60" s="78"/>
      <c r="C60" s="78"/>
      <c r="D60" s="78" t="s">
        <v>460</v>
      </c>
      <c r="E60" s="79" t="s">
        <v>276</v>
      </c>
      <c r="F60" s="78" t="s">
        <v>427</v>
      </c>
      <c r="G60" s="78" t="str">
        <f t="shared" si="0"/>
        <v>C_연나라의 구국명장</v>
      </c>
    </row>
    <row r="61" spans="1:7" x14ac:dyDescent="0.3">
      <c r="A61" s="78" t="s">
        <v>449</v>
      </c>
      <c r="B61" s="79" t="s">
        <v>256</v>
      </c>
      <c r="C61" s="79" t="s">
        <v>447</v>
      </c>
      <c r="D61" s="78" t="str">
        <f t="shared" ref="D61:D80" si="2">UPPER(A61)&amp;"_"&amp;UPPER(C61)&amp;"_"&amp;UPPER(B61)</f>
        <v>NAME_ETC_LUBU</v>
      </c>
      <c r="E61" s="79" t="s">
        <v>255</v>
      </c>
      <c r="F61" s="79"/>
      <c r="G61" s="78" t="str">
        <f t="shared" si="0"/>
        <v>C_여포</v>
      </c>
    </row>
    <row r="62" spans="1:7" x14ac:dyDescent="0.3">
      <c r="A62" s="78" t="s">
        <v>449</v>
      </c>
      <c r="B62" s="79" t="s">
        <v>7</v>
      </c>
      <c r="C62" s="79" t="s">
        <v>444</v>
      </c>
      <c r="D62" s="78" t="str">
        <f t="shared" si="2"/>
        <v>NAME_SHU_GUANYU</v>
      </c>
      <c r="E62" s="79" t="s">
        <v>6</v>
      </c>
      <c r="F62" s="79"/>
      <c r="G62" s="78" t="str">
        <f t="shared" si="0"/>
        <v>C_관우</v>
      </c>
    </row>
    <row r="63" spans="1:7" x14ac:dyDescent="0.3">
      <c r="A63" s="78" t="s">
        <v>449</v>
      </c>
      <c r="B63" s="78" t="s">
        <v>428</v>
      </c>
      <c r="C63" s="79" t="s">
        <v>444</v>
      </c>
      <c r="D63" s="78" t="str">
        <f t="shared" si="2"/>
        <v>NAME_SHU_HUANGZHONG</v>
      </c>
      <c r="E63" s="79" t="s">
        <v>429</v>
      </c>
      <c r="F63" s="79"/>
      <c r="G63" s="78" t="str">
        <f t="shared" si="0"/>
        <v>C_황충</v>
      </c>
    </row>
    <row r="64" spans="1:7" x14ac:dyDescent="0.3">
      <c r="A64" s="78" t="s">
        <v>449</v>
      </c>
      <c r="B64" s="79" t="s">
        <v>5</v>
      </c>
      <c r="C64" s="79" t="s">
        <v>444</v>
      </c>
      <c r="D64" s="78" t="str">
        <f t="shared" si="2"/>
        <v>NAME_SHU_LIUBEI</v>
      </c>
      <c r="E64" s="79" t="s">
        <v>4</v>
      </c>
      <c r="F64" s="79"/>
      <c r="G64" s="78" t="str">
        <f t="shared" si="0"/>
        <v>C_유비</v>
      </c>
    </row>
    <row r="65" spans="1:7" x14ac:dyDescent="0.3">
      <c r="A65" s="78" t="s">
        <v>449</v>
      </c>
      <c r="B65" s="79" t="s">
        <v>9</v>
      </c>
      <c r="C65" s="79" t="s">
        <v>444</v>
      </c>
      <c r="D65" s="78" t="str">
        <f t="shared" si="2"/>
        <v>NAME_SHU_ZHANGFEI</v>
      </c>
      <c r="E65" s="79" t="s">
        <v>8</v>
      </c>
      <c r="F65" s="79"/>
      <c r="G65" s="78" t="str">
        <f t="shared" si="0"/>
        <v>C_장비</v>
      </c>
    </row>
    <row r="66" spans="1:7" x14ac:dyDescent="0.3">
      <c r="A66" s="78" t="s">
        <v>449</v>
      </c>
      <c r="B66" s="79" t="s">
        <v>511</v>
      </c>
      <c r="C66" s="79" t="s">
        <v>444</v>
      </c>
      <c r="D66" s="78" t="str">
        <f t="shared" si="2"/>
        <v>NAME_SHU_ZHAOYUN</v>
      </c>
      <c r="E66" s="79" t="s">
        <v>10</v>
      </c>
      <c r="F66" s="79"/>
      <c r="G66" s="78" t="str">
        <f t="shared" si="0"/>
        <v>C_조운</v>
      </c>
    </row>
    <row r="67" spans="1:7" x14ac:dyDescent="0.3">
      <c r="A67" s="78" t="s">
        <v>449</v>
      </c>
      <c r="B67" s="79" t="s">
        <v>13</v>
      </c>
      <c r="C67" s="79" t="s">
        <v>444</v>
      </c>
      <c r="D67" s="78" t="str">
        <f t="shared" si="2"/>
        <v>NAME_SHU_ZHUGELIANG</v>
      </c>
      <c r="E67" s="79" t="s">
        <v>11</v>
      </c>
      <c r="F67" s="79"/>
      <c r="G67" s="78" t="str">
        <f t="shared" ref="G67:G101" si="3">"C_"&amp;E67</f>
        <v>C_제갈량</v>
      </c>
    </row>
    <row r="68" spans="1:7" x14ac:dyDescent="0.3">
      <c r="A68" s="78" t="s">
        <v>449</v>
      </c>
      <c r="B68" s="78" t="s">
        <v>415</v>
      </c>
      <c r="C68" s="79" t="s">
        <v>445</v>
      </c>
      <c r="D68" s="78" t="str">
        <f t="shared" si="2"/>
        <v>NAME_WEI_CAOCAO</v>
      </c>
      <c r="E68" s="79" t="s">
        <v>430</v>
      </c>
      <c r="F68" s="79"/>
      <c r="G68" s="78" t="str">
        <f t="shared" si="3"/>
        <v>C_조조</v>
      </c>
    </row>
    <row r="69" spans="1:7" x14ac:dyDescent="0.3">
      <c r="A69" s="78" t="s">
        <v>449</v>
      </c>
      <c r="B69" s="78" t="s">
        <v>416</v>
      </c>
      <c r="C69" s="79" t="s">
        <v>445</v>
      </c>
      <c r="D69" s="78" t="str">
        <f t="shared" si="2"/>
        <v>NAME_WEI_CAOREN</v>
      </c>
      <c r="E69" s="79" t="s">
        <v>431</v>
      </c>
      <c r="F69" s="79"/>
      <c r="G69" s="78" t="str">
        <f t="shared" si="3"/>
        <v>C_조인</v>
      </c>
    </row>
    <row r="70" spans="1:7" x14ac:dyDescent="0.3">
      <c r="A70" s="78" t="s">
        <v>449</v>
      </c>
      <c r="B70" s="78" t="s">
        <v>417</v>
      </c>
      <c r="C70" s="79" t="s">
        <v>445</v>
      </c>
      <c r="D70" s="78" t="str">
        <f t="shared" si="2"/>
        <v>NAME_WEI_XIAHOUDUN</v>
      </c>
      <c r="E70" s="79" t="s">
        <v>432</v>
      </c>
      <c r="F70" s="79"/>
      <c r="G70" s="78" t="str">
        <f t="shared" si="3"/>
        <v>C_하후돈</v>
      </c>
    </row>
    <row r="71" spans="1:7" x14ac:dyDescent="0.3">
      <c r="A71" s="78" t="s">
        <v>449</v>
      </c>
      <c r="B71" s="78" t="s">
        <v>419</v>
      </c>
      <c r="C71" s="79" t="s">
        <v>445</v>
      </c>
      <c r="D71" s="78" t="str">
        <f t="shared" si="2"/>
        <v>NAME_WEI_XIAHOUYUAN</v>
      </c>
      <c r="E71" s="79" t="s">
        <v>434</v>
      </c>
      <c r="F71" s="79"/>
      <c r="G71" s="78" t="str">
        <f t="shared" si="3"/>
        <v>C_하후연</v>
      </c>
    </row>
    <row r="72" spans="1:7" x14ac:dyDescent="0.3">
      <c r="A72" s="78" t="s">
        <v>449</v>
      </c>
      <c r="B72" s="78" t="s">
        <v>420</v>
      </c>
      <c r="C72" s="79" t="s">
        <v>445</v>
      </c>
      <c r="D72" s="78" t="str">
        <f t="shared" si="2"/>
        <v>NAME_WEI_XUNYU</v>
      </c>
      <c r="E72" s="79" t="s">
        <v>435</v>
      </c>
      <c r="F72" s="79"/>
      <c r="G72" s="78" t="str">
        <f t="shared" si="3"/>
        <v>C_순욱</v>
      </c>
    </row>
    <row r="73" spans="1:7" x14ac:dyDescent="0.3">
      <c r="A73" s="78" t="s">
        <v>449</v>
      </c>
      <c r="B73" s="78" t="s">
        <v>418</v>
      </c>
      <c r="C73" s="79" t="s">
        <v>445</v>
      </c>
      <c r="D73" s="78" t="str">
        <f t="shared" si="2"/>
        <v>NAME_WEI_ZHANGLIAO</v>
      </c>
      <c r="E73" s="79" t="s">
        <v>433</v>
      </c>
      <c r="F73" s="79"/>
      <c r="G73" s="78" t="str">
        <f t="shared" si="3"/>
        <v>C_장료</v>
      </c>
    </row>
    <row r="74" spans="1:7" x14ac:dyDescent="0.3">
      <c r="A74" s="78" t="s">
        <v>449</v>
      </c>
      <c r="B74" s="78" t="s">
        <v>426</v>
      </c>
      <c r="C74" s="79" t="s">
        <v>446</v>
      </c>
      <c r="D74" s="78" t="str">
        <f t="shared" si="2"/>
        <v>NAME_WU_HANDANG</v>
      </c>
      <c r="E74" s="78" t="s">
        <v>441</v>
      </c>
      <c r="F74" s="79"/>
      <c r="G74" s="78" t="str">
        <f t="shared" si="3"/>
        <v>C_한당</v>
      </c>
    </row>
    <row r="75" spans="1:7" x14ac:dyDescent="0.3">
      <c r="A75" s="78" t="s">
        <v>449</v>
      </c>
      <c r="B75" s="78" t="s">
        <v>423</v>
      </c>
      <c r="C75" s="79" t="s">
        <v>446</v>
      </c>
      <c r="D75" s="78" t="str">
        <f t="shared" si="2"/>
        <v>NAME_WU_HUANGGAI</v>
      </c>
      <c r="E75" s="78" t="s">
        <v>438</v>
      </c>
      <c r="F75" s="79"/>
      <c r="G75" s="78" t="str">
        <f t="shared" si="3"/>
        <v>C_황개</v>
      </c>
    </row>
    <row r="76" spans="1:7" x14ac:dyDescent="0.3">
      <c r="A76" s="78" t="s">
        <v>449</v>
      </c>
      <c r="B76" s="78" t="s">
        <v>424</v>
      </c>
      <c r="C76" s="79" t="s">
        <v>446</v>
      </c>
      <c r="D76" s="78" t="str">
        <f t="shared" si="2"/>
        <v>NAME_WU_SUNCE</v>
      </c>
      <c r="E76" s="78" t="s">
        <v>439</v>
      </c>
      <c r="F76" s="79"/>
      <c r="G76" s="78" t="str">
        <f t="shared" si="3"/>
        <v>C_손책</v>
      </c>
    </row>
    <row r="77" spans="1:7" x14ac:dyDescent="0.3">
      <c r="A77" s="78" t="s">
        <v>449</v>
      </c>
      <c r="B77" s="78" t="s">
        <v>421</v>
      </c>
      <c r="C77" s="79" t="s">
        <v>446</v>
      </c>
      <c r="D77" s="78" t="str">
        <f t="shared" si="2"/>
        <v>NAME_WU_SUNJIAN</v>
      </c>
      <c r="E77" s="78" t="s">
        <v>436</v>
      </c>
      <c r="F77" s="79"/>
      <c r="G77" s="78" t="str">
        <f t="shared" si="3"/>
        <v>C_손견</v>
      </c>
    </row>
    <row r="78" spans="1:7" x14ac:dyDescent="0.3">
      <c r="A78" s="78" t="s">
        <v>449</v>
      </c>
      <c r="B78" s="78" t="s">
        <v>422</v>
      </c>
      <c r="C78" s="79" t="s">
        <v>446</v>
      </c>
      <c r="D78" s="78" t="str">
        <f t="shared" si="2"/>
        <v>NAME_WU_SUNQUAN</v>
      </c>
      <c r="E78" s="78" t="s">
        <v>437</v>
      </c>
      <c r="F78" s="79"/>
      <c r="G78" s="78" t="str">
        <f t="shared" si="3"/>
        <v>C_손권</v>
      </c>
    </row>
    <row r="79" spans="1:7" x14ac:dyDescent="0.3">
      <c r="A79" s="78" t="s">
        <v>449</v>
      </c>
      <c r="B79" s="78" t="s">
        <v>425</v>
      </c>
      <c r="C79" s="79" t="s">
        <v>446</v>
      </c>
      <c r="D79" s="78" t="str">
        <f t="shared" si="2"/>
        <v>NAME_WU_TAISHICI</v>
      </c>
      <c r="E79" s="78" t="s">
        <v>440</v>
      </c>
      <c r="F79" s="79"/>
      <c r="G79" s="78" t="str">
        <f t="shared" si="3"/>
        <v>C_태사자</v>
      </c>
    </row>
    <row r="80" spans="1:7" x14ac:dyDescent="0.3">
      <c r="A80" s="78" t="s">
        <v>449</v>
      </c>
      <c r="B80" s="78" t="s">
        <v>427</v>
      </c>
      <c r="C80" s="79" t="s">
        <v>446</v>
      </c>
      <c r="D80" s="78" t="str">
        <f t="shared" si="2"/>
        <v>NAME_WU_ZHOUYU</v>
      </c>
      <c r="E80" s="78" t="s">
        <v>442</v>
      </c>
      <c r="F80" s="79"/>
      <c r="G80" s="78" t="str">
        <f t="shared" si="3"/>
        <v>C_주유</v>
      </c>
    </row>
    <row r="81" spans="1:7" x14ac:dyDescent="0.3">
      <c r="A81" s="78"/>
      <c r="B81" s="78"/>
      <c r="C81" s="78"/>
      <c r="D81" s="78" t="s">
        <v>38</v>
      </c>
      <c r="E81" s="78" t="s">
        <v>39</v>
      </c>
      <c r="F81" s="79"/>
      <c r="G81" s="78" t="str">
        <f t="shared" si="3"/>
        <v>C_고결한 이상 주의자</v>
      </c>
    </row>
    <row r="82" spans="1:7" x14ac:dyDescent="0.3">
      <c r="A82" s="78"/>
      <c r="B82" s="78"/>
      <c r="C82" s="78"/>
      <c r="D82" s="78" t="s">
        <v>40</v>
      </c>
      <c r="E82" s="78" t="s">
        <v>41</v>
      </c>
      <c r="F82" s="79"/>
      <c r="G82" s="78" t="str">
        <f t="shared" si="3"/>
        <v>C_인의와 명분으로 민심을 결속시키고 대업을 꿈꾸는 왕도</v>
      </c>
    </row>
    <row r="83" spans="1:7" x14ac:dyDescent="0.3">
      <c r="A83" s="78"/>
      <c r="B83" s="78"/>
      <c r="C83" s="78"/>
      <c r="D83" s="78" t="s">
        <v>43</v>
      </c>
      <c r="E83" s="78" t="s">
        <v>49</v>
      </c>
      <c r="F83" s="79"/>
      <c r="G83" s="78" t="str">
        <f t="shared" si="3"/>
        <v>C_천하의 인재를 거느리며 판도를 흔드는 패도</v>
      </c>
    </row>
    <row r="84" spans="1:7" x14ac:dyDescent="0.3">
      <c r="A84" s="78"/>
      <c r="B84" s="78"/>
      <c r="C84" s="78"/>
      <c r="D84" s="78" t="s">
        <v>45</v>
      </c>
      <c r="E84" s="78" t="s">
        <v>48</v>
      </c>
      <c r="F84" s="79"/>
      <c r="G84" s="78" t="str">
        <f t="shared" si="3"/>
        <v>C_지형과 인재의 화합으로 세운 철벽의 수성</v>
      </c>
    </row>
    <row r="85" spans="1:7" x14ac:dyDescent="0.3">
      <c r="A85" s="78"/>
      <c r="B85" s="78"/>
      <c r="C85" s="78"/>
      <c r="D85" s="78" t="s">
        <v>42</v>
      </c>
      <c r="E85" s="78" t="s">
        <v>46</v>
      </c>
      <c r="F85" s="79"/>
      <c r="G85" s="78" t="str">
        <f t="shared" si="3"/>
        <v>C_난세의 간웅</v>
      </c>
    </row>
    <row r="86" spans="1:7" x14ac:dyDescent="0.3">
      <c r="A86" s="78"/>
      <c r="B86" s="78"/>
      <c r="C86" s="78"/>
      <c r="D86" s="78" t="s">
        <v>44</v>
      </c>
      <c r="E86" s="78" t="s">
        <v>47</v>
      </c>
      <c r="F86" s="79"/>
      <c r="G86" s="78" t="str">
        <f t="shared" si="3"/>
        <v>C_실용적인 수호자</v>
      </c>
    </row>
    <row r="87" spans="1:7" x14ac:dyDescent="0.3">
      <c r="A87" s="78" t="s">
        <v>449</v>
      </c>
      <c r="B87" s="78" t="s">
        <v>618</v>
      </c>
      <c r="C87" s="78" t="s">
        <v>447</v>
      </c>
      <c r="D87" s="78" t="str">
        <f t="shared" ref="D87:D102" si="4">UPPER(A87)&amp;"_"&amp;UPPER(C87)&amp;"_"&amp;UPPER(B87)</f>
        <v>NAME_ETC_YUANSHAO</v>
      </c>
      <c r="E87" s="78" t="s">
        <v>597</v>
      </c>
      <c r="F87" s="79"/>
      <c r="G87" s="78" t="str">
        <f t="shared" si="3"/>
        <v>C_원소</v>
      </c>
    </row>
    <row r="88" spans="1:7" x14ac:dyDescent="0.3">
      <c r="A88" s="78" t="s">
        <v>449</v>
      </c>
      <c r="B88" s="78" t="s">
        <v>619</v>
      </c>
      <c r="C88" s="78" t="s">
        <v>447</v>
      </c>
      <c r="D88" s="78" t="str">
        <f t="shared" si="4"/>
        <v>NAME_ETC_YANLIANG</v>
      </c>
      <c r="E88" s="78" t="s">
        <v>586</v>
      </c>
      <c r="F88" s="79"/>
      <c r="G88" s="78" t="str">
        <f t="shared" si="3"/>
        <v>C_안량</v>
      </c>
    </row>
    <row r="89" spans="1:7" x14ac:dyDescent="0.3">
      <c r="A89" s="78" t="s">
        <v>449</v>
      </c>
      <c r="B89" s="78" t="s">
        <v>620</v>
      </c>
      <c r="C89" s="78" t="s">
        <v>447</v>
      </c>
      <c r="D89" s="78" t="str">
        <f t="shared" si="4"/>
        <v>NAME_ETC_WENCHOU</v>
      </c>
      <c r="E89" s="78" t="s">
        <v>596</v>
      </c>
      <c r="F89" s="79"/>
      <c r="G89" s="78" t="str">
        <f t="shared" si="3"/>
        <v>C_문추</v>
      </c>
    </row>
    <row r="90" spans="1:7" x14ac:dyDescent="0.3">
      <c r="A90" s="78" t="s">
        <v>449</v>
      </c>
      <c r="B90" s="78" t="s">
        <v>622</v>
      </c>
      <c r="C90" s="78" t="s">
        <v>447</v>
      </c>
      <c r="D90" s="78" t="str">
        <f t="shared" si="4"/>
        <v>NAME_ETC_SONGXIAN</v>
      </c>
      <c r="E90" s="78" t="s">
        <v>621</v>
      </c>
      <c r="F90" s="79"/>
      <c r="G90" s="78" t="str">
        <f t="shared" si="3"/>
        <v>C_송헌</v>
      </c>
    </row>
    <row r="91" spans="1:7" x14ac:dyDescent="0.3">
      <c r="A91" s="78" t="s">
        <v>449</v>
      </c>
      <c r="B91" s="78" t="s">
        <v>624</v>
      </c>
      <c r="C91" s="78" t="s">
        <v>447</v>
      </c>
      <c r="D91" s="78" t="str">
        <f t="shared" si="4"/>
        <v>NAME_ETC_WEIXU</v>
      </c>
      <c r="E91" s="78" t="s">
        <v>623</v>
      </c>
      <c r="F91" s="79"/>
      <c r="G91" s="78" t="str">
        <f t="shared" si="3"/>
        <v>C_위속</v>
      </c>
    </row>
    <row r="92" spans="1:7" x14ac:dyDescent="0.3">
      <c r="A92" s="78" t="s">
        <v>449</v>
      </c>
      <c r="B92" s="78" t="s">
        <v>626</v>
      </c>
      <c r="C92" s="78" t="s">
        <v>445</v>
      </c>
      <c r="D92" s="78" t="str">
        <f t="shared" si="4"/>
        <v>NAME_WEI_XUHUANG</v>
      </c>
      <c r="E92" s="78" t="s">
        <v>625</v>
      </c>
      <c r="F92" s="79"/>
      <c r="G92" s="78" t="str">
        <f t="shared" si="3"/>
        <v>C_서황</v>
      </c>
    </row>
    <row r="93" spans="1:7" x14ac:dyDescent="0.3">
      <c r="A93" s="78" t="s">
        <v>449</v>
      </c>
      <c r="B93" s="78" t="s">
        <v>698</v>
      </c>
      <c r="C93" s="78" t="s">
        <v>445</v>
      </c>
      <c r="D93" s="78" t="str">
        <f t="shared" si="4"/>
        <v>NAME_WEI_FANJIANG</v>
      </c>
      <c r="E93" s="79" t="s">
        <v>687</v>
      </c>
      <c r="F93" s="79"/>
      <c r="G93" s="78" t="str">
        <f t="shared" si="3"/>
        <v>C_범강</v>
      </c>
    </row>
    <row r="94" spans="1:7" x14ac:dyDescent="0.3">
      <c r="A94" s="78" t="s">
        <v>449</v>
      </c>
      <c r="B94" s="78" t="s">
        <v>699</v>
      </c>
      <c r="C94" s="78" t="s">
        <v>445</v>
      </c>
      <c r="D94" s="78" t="str">
        <f t="shared" si="4"/>
        <v>NAME_WEI_ZHANGDA</v>
      </c>
      <c r="E94" s="79" t="s">
        <v>688</v>
      </c>
      <c r="F94" s="79"/>
      <c r="G94" s="78" t="str">
        <f t="shared" si="3"/>
        <v>C_장달</v>
      </c>
    </row>
    <row r="95" spans="1:7" x14ac:dyDescent="0.3">
      <c r="A95" s="78" t="s">
        <v>476</v>
      </c>
      <c r="B95" s="78" t="s">
        <v>618</v>
      </c>
      <c r="C95" s="78" t="s">
        <v>447</v>
      </c>
      <c r="D95" s="78" t="str">
        <f t="shared" ref="D95:D97" si="5">UPPER(A95)&amp;"_"&amp;UPPER(C95)&amp;"_"&amp;UPPER(B95)</f>
        <v>COURTESY_ETC_YUANSHAO</v>
      </c>
      <c r="E95" s="79" t="s">
        <v>627</v>
      </c>
      <c r="F95" s="79"/>
      <c r="G95" s="78" t="str">
        <f t="shared" si="3"/>
        <v>C_본초</v>
      </c>
    </row>
    <row r="96" spans="1:7" x14ac:dyDescent="0.3">
      <c r="A96" s="78" t="s">
        <v>476</v>
      </c>
      <c r="B96" s="78" t="s">
        <v>619</v>
      </c>
      <c r="C96" s="78" t="s">
        <v>447</v>
      </c>
      <c r="D96" s="78" t="str">
        <f t="shared" si="5"/>
        <v>COURTESY_ETC_YANLIANG</v>
      </c>
      <c r="E96" s="79" t="s">
        <v>383</v>
      </c>
      <c r="F96" s="79"/>
      <c r="G96" s="78" t="str">
        <f t="shared" si="3"/>
        <v>C_-</v>
      </c>
    </row>
    <row r="97" spans="1:7" x14ac:dyDescent="0.3">
      <c r="A97" s="78" t="s">
        <v>476</v>
      </c>
      <c r="B97" s="78" t="s">
        <v>620</v>
      </c>
      <c r="C97" s="78" t="s">
        <v>447</v>
      </c>
      <c r="D97" s="78" t="str">
        <f t="shared" si="5"/>
        <v>COURTESY_ETC_WENCHOU</v>
      </c>
      <c r="E97" s="79" t="s">
        <v>383</v>
      </c>
      <c r="F97" s="79"/>
      <c r="G97" s="78" t="str">
        <f t="shared" si="3"/>
        <v>C_-</v>
      </c>
    </row>
    <row r="98" spans="1:7" x14ac:dyDescent="0.3">
      <c r="A98" s="78" t="s">
        <v>476</v>
      </c>
      <c r="B98" s="78" t="s">
        <v>626</v>
      </c>
      <c r="C98" s="78" t="s">
        <v>445</v>
      </c>
      <c r="D98" s="78" t="str">
        <f t="shared" si="4"/>
        <v>COURTESY_WEI_XUHUANG</v>
      </c>
      <c r="E98" s="79" t="s">
        <v>34</v>
      </c>
      <c r="F98" s="79"/>
      <c r="G98" s="78" t="str">
        <f t="shared" si="3"/>
        <v>C_공명</v>
      </c>
    </row>
    <row r="99" spans="1:7" ht="27" x14ac:dyDescent="0.3">
      <c r="A99" s="78" t="s">
        <v>462</v>
      </c>
      <c r="B99" s="78" t="s">
        <v>618</v>
      </c>
      <c r="C99" s="78" t="s">
        <v>447</v>
      </c>
      <c r="D99" s="78" t="str">
        <f t="shared" si="4"/>
        <v>DESC_TALK_ETC_YUANSHAO</v>
      </c>
      <c r="E99" s="79" t="s">
        <v>628</v>
      </c>
      <c r="F99" s="79"/>
      <c r="G99" s="78" t="str">
        <f t="shared" si="3"/>
        <v>C_"사세삼공 명문가인 나 원본초를
감히 누가 감당하겠는가!"</v>
      </c>
    </row>
    <row r="100" spans="1:7" ht="27" x14ac:dyDescent="0.3">
      <c r="A100" s="78" t="s">
        <v>462</v>
      </c>
      <c r="B100" s="78" t="s">
        <v>619</v>
      </c>
      <c r="C100" s="78" t="s">
        <v>447</v>
      </c>
      <c r="D100" s="78" t="str">
        <f t="shared" si="4"/>
        <v>DESC_TALK_ETC_YANLIANG</v>
      </c>
      <c r="E100" s="79" t="s">
        <v>629</v>
      </c>
      <c r="F100" s="79"/>
      <c r="G100" s="78" t="str">
        <f t="shared" si="3"/>
        <v>C_"내 도끼 앞에 무릎 꿇지 않을 자,
어디 나와 보아라!"</v>
      </c>
    </row>
    <row r="101" spans="1:7" ht="27" x14ac:dyDescent="0.3">
      <c r="A101" s="78" t="s">
        <v>462</v>
      </c>
      <c r="B101" s="78" t="s">
        <v>620</v>
      </c>
      <c r="C101" s="78" t="s">
        <v>447</v>
      </c>
      <c r="D101" s="78" t="str">
        <f t="shared" si="4"/>
        <v>DESC_TALK_ETC_WENCHOU</v>
      </c>
      <c r="E101" s="79" t="s">
        <v>630</v>
      </c>
      <c r="F101" s="79"/>
      <c r="G101" s="78" t="str">
        <f t="shared" si="3"/>
        <v>C_"안량 형제와 나를 막을 자는
천하에 존재하지 않는다!"</v>
      </c>
    </row>
    <row r="102" spans="1:7" ht="27" x14ac:dyDescent="0.3">
      <c r="A102" s="78" t="s">
        <v>462</v>
      </c>
      <c r="B102" s="78" t="s">
        <v>626</v>
      </c>
      <c r="C102" s="78" t="s">
        <v>445</v>
      </c>
      <c r="D102" s="78" t="str">
        <f t="shared" si="4"/>
        <v>DESC_TALK_WEI_XUHUANG</v>
      </c>
      <c r="E102" s="79" t="s">
        <v>631</v>
      </c>
      <c r="F102" s="79"/>
      <c r="G102" s="78" t="str">
        <f t="shared" ref="G102" si="6">"C_"&amp;E102</f>
        <v>C_"내 도끼에 자비란 없다.
각오를 단단히 해야 할 것이야!"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E1" sqref="E1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164</v>
      </c>
      <c r="B1" s="7" t="s">
        <v>3</v>
      </c>
      <c r="C1" s="7" t="s">
        <v>0</v>
      </c>
      <c r="D1" s="7" t="s">
        <v>1</v>
      </c>
      <c r="E1" s="77" t="s">
        <v>1233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77" t="s">
        <v>2</v>
      </c>
    </row>
    <row r="3" spans="1:5" x14ac:dyDescent="0.3">
      <c r="A3" s="10" t="s">
        <v>166</v>
      </c>
      <c r="B3" s="11" t="str">
        <f>"NAME_" &amp; UPPER(A3)</f>
        <v>NAME_LIUTAO</v>
      </c>
      <c r="C3" s="12" t="s">
        <v>210</v>
      </c>
      <c r="D3" s="11"/>
      <c r="E3" s="78" t="str">
        <f t="shared" ref="E3:E46" si="0">"C_"&amp;C3</f>
        <v>C_육도</v>
      </c>
    </row>
    <row r="4" spans="1:5" x14ac:dyDescent="0.3">
      <c r="A4" s="10" t="s">
        <v>167</v>
      </c>
      <c r="B4" s="11" t="str">
        <f t="shared" ref="B4:B47" si="1">"NAME_" &amp; UPPER(A4)</f>
        <v>NAME_SANLUE</v>
      </c>
      <c r="C4" s="12" t="s">
        <v>211</v>
      </c>
      <c r="D4" s="11"/>
      <c r="E4" s="78" t="str">
        <f t="shared" si="0"/>
        <v>C_삼략</v>
      </c>
    </row>
    <row r="5" spans="1:5" x14ac:dyDescent="0.3">
      <c r="A5" s="10" t="s">
        <v>168</v>
      </c>
      <c r="B5" s="11" t="str">
        <f t="shared" si="1"/>
        <v>NAME_WEILIAOZI</v>
      </c>
      <c r="C5" s="12" t="s">
        <v>212</v>
      </c>
      <c r="D5" s="11"/>
      <c r="E5" s="78" t="str">
        <f t="shared" si="0"/>
        <v>C_위료자</v>
      </c>
    </row>
    <row r="6" spans="1:5" x14ac:dyDescent="0.3">
      <c r="A6" s="10" t="s">
        <v>169</v>
      </c>
      <c r="B6" s="11" t="str">
        <f t="shared" si="1"/>
        <v>NAME_COMMANDERS_BANNER</v>
      </c>
      <c r="C6" s="12" t="s">
        <v>213</v>
      </c>
      <c r="D6" s="11"/>
      <c r="E6" s="78" t="str">
        <f t="shared" si="0"/>
        <v>C_장수기</v>
      </c>
    </row>
    <row r="7" spans="1:5" x14ac:dyDescent="0.3">
      <c r="A7" s="10" t="s">
        <v>170</v>
      </c>
      <c r="B7" s="11" t="str">
        <f t="shared" si="1"/>
        <v>NAME_TIGER_TALLY</v>
      </c>
      <c r="C7" s="12" t="s">
        <v>214</v>
      </c>
      <c r="D7" s="11"/>
      <c r="E7" s="78" t="str">
        <f t="shared" si="0"/>
        <v>C_호부</v>
      </c>
    </row>
    <row r="8" spans="1:5" x14ac:dyDescent="0.3">
      <c r="A8" s="10" t="s">
        <v>171</v>
      </c>
      <c r="B8" s="11" t="str">
        <f t="shared" si="1"/>
        <v>NAME_WAR_DRUM_GONG</v>
      </c>
      <c r="C8" s="12" t="s">
        <v>215</v>
      </c>
      <c r="D8" s="11"/>
      <c r="E8" s="78" t="str">
        <f t="shared" si="0"/>
        <v>C_금고</v>
      </c>
    </row>
    <row r="9" spans="1:5" x14ac:dyDescent="0.3">
      <c r="A9" s="10" t="s">
        <v>172</v>
      </c>
      <c r="B9" s="11" t="str">
        <f t="shared" si="1"/>
        <v>NAME_SIMA_FA</v>
      </c>
      <c r="C9" s="12" t="s">
        <v>216</v>
      </c>
      <c r="D9" s="11"/>
      <c r="E9" s="78" t="str">
        <f t="shared" si="0"/>
        <v>C_사마법</v>
      </c>
    </row>
    <row r="10" spans="1:5" x14ac:dyDescent="0.3">
      <c r="A10" s="10" t="s">
        <v>173</v>
      </c>
      <c r="B10" s="11" t="str">
        <f t="shared" si="1"/>
        <v>NAME_WUZI</v>
      </c>
      <c r="C10" s="12" t="s">
        <v>217</v>
      </c>
      <c r="D10" s="11"/>
      <c r="E10" s="78" t="str">
        <f t="shared" si="0"/>
        <v>C_오자</v>
      </c>
    </row>
    <row r="11" spans="1:5" x14ac:dyDescent="0.3">
      <c r="A11" s="10" t="s">
        <v>174</v>
      </c>
      <c r="B11" s="11" t="str">
        <f t="shared" si="1"/>
        <v>NAME_RED_CLIFF_FLAME</v>
      </c>
      <c r="C11" s="12" t="s">
        <v>218</v>
      </c>
      <c r="D11" s="11"/>
      <c r="E11" s="78" t="str">
        <f t="shared" si="0"/>
        <v>C_적벽의 화염</v>
      </c>
    </row>
    <row r="12" spans="1:5" x14ac:dyDescent="0.3">
      <c r="A12" s="10" t="s">
        <v>175</v>
      </c>
      <c r="B12" s="11" t="str">
        <f t="shared" si="1"/>
        <v>NAME_BANGCHEONHWAGUG_SHARD</v>
      </c>
      <c r="C12" s="12" t="s">
        <v>219</v>
      </c>
      <c r="D12" s="11"/>
      <c r="E12" s="78" t="str">
        <f t="shared" si="0"/>
        <v>C_방천화극 파편</v>
      </c>
    </row>
    <row r="13" spans="1:5" x14ac:dyDescent="0.3">
      <c r="A13" s="10" t="s">
        <v>165</v>
      </c>
      <c r="B13" s="11" t="str">
        <f t="shared" si="1"/>
        <v>NAME_GANJIANG_MOYE</v>
      </c>
      <c r="C13" s="12" t="s">
        <v>220</v>
      </c>
      <c r="D13" s="11"/>
      <c r="E13" s="78" t="str">
        <f t="shared" si="0"/>
        <v>C_간장막야</v>
      </c>
    </row>
    <row r="14" spans="1:5" x14ac:dyDescent="0.3">
      <c r="A14" s="10" t="s">
        <v>176</v>
      </c>
      <c r="B14" s="11" t="str">
        <f t="shared" si="1"/>
        <v>NAME_CHUNGOU</v>
      </c>
      <c r="C14" s="12" t="s">
        <v>221</v>
      </c>
      <c r="D14" s="11"/>
      <c r="E14" s="78" t="str">
        <f t="shared" si="0"/>
        <v>C_순구</v>
      </c>
    </row>
    <row r="15" spans="1:5" x14ac:dyDescent="0.3">
      <c r="A15" s="10" t="s">
        <v>177</v>
      </c>
      <c r="B15" s="11" t="str">
        <f t="shared" si="1"/>
        <v>NAME_ZHANLU</v>
      </c>
      <c r="C15" s="12" t="s">
        <v>222</v>
      </c>
      <c r="D15" s="11"/>
      <c r="E15" s="78" t="str">
        <f t="shared" si="0"/>
        <v>C_담로</v>
      </c>
    </row>
    <row r="16" spans="1:5" x14ac:dyDescent="0.3">
      <c r="A16" s="10" t="s">
        <v>178</v>
      </c>
      <c r="B16" s="11" t="str">
        <f t="shared" si="1"/>
        <v>NAME_YUCHANG</v>
      </c>
      <c r="C16" s="12" t="s">
        <v>223</v>
      </c>
      <c r="D16" s="11"/>
      <c r="E16" s="78" t="str">
        <f t="shared" si="0"/>
        <v>C_어장</v>
      </c>
    </row>
    <row r="17" spans="1:5" x14ac:dyDescent="0.3">
      <c r="A17" s="10" t="s">
        <v>179</v>
      </c>
      <c r="B17" s="11" t="str">
        <f t="shared" si="1"/>
        <v>NAME_TAIE</v>
      </c>
      <c r="C17" s="12" t="s">
        <v>224</v>
      </c>
      <c r="D17" s="11"/>
      <c r="E17" s="78" t="str">
        <f t="shared" si="0"/>
        <v>C_태아</v>
      </c>
    </row>
    <row r="18" spans="1:5" x14ac:dyDescent="0.3">
      <c r="A18" s="10" t="s">
        <v>180</v>
      </c>
      <c r="B18" s="11" t="str">
        <f t="shared" si="1"/>
        <v>NAME_JUQUE</v>
      </c>
      <c r="C18" s="12" t="s">
        <v>225</v>
      </c>
      <c r="D18" s="11"/>
      <c r="E18" s="78" t="str">
        <f t="shared" si="0"/>
        <v>C_거궐</v>
      </c>
    </row>
    <row r="19" spans="1:5" x14ac:dyDescent="0.3">
      <c r="A19" s="10" t="s">
        <v>181</v>
      </c>
      <c r="B19" s="11" t="str">
        <f t="shared" si="1"/>
        <v>NAME_SHENGXIE</v>
      </c>
      <c r="C19" s="12" t="s">
        <v>226</v>
      </c>
      <c r="D19" s="11"/>
      <c r="E19" s="78" t="str">
        <f t="shared" si="0"/>
        <v>C_승영</v>
      </c>
    </row>
    <row r="20" spans="1:5" x14ac:dyDescent="0.3">
      <c r="A20" s="10" t="s">
        <v>182</v>
      </c>
      <c r="B20" s="11" t="str">
        <f t="shared" si="1"/>
        <v>NAME_LORDS_WAR_BOW</v>
      </c>
      <c r="C20" s="12" t="s">
        <v>227</v>
      </c>
      <c r="D20" s="11"/>
      <c r="E20" s="78" t="str">
        <f t="shared" si="0"/>
        <v>C_군왕궁</v>
      </c>
    </row>
    <row r="21" spans="1:5" x14ac:dyDescent="0.3">
      <c r="A21" s="10" t="s">
        <v>183</v>
      </c>
      <c r="B21" s="11" t="str">
        <f t="shared" si="1"/>
        <v>NAME_WUJANGWON_STAR</v>
      </c>
      <c r="C21" s="12" t="s">
        <v>228</v>
      </c>
      <c r="D21" s="11"/>
      <c r="E21" s="78" t="str">
        <f t="shared" si="0"/>
        <v>C_오장원의 별</v>
      </c>
    </row>
    <row r="22" spans="1:5" x14ac:dyDescent="0.3">
      <c r="A22" s="10" t="s">
        <v>184</v>
      </c>
      <c r="B22" s="11" t="str">
        <f t="shared" si="1"/>
        <v>NAME_ART_OF_WAR</v>
      </c>
      <c r="C22" s="12" t="s">
        <v>229</v>
      </c>
      <c r="D22" s="11"/>
      <c r="E22" s="78" t="str">
        <f t="shared" si="0"/>
        <v>C_손자병법</v>
      </c>
    </row>
    <row r="23" spans="1:5" x14ac:dyDescent="0.3">
      <c r="A23" s="10" t="s">
        <v>185</v>
      </c>
      <c r="B23" s="11" t="str">
        <f t="shared" si="1"/>
        <v>NAME_QIMEN_DUNJIA</v>
      </c>
      <c r="C23" s="12" t="s">
        <v>230</v>
      </c>
      <c r="D23" s="11"/>
      <c r="E23" s="78" t="str">
        <f t="shared" si="0"/>
        <v>C_기문둔갑</v>
      </c>
    </row>
    <row r="24" spans="1:5" x14ac:dyDescent="0.3">
      <c r="A24" s="10" t="s">
        <v>186</v>
      </c>
      <c r="B24" s="11" t="str">
        <f t="shared" si="1"/>
        <v>NAME_I_CHING</v>
      </c>
      <c r="C24" s="12" t="s">
        <v>231</v>
      </c>
      <c r="D24" s="11"/>
      <c r="E24" s="78" t="str">
        <f t="shared" si="0"/>
        <v>C_주역</v>
      </c>
    </row>
    <row r="25" spans="1:5" x14ac:dyDescent="0.3">
      <c r="A25" s="10" t="s">
        <v>187</v>
      </c>
      <c r="B25" s="11" t="str">
        <f t="shared" si="1"/>
        <v>NAME_GUIGUZI</v>
      </c>
      <c r="C25" s="12" t="s">
        <v>232</v>
      </c>
      <c r="D25" s="11"/>
      <c r="E25" s="78" t="str">
        <f t="shared" si="0"/>
        <v>C_귀곡자</v>
      </c>
    </row>
    <row r="26" spans="1:5" x14ac:dyDescent="0.3">
      <c r="A26" s="10" t="s">
        <v>188</v>
      </c>
      <c r="B26" s="11" t="str">
        <f t="shared" si="1"/>
        <v>NAME_GUANZI</v>
      </c>
      <c r="C26" s="12" t="s">
        <v>233</v>
      </c>
      <c r="D26" s="11"/>
      <c r="E26" s="78" t="str">
        <f t="shared" si="0"/>
        <v>C_관자</v>
      </c>
    </row>
    <row r="27" spans="1:5" x14ac:dyDescent="0.3">
      <c r="A27" s="10" t="s">
        <v>189</v>
      </c>
      <c r="B27" s="11" t="str">
        <f t="shared" si="1"/>
        <v>NAME_HAN_FEIZI</v>
      </c>
      <c r="C27" s="12" t="s">
        <v>234</v>
      </c>
      <c r="D27" s="11"/>
      <c r="E27" s="78" t="str">
        <f t="shared" si="0"/>
        <v>C_한비자</v>
      </c>
    </row>
    <row r="28" spans="1:5" x14ac:dyDescent="0.3">
      <c r="A28" s="10" t="s">
        <v>190</v>
      </c>
      <c r="B28" s="11" t="str">
        <f t="shared" si="1"/>
        <v>NAME_SU_SHU_OF_HUANGSHI</v>
      </c>
      <c r="C28" s="12" t="s">
        <v>235</v>
      </c>
      <c r="D28" s="11"/>
      <c r="E28" s="78" t="str">
        <f t="shared" si="0"/>
        <v>C_황석공소서</v>
      </c>
    </row>
    <row r="29" spans="1:5" x14ac:dyDescent="0.3">
      <c r="A29" s="10" t="s">
        <v>191</v>
      </c>
      <c r="B29" s="11" t="str">
        <f t="shared" si="1"/>
        <v>NAME_MOZI</v>
      </c>
      <c r="C29" s="12" t="s">
        <v>236</v>
      </c>
      <c r="D29" s="11"/>
      <c r="E29" s="78" t="str">
        <f t="shared" si="0"/>
        <v>C_묵자</v>
      </c>
    </row>
    <row r="30" spans="1:5" x14ac:dyDescent="0.3">
      <c r="A30" s="10" t="s">
        <v>192</v>
      </c>
      <c r="B30" s="11" t="str">
        <f t="shared" si="1"/>
        <v>NAME_EMPERORS_SEAL</v>
      </c>
      <c r="C30" s="12" t="s">
        <v>237</v>
      </c>
      <c r="D30" s="11"/>
      <c r="E30" s="78" t="str">
        <f t="shared" si="0"/>
        <v>C_황제의 인장</v>
      </c>
    </row>
    <row r="31" spans="1:5" x14ac:dyDescent="0.3">
      <c r="A31" s="10" t="s">
        <v>193</v>
      </c>
      <c r="B31" s="11" t="str">
        <f t="shared" si="1"/>
        <v>NAME_BOOK_OF_LORD_SHANG</v>
      </c>
      <c r="C31" s="12" t="s">
        <v>238</v>
      </c>
      <c r="D31" s="11"/>
      <c r="E31" s="78" t="str">
        <f t="shared" si="0"/>
        <v>C_상군서</v>
      </c>
    </row>
    <row r="32" spans="1:5" x14ac:dyDescent="0.3">
      <c r="A32" s="10" t="s">
        <v>194</v>
      </c>
      <c r="B32" s="11" t="str">
        <f t="shared" si="1"/>
        <v>NAME_LUSHI_CHUNQIU</v>
      </c>
      <c r="C32" s="12" t="s">
        <v>239</v>
      </c>
      <c r="D32" s="11"/>
      <c r="E32" s="78" t="str">
        <f t="shared" si="0"/>
        <v>C_여씨춘추</v>
      </c>
    </row>
    <row r="33" spans="1:5" x14ac:dyDescent="0.3">
      <c r="A33" s="10" t="s">
        <v>195</v>
      </c>
      <c r="B33" s="11" t="str">
        <f t="shared" si="1"/>
        <v>NAME_ANALECTS</v>
      </c>
      <c r="C33" s="12" t="s">
        <v>240</v>
      </c>
      <c r="D33" s="11"/>
      <c r="E33" s="78" t="str">
        <f t="shared" si="0"/>
        <v>C_논어</v>
      </c>
    </row>
    <row r="34" spans="1:5" x14ac:dyDescent="0.3">
      <c r="A34" s="10" t="s">
        <v>196</v>
      </c>
      <c r="B34" s="11" t="str">
        <f t="shared" si="1"/>
        <v>NAME_WEI_ADMINISTRATIVE_CODE</v>
      </c>
      <c r="C34" s="12" t="s">
        <v>241</v>
      </c>
      <c r="D34" s="11"/>
      <c r="E34" s="78" t="str">
        <f t="shared" si="0"/>
        <v>C_정전</v>
      </c>
    </row>
    <row r="35" spans="1:5" x14ac:dyDescent="0.3">
      <c r="A35" s="10" t="s">
        <v>197</v>
      </c>
      <c r="B35" s="11" t="str">
        <f t="shared" si="1"/>
        <v>NAME_STRATAGEMS_OF_WARRING_STATES</v>
      </c>
      <c r="C35" s="12" t="s">
        <v>242</v>
      </c>
      <c r="D35" s="11"/>
      <c r="E35" s="78" t="str">
        <f t="shared" si="0"/>
        <v>C_전국책</v>
      </c>
    </row>
    <row r="36" spans="1:5" x14ac:dyDescent="0.3">
      <c r="A36" s="10" t="s">
        <v>198</v>
      </c>
      <c r="B36" s="11" t="str">
        <f t="shared" si="1"/>
        <v>NAME_IMPERIAL_JADE_SEAL</v>
      </c>
      <c r="C36" s="12" t="s">
        <v>243</v>
      </c>
      <c r="D36" s="11"/>
      <c r="E36" s="78" t="str">
        <f t="shared" si="0"/>
        <v>C_옥새</v>
      </c>
    </row>
    <row r="37" spans="1:5" x14ac:dyDescent="0.3">
      <c r="A37" s="10" t="s">
        <v>199</v>
      </c>
      <c r="B37" s="11" t="str">
        <f t="shared" si="1"/>
        <v>NAME_PREFECTS_OFFICIAL_SEAL</v>
      </c>
      <c r="C37" s="12" t="s">
        <v>244</v>
      </c>
      <c r="D37" s="11"/>
      <c r="E37" s="78" t="str">
        <f t="shared" si="0"/>
        <v>C_군목 인장</v>
      </c>
    </row>
    <row r="38" spans="1:5" x14ac:dyDescent="0.3">
      <c r="A38" s="10" t="s">
        <v>200</v>
      </c>
      <c r="B38" s="11" t="str">
        <f t="shared" si="1"/>
        <v>NAME_HUANGLAO_SILK_MANUSCRIPT</v>
      </c>
      <c r="C38" s="12" t="s">
        <v>245</v>
      </c>
      <c r="D38" s="11"/>
      <c r="E38" s="78" t="str">
        <f t="shared" si="0"/>
        <v>C_황노백서</v>
      </c>
    </row>
    <row r="39" spans="1:5" x14ac:dyDescent="0.3">
      <c r="A39" s="10" t="s">
        <v>201</v>
      </c>
      <c r="B39" s="11" t="str">
        <f t="shared" si="1"/>
        <v>NAME_DOEWON_CUP</v>
      </c>
      <c r="C39" s="12" t="s">
        <v>246</v>
      </c>
      <c r="D39" s="11"/>
      <c r="E39" s="78" t="str">
        <f t="shared" si="0"/>
        <v>C_도원의 술잔</v>
      </c>
    </row>
    <row r="40" spans="1:5" x14ac:dyDescent="0.3">
      <c r="A40" s="10" t="s">
        <v>202</v>
      </c>
      <c r="B40" s="11" t="str">
        <f t="shared" si="1"/>
        <v>NAME_HES_JADE_DISC</v>
      </c>
      <c r="C40" s="12" t="s">
        <v>247</v>
      </c>
      <c r="D40" s="11"/>
      <c r="E40" s="78" t="str">
        <f t="shared" si="0"/>
        <v>C_화씨벽</v>
      </c>
    </row>
    <row r="41" spans="1:5" x14ac:dyDescent="0.3">
      <c r="A41" s="10" t="s">
        <v>203</v>
      </c>
      <c r="B41" s="11" t="str">
        <f t="shared" si="1"/>
        <v>NAME_CLASSIC_OF_MOUNTAINS_AND_SEAS</v>
      </c>
      <c r="C41" s="12" t="s">
        <v>248</v>
      </c>
      <c r="D41" s="11"/>
      <c r="E41" s="78" t="str">
        <f t="shared" si="0"/>
        <v>C_산해경</v>
      </c>
    </row>
    <row r="42" spans="1:5" x14ac:dyDescent="0.3">
      <c r="A42" s="10" t="s">
        <v>204</v>
      </c>
      <c r="B42" s="11" t="str">
        <f t="shared" si="1"/>
        <v>NAME_XUANHE_QIN</v>
      </c>
      <c r="C42" s="12" t="s">
        <v>249</v>
      </c>
      <c r="D42" s="11"/>
      <c r="E42" s="78" t="str">
        <f t="shared" si="0"/>
        <v>C_현학금</v>
      </c>
    </row>
    <row r="43" spans="1:5" x14ac:dyDescent="0.3">
      <c r="A43" s="10" t="s">
        <v>205</v>
      </c>
      <c r="B43" s="11" t="str">
        <f t="shared" si="1"/>
        <v>NAME_PHOENIX_JADE_PENDANT</v>
      </c>
      <c r="C43" s="12" t="s">
        <v>250</v>
      </c>
      <c r="D43" s="11"/>
      <c r="E43" s="78" t="str">
        <f t="shared" si="0"/>
        <v>C_봉황패</v>
      </c>
    </row>
    <row r="44" spans="1:5" x14ac:dyDescent="0.3">
      <c r="A44" s="10" t="s">
        <v>206</v>
      </c>
      <c r="B44" s="11" t="str">
        <f t="shared" si="1"/>
        <v>NAME_BOOK_OF_RITES</v>
      </c>
      <c r="C44" s="12" t="s">
        <v>251</v>
      </c>
      <c r="D44" s="11"/>
      <c r="E44" s="78" t="str">
        <f t="shared" si="0"/>
        <v>C_예기</v>
      </c>
    </row>
    <row r="45" spans="1:5" x14ac:dyDescent="0.3">
      <c r="A45" s="10" t="s">
        <v>207</v>
      </c>
      <c r="B45" s="11" t="str">
        <f t="shared" si="1"/>
        <v>NAME_ALLIANCE_LETTER</v>
      </c>
      <c r="C45" s="12" t="s">
        <v>252</v>
      </c>
      <c r="D45" s="11"/>
      <c r="E45" s="78" t="str">
        <f t="shared" si="0"/>
        <v>C_연환서</v>
      </c>
    </row>
    <row r="46" spans="1:5" x14ac:dyDescent="0.3">
      <c r="A46" s="10" t="s">
        <v>208</v>
      </c>
      <c r="B46" s="11" t="str">
        <f t="shared" si="1"/>
        <v>NAME_HETU_LUOSHU</v>
      </c>
      <c r="C46" s="12" t="s">
        <v>253</v>
      </c>
      <c r="D46" s="11"/>
      <c r="E46" s="78" t="str">
        <f t="shared" si="0"/>
        <v>C_하도낙서</v>
      </c>
    </row>
    <row r="47" spans="1:5" x14ac:dyDescent="0.3">
      <c r="A47" s="10" t="s">
        <v>209</v>
      </c>
      <c r="B47" s="11" t="str">
        <f t="shared" si="1"/>
        <v>NAME_MAP_OF_QUEEN_MOTHER_OF_THE_WEST</v>
      </c>
      <c r="C47" s="12" t="s">
        <v>254</v>
      </c>
      <c r="D47" s="11"/>
      <c r="E47" s="78" t="str">
        <f t="shared" ref="E47" si="2">"C_"&amp;C47</f>
        <v>C_서왕모도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37" workbookViewId="0">
      <selection activeCell="B174" sqref="B174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54</v>
      </c>
      <c r="B1" s="1" t="s">
        <v>56</v>
      </c>
      <c r="C1" s="1" t="s">
        <v>3</v>
      </c>
      <c r="D1" s="1" t="s">
        <v>58</v>
      </c>
      <c r="E1" s="1" t="s">
        <v>1234</v>
      </c>
      <c r="F1" s="1" t="s">
        <v>55</v>
      </c>
      <c r="G1" s="2" t="s">
        <v>0</v>
      </c>
      <c r="H1" s="2" t="s">
        <v>1</v>
      </c>
      <c r="I1" s="77" t="s">
        <v>1233</v>
      </c>
    </row>
    <row r="2" spans="1:9" x14ac:dyDescent="0.3">
      <c r="A2" s="1" t="s">
        <v>2</v>
      </c>
      <c r="B2" s="1" t="s">
        <v>57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77" t="s">
        <v>2</v>
      </c>
    </row>
    <row r="3" spans="1:9" x14ac:dyDescent="0.3">
      <c r="A3" t="s">
        <v>409</v>
      </c>
      <c r="B3">
        <v>0</v>
      </c>
      <c r="C3" t="str">
        <f t="shared" ref="C3:C34" si="0">CONCATENATE(A3, "_", B3, IF(D3&lt;&gt;"", "_"&amp;D3, ""))</f>
        <v>NODE_2_0</v>
      </c>
      <c r="E3" t="str">
        <f>VLOOKUP(F3,Overview!$A$1:$B$28,2,FALSE)</f>
        <v>CaoRen</v>
      </c>
      <c r="F3" t="s">
        <v>401</v>
      </c>
      <c r="G3" s="3" t="s">
        <v>410</v>
      </c>
      <c r="I3" s="78" t="str">
        <f t="shared" ref="I3:I51" si="1">"C_"&amp;G3</f>
        <v>C_흥! 아직도 도적 떼가 설치다니!!</v>
      </c>
    </row>
    <row r="4" spans="1:9" x14ac:dyDescent="0.3">
      <c r="A4" t="str">
        <f t="shared" ref="A4:A26" si="2">A3</f>
        <v>NODE_2</v>
      </c>
      <c r="B4">
        <f t="shared" ref="B4:B26" si="3">B3+1</f>
        <v>1</v>
      </c>
      <c r="C4" t="str">
        <f t="shared" si="0"/>
        <v>NODE_2_1</v>
      </c>
      <c r="E4" t="str">
        <f>VLOOKUP(F4,Overview!$A$1:$B$28,2,FALSE)</f>
        <v>CaoRen</v>
      </c>
      <c r="F4" t="s">
        <v>401</v>
      </c>
      <c r="G4" s="3" t="s">
        <v>402</v>
      </c>
      <c r="I4" s="78" t="str">
        <f t="shared" si="1"/>
        <v>C_죽여주마!!</v>
      </c>
    </row>
    <row r="5" spans="1:9" x14ac:dyDescent="0.3">
      <c r="A5" t="str">
        <f t="shared" si="2"/>
        <v>NODE_2</v>
      </c>
      <c r="B5">
        <f t="shared" si="3"/>
        <v>2</v>
      </c>
      <c r="C5" t="str">
        <f t="shared" si="0"/>
        <v>NODE_2_2</v>
      </c>
      <c r="I5" s="78" t="str">
        <f t="shared" si="1"/>
        <v>C_</v>
      </c>
    </row>
    <row r="6" spans="1:9" x14ac:dyDescent="0.3">
      <c r="A6" t="str">
        <f t="shared" si="2"/>
        <v>NODE_2</v>
      </c>
      <c r="B6">
        <f t="shared" si="3"/>
        <v>3</v>
      </c>
      <c r="C6" t="str">
        <f t="shared" si="0"/>
        <v>NODE_2_3</v>
      </c>
      <c r="E6" t="str">
        <f>VLOOKUP(F6,Overview!$A$1:$B$28,2,FALSE)</f>
        <v>CaoRen</v>
      </c>
      <c r="F6" t="s">
        <v>401</v>
      </c>
      <c r="G6" s="3" t="s">
        <v>411</v>
      </c>
      <c r="I6" s="78" t="str">
        <f t="shared" si="1"/>
        <v>C_흥! 별것도 아닌것들이..</v>
      </c>
    </row>
    <row r="7" spans="1:9" ht="33" x14ac:dyDescent="0.3">
      <c r="A7" t="str">
        <f t="shared" si="2"/>
        <v>NODE_2</v>
      </c>
      <c r="B7">
        <f t="shared" si="3"/>
        <v>4</v>
      </c>
      <c r="C7" t="str">
        <f t="shared" si="0"/>
        <v>NODE_2_4</v>
      </c>
      <c r="E7" t="s">
        <v>413</v>
      </c>
      <c r="G7" s="3" t="s">
        <v>572</v>
      </c>
      <c r="I7" s="78" t="str">
        <f t="shared" si="1"/>
        <v>C_대장!!
조조님이 드디어 거병하셨답니다!</v>
      </c>
    </row>
    <row r="8" spans="1:9" x14ac:dyDescent="0.3">
      <c r="A8" t="str">
        <f t="shared" si="2"/>
        <v>NODE_2</v>
      </c>
      <c r="B8">
        <f t="shared" si="3"/>
        <v>5</v>
      </c>
      <c r="C8" t="str">
        <f t="shared" si="0"/>
        <v>NODE_2_5</v>
      </c>
      <c r="E8" t="str">
        <f>VLOOKUP(F8,Overview!$A$1:$B$28,2,FALSE)</f>
        <v>CaoRen</v>
      </c>
      <c r="F8" t="s">
        <v>401</v>
      </c>
      <c r="G8" s="3" t="s">
        <v>403</v>
      </c>
      <c r="I8" s="78" t="str">
        <f t="shared" si="1"/>
        <v>C_맹덕 형님이??</v>
      </c>
    </row>
    <row r="9" spans="1:9" ht="33" x14ac:dyDescent="0.3">
      <c r="A9" t="str">
        <f t="shared" si="2"/>
        <v>NODE_2</v>
      </c>
      <c r="B9">
        <f t="shared" si="3"/>
        <v>6</v>
      </c>
      <c r="C9" t="str">
        <f t="shared" si="0"/>
        <v>NODE_2_6</v>
      </c>
      <c r="E9" t="str">
        <f>VLOOKUP(F9,Overview!$A$1:$B$28,2,FALSE)</f>
        <v>CaoRen</v>
      </c>
      <c r="F9" t="s">
        <v>401</v>
      </c>
      <c r="G9" s="3" t="s">
        <v>564</v>
      </c>
      <c r="I9" s="78" t="str">
        <f t="shared" si="1"/>
        <v>C_좋다!! 우리도 가서 힘을 보태자.
너희들도 나를 따라오너라!</v>
      </c>
    </row>
    <row r="10" spans="1:9" x14ac:dyDescent="0.3">
      <c r="A10" t="str">
        <f t="shared" si="2"/>
        <v>NODE_2</v>
      </c>
      <c r="B10">
        <f t="shared" si="3"/>
        <v>7</v>
      </c>
      <c r="C10" t="str">
        <f t="shared" si="0"/>
        <v>NODE_2_7</v>
      </c>
      <c r="I10" s="78" t="str">
        <f t="shared" si="1"/>
        <v>C_</v>
      </c>
    </row>
    <row r="11" spans="1:9" ht="33" x14ac:dyDescent="0.3">
      <c r="A11" t="str">
        <f t="shared" si="2"/>
        <v>NODE_2</v>
      </c>
      <c r="B11">
        <f t="shared" si="3"/>
        <v>8</v>
      </c>
      <c r="C11" t="str">
        <f t="shared" si="0"/>
        <v>NODE_2_8</v>
      </c>
      <c r="E11" t="str">
        <f>VLOOKUP(F11,Overview!$A$1:$B$28,2,FALSE)</f>
        <v>CaoCao</v>
      </c>
      <c r="F11" t="s">
        <v>50</v>
      </c>
      <c r="G11" s="3" t="s">
        <v>571</v>
      </c>
      <c r="I11" s="78" t="str">
        <f t="shared" si="1"/>
        <v>C_이 난세를 헤쳐 나가려면
힘을 키워야 한다.</v>
      </c>
    </row>
    <row r="12" spans="1:9" ht="33" x14ac:dyDescent="0.3">
      <c r="A12" t="str">
        <f t="shared" si="2"/>
        <v>NODE_2</v>
      </c>
      <c r="B12">
        <f t="shared" si="3"/>
        <v>9</v>
      </c>
      <c r="C12" t="str">
        <f t="shared" si="0"/>
        <v>NODE_2_9</v>
      </c>
      <c r="E12" t="str">
        <f>VLOOKUP(F12,Overview!$A$1:$B$28,2,FALSE)</f>
        <v>XiahouDun</v>
      </c>
      <c r="F12" t="s">
        <v>404</v>
      </c>
      <c r="G12" s="3" t="s">
        <v>563</v>
      </c>
      <c r="I12" s="78" t="str">
        <f t="shared" si="1"/>
        <v>C_걱정마라 아만!
내가 있는데 뭐가 걱정인게야 캬캬캬!</v>
      </c>
    </row>
    <row r="13" spans="1:9" ht="33" x14ac:dyDescent="0.3">
      <c r="A13" t="str">
        <f t="shared" si="2"/>
        <v>NODE_2</v>
      </c>
      <c r="B13">
        <f t="shared" si="3"/>
        <v>10</v>
      </c>
      <c r="C13" t="str">
        <f t="shared" si="0"/>
        <v>NODE_2_10</v>
      </c>
      <c r="E13" t="str">
        <f>VLOOKUP(F13,Overview!$A$1:$B$28,2,FALSE)</f>
        <v>XiahouYuan</v>
      </c>
      <c r="F13" t="s">
        <v>405</v>
      </c>
      <c r="G13" s="3" t="s">
        <v>562</v>
      </c>
      <c r="I13" s="78" t="str">
        <f t="shared" si="1"/>
        <v>C_형님 때문에 더 걱정입니다.
저번에도 혼자 돌격하시고.</v>
      </c>
    </row>
    <row r="14" spans="1:9" ht="33" x14ac:dyDescent="0.3">
      <c r="A14" t="str">
        <f t="shared" si="2"/>
        <v>NODE_2</v>
      </c>
      <c r="B14">
        <f t="shared" si="3"/>
        <v>11</v>
      </c>
      <c r="C14" t="str">
        <f t="shared" si="0"/>
        <v>NODE_2_11</v>
      </c>
      <c r="E14" t="str">
        <f>VLOOKUP(F14,Overview!$A$1:$B$28,2,FALSE)</f>
        <v>XiahouDun</v>
      </c>
      <c r="F14" t="s">
        <v>404</v>
      </c>
      <c r="G14" s="3" t="s">
        <v>569</v>
      </c>
      <c r="I14" s="78" t="str">
        <f t="shared" si="1"/>
        <v>C_뒤에서 활이나 쏘는 주제에
말이 많구나ㅋㅋ</v>
      </c>
    </row>
    <row r="15" spans="1:9" ht="33" x14ac:dyDescent="0.3">
      <c r="A15" t="str">
        <f t="shared" si="2"/>
        <v>NODE_2</v>
      </c>
      <c r="B15">
        <f t="shared" si="3"/>
        <v>12</v>
      </c>
      <c r="C15" t="str">
        <f t="shared" si="0"/>
        <v>NODE_2_12</v>
      </c>
      <c r="E15" t="str">
        <f>VLOOKUP(F15,Overview!$A$1:$B$28,2,FALSE)</f>
        <v>CaoCao</v>
      </c>
      <c r="F15" t="s">
        <v>50</v>
      </c>
      <c r="G15" s="3" t="s">
        <v>570</v>
      </c>
      <c r="I15" s="78" t="str">
        <f t="shared" si="1"/>
        <v>C_야야 가만히 있지만 말고,
니들도 나가서...</v>
      </c>
    </row>
    <row r="16" spans="1:9" ht="49.5" x14ac:dyDescent="0.3">
      <c r="A16" t="str">
        <f t="shared" si="2"/>
        <v>NODE_2</v>
      </c>
      <c r="B16">
        <f t="shared" si="3"/>
        <v>13</v>
      </c>
      <c r="C16" t="str">
        <f t="shared" si="0"/>
        <v>NODE_2_13</v>
      </c>
      <c r="E16" t="s">
        <v>413</v>
      </c>
      <c r="G16" s="3" t="s">
        <v>568</v>
      </c>
      <c r="I16" s="78" t="str">
        <f t="shared" si="1"/>
        <v>C_주공!
성 밖에 1000여명 되는 무리들이
이 쪽을 향해 오고 있습니다!</v>
      </c>
    </row>
    <row r="17" spans="1:9" x14ac:dyDescent="0.3">
      <c r="A17" t="str">
        <f t="shared" si="2"/>
        <v>NODE_2</v>
      </c>
      <c r="B17">
        <f t="shared" si="3"/>
        <v>14</v>
      </c>
      <c r="C17" t="str">
        <f t="shared" si="0"/>
        <v>NODE_2_14</v>
      </c>
      <c r="E17" t="str">
        <f>VLOOKUP(F17,Overview!$A$1:$B$28,2,FALSE)</f>
        <v>XiahouYuan</v>
      </c>
      <c r="F17" t="s">
        <v>405</v>
      </c>
      <c r="G17" s="3" t="s">
        <v>414</v>
      </c>
      <c r="I17" s="78" t="str">
        <f t="shared" si="1"/>
        <v>C_호오..</v>
      </c>
    </row>
    <row r="18" spans="1:9" x14ac:dyDescent="0.3">
      <c r="A18" t="str">
        <f t="shared" si="2"/>
        <v>NODE_2</v>
      </c>
      <c r="B18">
        <f t="shared" si="3"/>
        <v>15</v>
      </c>
      <c r="C18" t="str">
        <f t="shared" si="0"/>
        <v>NODE_2_15</v>
      </c>
      <c r="E18" t="str">
        <f>VLOOKUP(F18,Overview!$A$1:$B$28,2,FALSE)</f>
        <v>CaoCao</v>
      </c>
      <c r="F18" t="s">
        <v>50</v>
      </c>
      <c r="G18" s="3" t="s">
        <v>412</v>
      </c>
      <c r="I18" s="78" t="str">
        <f t="shared" si="1"/>
        <v>C_음??</v>
      </c>
    </row>
    <row r="19" spans="1:9" x14ac:dyDescent="0.3">
      <c r="A19" t="str">
        <f t="shared" si="2"/>
        <v>NODE_2</v>
      </c>
      <c r="B19">
        <f t="shared" si="3"/>
        <v>16</v>
      </c>
      <c r="C19" t="str">
        <f t="shared" si="0"/>
        <v>NODE_2_16</v>
      </c>
      <c r="I19" s="78" t="str">
        <f t="shared" si="1"/>
        <v>C_</v>
      </c>
    </row>
    <row r="20" spans="1:9" ht="33" x14ac:dyDescent="0.3">
      <c r="A20" t="str">
        <f t="shared" si="2"/>
        <v>NODE_2</v>
      </c>
      <c r="B20">
        <f t="shared" si="3"/>
        <v>17</v>
      </c>
      <c r="C20" t="str">
        <f t="shared" si="0"/>
        <v>NODE_2_17</v>
      </c>
      <c r="E20" t="str">
        <f>VLOOKUP(F20,Overview!$A$1:$B$28,2,FALSE)</f>
        <v>CaoRen</v>
      </c>
      <c r="F20" t="s">
        <v>401</v>
      </c>
      <c r="G20" s="3" t="s">
        <v>616</v>
      </c>
      <c r="I20" s="78" t="str">
        <f t="shared" si="1"/>
        <v>C_하하하!! 맹덕 형님!
나 자효가 왔습니다!!</v>
      </c>
    </row>
    <row r="21" spans="1:9" x14ac:dyDescent="0.3">
      <c r="A21" t="str">
        <f t="shared" si="2"/>
        <v>NODE_2</v>
      </c>
      <c r="B21">
        <f t="shared" si="3"/>
        <v>18</v>
      </c>
      <c r="C21" t="str">
        <f t="shared" si="0"/>
        <v>NODE_2_18</v>
      </c>
      <c r="E21" t="str">
        <f>VLOOKUP(F21,Overview!$A$1:$B$28,2,FALSE)</f>
        <v>XiahouDun</v>
      </c>
      <c r="F21" t="s">
        <v>404</v>
      </c>
      <c r="G21" s="3" t="s">
        <v>408</v>
      </c>
      <c r="I21" s="78" t="str">
        <f t="shared" si="1"/>
        <v>C_뭐야ㅋㅋ 자효잖아?ㅋ</v>
      </c>
    </row>
    <row r="22" spans="1:9" ht="33" x14ac:dyDescent="0.3">
      <c r="A22" t="str">
        <f t="shared" si="2"/>
        <v>NODE_2</v>
      </c>
      <c r="B22">
        <f t="shared" si="3"/>
        <v>19</v>
      </c>
      <c r="C22" t="str">
        <f t="shared" si="0"/>
        <v>NODE_2_19</v>
      </c>
      <c r="E22" t="str">
        <f>VLOOKUP(F22,Overview!$A$1:$B$28,2,FALSE)</f>
        <v>CaoCao</v>
      </c>
      <c r="F22" t="s">
        <v>50</v>
      </c>
      <c r="G22" s="3" t="s">
        <v>617</v>
      </c>
      <c r="I22" s="78" t="str">
        <f t="shared" si="1"/>
        <v>C_오오, 자효!!
이렇게 와주니 정말 고맙구만!!</v>
      </c>
    </row>
    <row r="23" spans="1:9" x14ac:dyDescent="0.3">
      <c r="A23" t="str">
        <f t="shared" si="2"/>
        <v>NODE_2</v>
      </c>
      <c r="B23">
        <f t="shared" si="3"/>
        <v>20</v>
      </c>
      <c r="C23" t="str">
        <f t="shared" si="0"/>
        <v>NODE_2_20</v>
      </c>
      <c r="E23" t="str">
        <f>VLOOKUP(F23,Overview!$A$1:$B$28,2,FALSE)</f>
        <v>CaoRen</v>
      </c>
      <c r="F23" t="s">
        <v>401</v>
      </c>
      <c r="G23" s="3" t="s">
        <v>406</v>
      </c>
      <c r="I23" s="78" t="str">
        <f t="shared" si="1"/>
        <v>C_형님, 사적인 정은 이제 접어두겠소.</v>
      </c>
    </row>
    <row r="24" spans="1:9" ht="33" x14ac:dyDescent="0.3">
      <c r="A24" t="str">
        <f t="shared" si="2"/>
        <v>NODE_2</v>
      </c>
      <c r="B24">
        <f t="shared" si="3"/>
        <v>21</v>
      </c>
      <c r="C24" t="str">
        <f t="shared" si="0"/>
        <v>NODE_2_21</v>
      </c>
      <c r="E24" t="str">
        <f>VLOOKUP(F24,Overview!$A$1:$B$28,2,FALSE)</f>
        <v>CaoRen</v>
      </c>
      <c r="F24" t="s">
        <v>401</v>
      </c>
      <c r="G24" s="3" t="s">
        <v>561</v>
      </c>
      <c r="I24" s="78" t="str">
        <f t="shared" si="1"/>
        <v>C_오늘부로 저와 제 군사는 오직 주공의 명만을 따를 것이니, 천하를 바로잡아 주십시오!</v>
      </c>
    </row>
    <row r="25" spans="1:9" ht="49.5" x14ac:dyDescent="0.3">
      <c r="A25" t="str">
        <f t="shared" si="2"/>
        <v>NODE_2</v>
      </c>
      <c r="B25">
        <f t="shared" si="3"/>
        <v>22</v>
      </c>
      <c r="C25" t="str">
        <f t="shared" si="0"/>
        <v>NODE_2_22</v>
      </c>
      <c r="E25" t="str">
        <f>VLOOKUP(F25,Overview!$A$1:$B$28,2,FALSE)</f>
        <v>CaoCao</v>
      </c>
      <c r="F25" t="s">
        <v>50</v>
      </c>
      <c r="G25" s="3" t="s">
        <v>567</v>
      </c>
      <c r="I25" s="78" t="str">
        <f t="shared" si="1"/>
        <v>C_일어나시게ㅋ
이제 곧 큰 싸움이 일어날텐데,
자효 그대의 활약을 기대하겠네.</v>
      </c>
    </row>
    <row r="26" spans="1:9" x14ac:dyDescent="0.3">
      <c r="A26" t="str">
        <f t="shared" si="2"/>
        <v>NODE_2</v>
      </c>
      <c r="B26">
        <f t="shared" si="3"/>
        <v>23</v>
      </c>
      <c r="C26" t="str">
        <f t="shared" si="0"/>
        <v>NODE_2_23</v>
      </c>
      <c r="E26" t="str">
        <f>VLOOKUP(F26,Overview!$A$1:$B$28,2,FALSE)</f>
        <v>CaoRen</v>
      </c>
      <c r="F26" t="s">
        <v>401</v>
      </c>
      <c r="G26" s="3" t="s">
        <v>407</v>
      </c>
      <c r="I26" s="78" t="str">
        <f t="shared" si="1"/>
        <v>C_주공!!</v>
      </c>
    </row>
    <row r="27" spans="1:9" ht="33" x14ac:dyDescent="0.3">
      <c r="A27" t="s">
        <v>558</v>
      </c>
      <c r="B27">
        <v>0</v>
      </c>
      <c r="C27" t="str">
        <f t="shared" si="0"/>
        <v>NODE_30B_0</v>
      </c>
      <c r="E27" t="str">
        <f>VLOOKUP(F27,Overview!$A$1:$B$28,2,FALSE)</f>
        <v>LiuBei</v>
      </c>
      <c r="F27" t="s">
        <v>4</v>
      </c>
      <c r="G27" s="3" t="s">
        <v>582</v>
      </c>
      <c r="I27" s="78" t="str">
        <f t="shared" si="1"/>
        <v>C_.. 황건적을 토벌할
의용군을 모집한다??</v>
      </c>
    </row>
    <row r="28" spans="1:9" x14ac:dyDescent="0.3">
      <c r="A28" t="str">
        <f t="shared" ref="A28:A52" si="4">A27</f>
        <v>NODE_30B</v>
      </c>
      <c r="B28">
        <f t="shared" ref="B28:B52" si="5">B27+1</f>
        <v>1</v>
      </c>
      <c r="C28" t="str">
        <f t="shared" si="0"/>
        <v>NODE_30B_1</v>
      </c>
      <c r="E28" t="str">
        <f>VLOOKUP(F28,Overview!$A$1:$B$28,2,FALSE)</f>
        <v>LiuBei</v>
      </c>
      <c r="F28" t="s">
        <v>4</v>
      </c>
      <c r="G28" s="3" t="s">
        <v>580</v>
      </c>
      <c r="I28" s="78" t="str">
        <f t="shared" si="1"/>
        <v>C_에휴..</v>
      </c>
    </row>
    <row r="29" spans="1:9" ht="33" x14ac:dyDescent="0.3">
      <c r="A29" t="str">
        <f t="shared" si="4"/>
        <v>NODE_30B</v>
      </c>
      <c r="B29">
        <f t="shared" si="5"/>
        <v>2</v>
      </c>
      <c r="C29" t="str">
        <f t="shared" si="0"/>
        <v>NODE_30B_2</v>
      </c>
      <c r="E29" t="str">
        <f>VLOOKUP(F29,Overview!$A$1:$B$28,2,FALSE)</f>
        <v>ZhangFei</v>
      </c>
      <c r="F29" t="s">
        <v>8</v>
      </c>
      <c r="G29" s="3" t="s">
        <v>578</v>
      </c>
      <c r="I29" s="78" t="str">
        <f t="shared" si="1"/>
        <v>C_사내가 뭔 한숨이오??
한심하기는!</v>
      </c>
    </row>
    <row r="30" spans="1:9" ht="33" x14ac:dyDescent="0.3">
      <c r="A30" t="str">
        <f t="shared" si="4"/>
        <v>NODE_30B</v>
      </c>
      <c r="B30">
        <f t="shared" si="5"/>
        <v>3</v>
      </c>
      <c r="C30" t="str">
        <f t="shared" si="0"/>
        <v>NODE_30B_3</v>
      </c>
      <c r="E30" t="str">
        <f>VLOOKUP(F30,Overview!$A$1:$B$28,2,FALSE)</f>
        <v>LiuBei</v>
      </c>
      <c r="F30" t="s">
        <v>4</v>
      </c>
      <c r="G30" s="3" t="s">
        <v>574</v>
      </c>
      <c r="I30" s="78" t="str">
        <f t="shared" si="1"/>
        <v>C_하아.. 지금 의용군에게는
뛰어난 지도자가 필요하단 말이오.</v>
      </c>
    </row>
    <row r="31" spans="1:9" x14ac:dyDescent="0.3">
      <c r="A31" t="str">
        <f t="shared" si="4"/>
        <v>NODE_30B</v>
      </c>
      <c r="B31">
        <f t="shared" si="5"/>
        <v>4</v>
      </c>
      <c r="C31" t="str">
        <f t="shared" si="0"/>
        <v>NODE_30B_4</v>
      </c>
      <c r="E31" t="str">
        <f>VLOOKUP(F31,Overview!$A$1:$B$28,2,FALSE)</f>
        <v>GuanYu</v>
      </c>
      <c r="F31" t="s">
        <v>6</v>
      </c>
      <c r="G31" s="3" t="s">
        <v>581</v>
      </c>
      <c r="I31" s="78" t="str">
        <f t="shared" si="1"/>
        <v>C_???</v>
      </c>
    </row>
    <row r="32" spans="1:9" ht="33" x14ac:dyDescent="0.3">
      <c r="A32" t="str">
        <f t="shared" si="4"/>
        <v>NODE_30B</v>
      </c>
      <c r="B32">
        <f t="shared" si="5"/>
        <v>5</v>
      </c>
      <c r="C32" t="str">
        <f t="shared" si="0"/>
        <v>NODE_30B_5</v>
      </c>
      <c r="E32" t="str">
        <f>VLOOKUP(F32,Overview!$A$1:$B$28,2,FALSE)</f>
        <v>LiuBei</v>
      </c>
      <c r="F32" t="s">
        <v>4</v>
      </c>
      <c r="G32" s="3" t="s">
        <v>566</v>
      </c>
      <c r="I32" s="78" t="str">
        <f t="shared" si="1"/>
        <v>C_지도자 없는 의용군은
오합지졸일 뿐..</v>
      </c>
    </row>
    <row r="33" spans="1:9" ht="33" x14ac:dyDescent="0.3">
      <c r="A33" t="str">
        <f t="shared" si="4"/>
        <v>NODE_30B</v>
      </c>
      <c r="B33">
        <f t="shared" si="5"/>
        <v>6</v>
      </c>
      <c r="C33" t="str">
        <f t="shared" si="0"/>
        <v>NODE_30B_6</v>
      </c>
      <c r="E33" t="str">
        <f>VLOOKUP(F33,Overview!$A$1:$B$28,2,FALSE)</f>
        <v>GuanYu</v>
      </c>
      <c r="F33" t="s">
        <v>6</v>
      </c>
      <c r="G33" s="3" t="s">
        <v>559</v>
      </c>
      <c r="I33" s="78" t="str">
        <f t="shared" si="1"/>
        <v>C_그렇다면 그대가 지도자가
되면 될 거 아니오.</v>
      </c>
    </row>
    <row r="34" spans="1:9" x14ac:dyDescent="0.3">
      <c r="A34" t="str">
        <f t="shared" si="4"/>
        <v>NODE_30B</v>
      </c>
      <c r="B34">
        <f t="shared" si="5"/>
        <v>7</v>
      </c>
      <c r="C34" t="str">
        <f t="shared" si="0"/>
        <v>NODE_30B_7</v>
      </c>
      <c r="E34" t="str">
        <f>VLOOKUP(F34,Overview!$A$1:$B$28,2,FALSE)</f>
        <v>LiuBei</v>
      </c>
      <c r="F34" t="s">
        <v>4</v>
      </c>
      <c r="G34" s="3" t="s">
        <v>551</v>
      </c>
      <c r="I34" s="78" t="str">
        <f t="shared" si="1"/>
        <v>C_나에게는 그럴 힘이 없소.</v>
      </c>
    </row>
    <row r="35" spans="1:9" ht="33" x14ac:dyDescent="0.3">
      <c r="A35" t="str">
        <f t="shared" si="4"/>
        <v>NODE_30B</v>
      </c>
      <c r="B35">
        <f t="shared" si="5"/>
        <v>8</v>
      </c>
      <c r="C35" t="str">
        <f t="shared" ref="C35:C52" si="6">CONCATENATE(A35, "_", B35, IF(D35&lt;&gt;"", "_"&amp;D35, ""))</f>
        <v>NODE_30B_8</v>
      </c>
      <c r="E35" t="str">
        <f>VLOOKUP(F35,Overview!$A$1:$B$28,2,FALSE)</f>
        <v>ZhangFei</v>
      </c>
      <c r="F35" t="s">
        <v>8</v>
      </c>
      <c r="G35" s="3" t="s">
        <v>560</v>
      </c>
      <c r="I35" s="78" t="str">
        <f t="shared" si="1"/>
        <v>C_흥! 내가 도와주겠소이다!
어디 가서 술이나 한잔 합시다.</v>
      </c>
    </row>
    <row r="36" spans="1:9" ht="33" x14ac:dyDescent="0.3">
      <c r="A36" t="str">
        <f t="shared" si="4"/>
        <v>NODE_30B</v>
      </c>
      <c r="B36">
        <f t="shared" si="5"/>
        <v>9</v>
      </c>
      <c r="C36" t="str">
        <f t="shared" si="6"/>
        <v>NODE_30B_9</v>
      </c>
      <c r="E36" t="str">
        <f>VLOOKUP(F36,Overview!$A$1:$B$28,2,FALSE)</f>
        <v>LiuBei</v>
      </c>
      <c r="F36" t="s">
        <v>4</v>
      </c>
      <c r="G36" s="3" t="s">
        <v>659</v>
      </c>
      <c r="I36" s="78" t="str">
        <f t="shared" si="1"/>
        <v>C_그럼 내가 좋은 곳을 알고
있으니, 따라 오시겠소?</v>
      </c>
    </row>
    <row r="37" spans="1:9" x14ac:dyDescent="0.3">
      <c r="A37" t="str">
        <f t="shared" si="4"/>
        <v>NODE_30B</v>
      </c>
      <c r="B37">
        <f t="shared" si="5"/>
        <v>10</v>
      </c>
      <c r="C37" t="str">
        <f t="shared" si="6"/>
        <v>NODE_30B_10</v>
      </c>
      <c r="E37" t="str">
        <f>VLOOKUP(F37,Overview!$A$1:$B$28,2,FALSE)</f>
        <v>GuanYu</v>
      </c>
      <c r="F37" t="s">
        <v>6</v>
      </c>
      <c r="G37" s="3" t="s">
        <v>557</v>
      </c>
      <c r="I37" s="78" t="str">
        <f t="shared" si="1"/>
        <v>C_흠흠.. 나도 함께 가지.</v>
      </c>
    </row>
    <row r="38" spans="1:9" x14ac:dyDescent="0.3">
      <c r="A38" t="str">
        <f t="shared" si="4"/>
        <v>NODE_30B</v>
      </c>
      <c r="B38">
        <f t="shared" si="5"/>
        <v>11</v>
      </c>
      <c r="C38" t="str">
        <f t="shared" si="6"/>
        <v>NODE_30B_11</v>
      </c>
      <c r="I38" s="78" t="str">
        <f t="shared" si="1"/>
        <v>C_</v>
      </c>
    </row>
    <row r="39" spans="1:9" ht="33" x14ac:dyDescent="0.3">
      <c r="A39" t="str">
        <f t="shared" si="4"/>
        <v>NODE_30B</v>
      </c>
      <c r="B39">
        <f t="shared" si="5"/>
        <v>12</v>
      </c>
      <c r="C39" t="str">
        <f t="shared" si="6"/>
        <v>NODE_30B_12</v>
      </c>
      <c r="E39" t="str">
        <f>VLOOKUP(F39,Overview!$A$1:$B$28,2,FALSE)</f>
        <v>ZhangFei</v>
      </c>
      <c r="F39" t="s">
        <v>8</v>
      </c>
      <c r="G39" s="3" t="s">
        <v>565</v>
      </c>
      <c r="I39" s="78" t="str">
        <f t="shared" si="1"/>
        <v>C_오오! 복숭아 밭 파티장이라니ㅋ
근사하구만ㅋ</v>
      </c>
    </row>
    <row r="40" spans="1:9" ht="33" x14ac:dyDescent="0.3">
      <c r="A40" t="str">
        <f t="shared" si="4"/>
        <v>NODE_30B</v>
      </c>
      <c r="B40">
        <f t="shared" si="5"/>
        <v>13</v>
      </c>
      <c r="C40" t="str">
        <f t="shared" si="6"/>
        <v>NODE_30B_13</v>
      </c>
      <c r="E40" t="str">
        <f>VLOOKUP(F40,Overview!$A$1:$B$28,2,FALSE)</f>
        <v>GuanYu</v>
      </c>
      <c r="F40" t="s">
        <v>6</v>
      </c>
      <c r="G40" s="3" t="s">
        <v>577</v>
      </c>
      <c r="I40" s="78" t="str">
        <f t="shared" si="1"/>
        <v>C_없는 살림에 너무
무리하시는게 아닐런지..</v>
      </c>
    </row>
    <row r="41" spans="1:9" x14ac:dyDescent="0.3">
      <c r="A41" t="str">
        <f t="shared" si="4"/>
        <v>NODE_30B</v>
      </c>
      <c r="B41">
        <f t="shared" si="5"/>
        <v>14</v>
      </c>
      <c r="C41" t="str">
        <f t="shared" si="6"/>
        <v>NODE_30B_14</v>
      </c>
      <c r="E41" t="str">
        <f>VLOOKUP(F41,Overview!$A$1:$B$28,2,FALSE)</f>
        <v>LiuBei</v>
      </c>
      <c r="F41" t="s">
        <v>4</v>
      </c>
      <c r="G41" s="3" t="s">
        <v>573</v>
      </c>
      <c r="I41" s="78" t="str">
        <f t="shared" si="1"/>
        <v>C_음..</v>
      </c>
    </row>
    <row r="42" spans="1:9" ht="33" x14ac:dyDescent="0.3">
      <c r="A42" t="str">
        <f t="shared" si="4"/>
        <v>NODE_30B</v>
      </c>
      <c r="B42">
        <f t="shared" si="5"/>
        <v>15</v>
      </c>
      <c r="C42" t="str">
        <f t="shared" si="6"/>
        <v>NODE_30B_15</v>
      </c>
      <c r="E42" t="str">
        <f>VLOOKUP(F42,Overview!$A$1:$B$28,2,FALSE)</f>
        <v>LiuBei</v>
      </c>
      <c r="F42" t="s">
        <v>4</v>
      </c>
      <c r="G42" s="3" t="s">
        <v>721</v>
      </c>
      <c r="I42" s="78" t="str">
        <f t="shared" si="1"/>
        <v>C_한 왕실의 재건을 위해 그대들을 
맞이하는 것이니 그런 소리 마시오.</v>
      </c>
    </row>
    <row r="43" spans="1:9" ht="33" x14ac:dyDescent="0.3">
      <c r="A43" t="str">
        <f t="shared" si="4"/>
        <v>NODE_30B</v>
      </c>
      <c r="B43">
        <f t="shared" si="5"/>
        <v>16</v>
      </c>
      <c r="C43" t="str">
        <f t="shared" si="6"/>
        <v>NODE_30B_16</v>
      </c>
      <c r="E43" t="str">
        <f>VLOOKUP(F43,Overview!$A$1:$B$28,2,FALSE)</f>
        <v>LiuBei</v>
      </c>
      <c r="F43" t="s">
        <v>4</v>
      </c>
      <c r="G43" s="3" t="s">
        <v>552</v>
      </c>
      <c r="I43" s="78" t="str">
        <f t="shared" si="1"/>
        <v>C_무슨 소리신지, 이 근방 돗자리는
모두 내가 납품하고 있소만.</v>
      </c>
    </row>
    <row r="44" spans="1:9" x14ac:dyDescent="0.3">
      <c r="A44" t="str">
        <f t="shared" si="4"/>
        <v>NODE_30B</v>
      </c>
      <c r="B44">
        <f t="shared" si="5"/>
        <v>17</v>
      </c>
      <c r="C44" t="str">
        <f t="shared" si="6"/>
        <v>NODE_30B_17_1</v>
      </c>
      <c r="D44">
        <v>1</v>
      </c>
      <c r="E44" t="str">
        <f>VLOOKUP(F44,Overview!$A$1:$B$28,2,FALSE)</f>
        <v>ZhangFei</v>
      </c>
      <c r="F44" t="s">
        <v>8</v>
      </c>
      <c r="G44" s="3" t="s">
        <v>553</v>
      </c>
      <c r="I44" s="78" t="str">
        <f t="shared" si="1"/>
        <v>C_역시 큰 뜻을 품고 있었구려ㅋ</v>
      </c>
    </row>
    <row r="45" spans="1:9" ht="33" x14ac:dyDescent="0.3">
      <c r="A45" t="str">
        <f t="shared" si="4"/>
        <v>NODE_30B</v>
      </c>
      <c r="B45">
        <f t="shared" si="5"/>
        <v>18</v>
      </c>
      <c r="C45" t="str">
        <f t="shared" si="6"/>
        <v>NODE_30B_18_1</v>
      </c>
      <c r="D45">
        <v>1</v>
      </c>
      <c r="E45" t="str">
        <f>VLOOKUP(F45,Overview!$A$1:$B$28,2,FALSE)</f>
        <v>GuanYu</v>
      </c>
      <c r="F45" t="s">
        <v>6</v>
      </c>
      <c r="G45" s="3" t="s">
        <v>555</v>
      </c>
      <c r="I45" s="78" t="str">
        <f t="shared" si="1"/>
        <v>C_그 뜻에 동참하겠소.
형님으로 모시겠습니다.</v>
      </c>
    </row>
    <row r="46" spans="1:9" ht="33" x14ac:dyDescent="0.3">
      <c r="A46" t="str">
        <f t="shared" si="4"/>
        <v>NODE_30B</v>
      </c>
      <c r="B46">
        <f t="shared" si="5"/>
        <v>19</v>
      </c>
      <c r="C46" t="str">
        <f t="shared" si="6"/>
        <v>NODE_30B_19_2</v>
      </c>
      <c r="D46">
        <v>2</v>
      </c>
      <c r="E46" t="str">
        <f>VLOOKUP(F46,Overview!$A$1:$B$28,2,FALSE)</f>
        <v>ZhangFei</v>
      </c>
      <c r="F46" t="s">
        <v>8</v>
      </c>
      <c r="G46" s="3" t="s">
        <v>576</v>
      </c>
      <c r="I46" s="78" t="str">
        <f t="shared" si="1"/>
        <v>C_아니!! 부자였소?? 그런데 
왜 그런 거지꼴로 다녔던거요??</v>
      </c>
    </row>
    <row r="47" spans="1:9" x14ac:dyDescent="0.3">
      <c r="A47" t="str">
        <f t="shared" si="4"/>
        <v>NODE_30B</v>
      </c>
      <c r="B47">
        <f t="shared" si="5"/>
        <v>20</v>
      </c>
      <c r="C47" t="str">
        <f t="shared" si="6"/>
        <v>NODE_30B_20_2</v>
      </c>
      <c r="D47">
        <v>2</v>
      </c>
      <c r="E47" t="str">
        <f>VLOOKUP(F47,Overview!$A$1:$B$28,2,FALSE)</f>
        <v>LiuBei</v>
      </c>
      <c r="F47" t="s">
        <v>4</v>
      </c>
      <c r="G47" s="3" t="s">
        <v>71</v>
      </c>
      <c r="I47" s="78" t="str">
        <f t="shared" si="1"/>
        <v>C_뭐 딱히..</v>
      </c>
    </row>
    <row r="48" spans="1:9" ht="33" x14ac:dyDescent="0.3">
      <c r="A48" t="str">
        <f t="shared" si="4"/>
        <v>NODE_30B</v>
      </c>
      <c r="B48">
        <f t="shared" si="5"/>
        <v>21</v>
      </c>
      <c r="C48" t="str">
        <f t="shared" si="6"/>
        <v>NODE_30B_21_2</v>
      </c>
      <c r="D48">
        <v>2</v>
      </c>
      <c r="E48" t="str">
        <f>VLOOKUP(F48,Overview!$A$1:$B$28,2,FALSE)</f>
        <v>GuanYu</v>
      </c>
      <c r="F48" t="s">
        <v>6</v>
      </c>
      <c r="G48" s="3" t="s">
        <v>575</v>
      </c>
      <c r="I48" s="78" t="str">
        <f t="shared" si="1"/>
        <v>C_하하하! 좋소이다! 형님으로
모실테니 큰 뜻을 품어주십시오.</v>
      </c>
    </row>
    <row r="49" spans="1:9" ht="33" x14ac:dyDescent="0.3">
      <c r="A49" t="str">
        <f t="shared" si="4"/>
        <v>NODE_30B</v>
      </c>
      <c r="B49">
        <f t="shared" si="5"/>
        <v>22</v>
      </c>
      <c r="C49" t="str">
        <f t="shared" si="6"/>
        <v>NODE_30B_22</v>
      </c>
      <c r="E49" t="str">
        <f>VLOOKUP(F49,Overview!$A$1:$B$28,2,FALSE)</f>
        <v>LiuBei</v>
      </c>
      <c r="F49" t="s">
        <v>4</v>
      </c>
      <c r="G49" s="3" t="s">
        <v>554</v>
      </c>
      <c r="I49" s="78" t="str">
        <f t="shared" si="1"/>
        <v>C_고맙소. 태어난 날은 다르나 
한날 한시에 죽을 것을 맹세합시다.</v>
      </c>
    </row>
    <row r="50" spans="1:9" x14ac:dyDescent="0.3">
      <c r="A50" t="str">
        <f t="shared" si="4"/>
        <v>NODE_30B</v>
      </c>
      <c r="B50">
        <f t="shared" si="5"/>
        <v>23</v>
      </c>
      <c r="C50" t="str">
        <f t="shared" si="6"/>
        <v>NODE_30B_23</v>
      </c>
      <c r="E50" t="str">
        <f>VLOOKUP(F50,Overview!$A$1:$B$28,2,FALSE)</f>
        <v>ZhangFei</v>
      </c>
      <c r="F50" t="s">
        <v>8</v>
      </c>
      <c r="G50" s="3" t="s">
        <v>579</v>
      </c>
      <c r="I50" s="78" t="str">
        <f t="shared" si="1"/>
        <v>C_응?? 그건 좀..</v>
      </c>
    </row>
    <row r="51" spans="1:9" ht="33" x14ac:dyDescent="0.3">
      <c r="A51" t="str">
        <f t="shared" si="4"/>
        <v>NODE_30B</v>
      </c>
      <c r="B51">
        <f t="shared" si="5"/>
        <v>24</v>
      </c>
      <c r="C51" t="str">
        <f t="shared" si="6"/>
        <v>NODE_30B_24</v>
      </c>
      <c r="E51" t="str">
        <f>VLOOKUP(F51,Overview!$A$1:$B$28,2,FALSE)</f>
        <v>GuanYu</v>
      </c>
      <c r="F51" t="s">
        <v>6</v>
      </c>
      <c r="G51" s="3" t="s">
        <v>650</v>
      </c>
      <c r="I51" s="78" t="str">
        <f t="shared" si="1"/>
        <v>C_뜨거운 맹세, 영원히
변치 않을 것입니다.</v>
      </c>
    </row>
    <row r="52" spans="1:9" x14ac:dyDescent="0.3">
      <c r="A52" t="str">
        <f t="shared" si="4"/>
        <v>NODE_30B</v>
      </c>
      <c r="B52">
        <f t="shared" si="5"/>
        <v>25</v>
      </c>
      <c r="C52" t="str">
        <f t="shared" si="6"/>
        <v>NODE_30B_25</v>
      </c>
      <c r="E52" t="str">
        <f>VLOOKUP(F52,Overview!$A$1:$B$28,2,FALSE)</f>
        <v>ZhangFei</v>
      </c>
      <c r="F52" t="s">
        <v>8</v>
      </c>
      <c r="G52" s="3" t="s">
        <v>556</v>
      </c>
      <c r="I52" s="78" t="str">
        <f t="shared" ref="I52" si="7">"C_"&amp;G52</f>
        <v>C_않을 것이오!!</v>
      </c>
    </row>
    <row r="54" spans="1:9" x14ac:dyDescent="0.3">
      <c r="A54" t="s">
        <v>584</v>
      </c>
      <c r="B54">
        <v>0</v>
      </c>
      <c r="C54" t="str">
        <f>CONCATENATE(A54, "_", B54, IF(D54&lt;&gt;"", "_"&amp;D54, ""))</f>
        <v>NODE_16_0</v>
      </c>
      <c r="E54" t="str">
        <f>VLOOKUP(F54,Overview!$A$1:$B$28,2,FALSE)</f>
        <v>CaoCao</v>
      </c>
      <c r="F54" t="s">
        <v>50</v>
      </c>
      <c r="G54" s="3" t="s">
        <v>591</v>
      </c>
      <c r="I54" s="78" t="str">
        <f t="shared" ref="I54:I117" si="8">"C_"&amp;G54</f>
        <v>C_..?</v>
      </c>
    </row>
    <row r="55" spans="1:9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VLOOKUP(F55,Overview!$A$1:$B$28,2,FALSE)</f>
        <v>CaoCao</v>
      </c>
      <c r="F55" t="s">
        <v>50</v>
      </c>
      <c r="G55" s="3" t="s">
        <v>633</v>
      </c>
      <c r="I55" s="78" t="str">
        <f t="shared" si="8"/>
        <v>C_뭐라고? 송헌과 위속은 전사하고,
그 서황마저 패퇴했다고?</v>
      </c>
    </row>
    <row r="56" spans="1:9" ht="33" x14ac:dyDescent="0.3">
      <c r="A56" t="str">
        <f>A55</f>
        <v>NODE_16</v>
      </c>
      <c r="B56">
        <f>B55+1</f>
        <v>2</v>
      </c>
      <c r="C56" t="str">
        <f t="shared" ref="C56:C74" si="9">CONCATENATE(A56, "_", B56, IF(D56&lt;&gt;"", "_"&amp;D56, ""))</f>
        <v>NODE_16_2</v>
      </c>
      <c r="E56" t="str">
        <f>VLOOKUP(F56,Overview!$A$1:$B$28,2,FALSE)</f>
        <v>YanLiang</v>
      </c>
      <c r="F56" t="s">
        <v>586</v>
      </c>
      <c r="G56" s="3" t="s">
        <v>585</v>
      </c>
      <c r="I56" s="78" t="str">
        <f t="shared" si="8"/>
        <v>C_하하하! 조조놈 장수들은
어찌 이리 버러지들 뿐이더냐ㅋㅋ</v>
      </c>
    </row>
    <row r="57" spans="1:9" x14ac:dyDescent="0.3">
      <c r="A57" t="str">
        <f t="shared" ref="A57:A115" si="10">A56</f>
        <v>NODE_16</v>
      </c>
      <c r="B57">
        <f t="shared" ref="B57:B115" si="11">B56+1</f>
        <v>3</v>
      </c>
      <c r="C57" t="str">
        <f t="shared" si="9"/>
        <v>NODE_16_3</v>
      </c>
      <c r="E57" t="str">
        <f>VLOOKUP(F57,Overview!$A$1:$B$28,2,FALSE)</f>
        <v>XiahouDun</v>
      </c>
      <c r="F57" t="s">
        <v>404</v>
      </c>
      <c r="G57" s="3" t="s">
        <v>647</v>
      </c>
      <c r="I57" s="78" t="str">
        <f t="shared" si="8"/>
        <v>C_이 자식이.. - -+</v>
      </c>
    </row>
    <row r="58" spans="1:9" ht="33" x14ac:dyDescent="0.3">
      <c r="A58" t="str">
        <f t="shared" si="10"/>
        <v>NODE_16</v>
      </c>
      <c r="B58">
        <f t="shared" si="11"/>
        <v>4</v>
      </c>
      <c r="C58" t="str">
        <f t="shared" si="9"/>
        <v>NODE_16_4</v>
      </c>
      <c r="E58" t="str">
        <f>VLOOKUP(F58,Overview!$A$1:$B$28,2,FALSE)</f>
        <v>XiahouDun</v>
      </c>
      <c r="F58" t="s">
        <v>404</v>
      </c>
      <c r="G58" s="3" t="s">
        <v>660</v>
      </c>
      <c r="I58" s="78" t="str">
        <f t="shared" si="8"/>
        <v>C_맹덕! 아니 주공! 내가 가서
저놈의 모가지를 따오겠소!</v>
      </c>
    </row>
    <row r="59" spans="1:9" ht="33" x14ac:dyDescent="0.3">
      <c r="A59" t="str">
        <f t="shared" si="10"/>
        <v>NODE_16</v>
      </c>
      <c r="B59">
        <f t="shared" si="11"/>
        <v>5</v>
      </c>
      <c r="C59" t="str">
        <f t="shared" si="9"/>
        <v>NODE_16_5</v>
      </c>
      <c r="E59" t="str">
        <f>VLOOKUP(F59,Overview!$A$1:$B$28,2,FALSE)</f>
        <v>XiahouYuan</v>
      </c>
      <c r="F59" t="s">
        <v>405</v>
      </c>
      <c r="G59" s="3" t="s">
        <v>634</v>
      </c>
      <c r="I59" s="78" t="str">
        <f t="shared" si="8"/>
        <v>C_형님! 이미 사기가 바닥입니다.
무작정 나간다고 될 일이 아니오.</v>
      </c>
    </row>
    <row r="60" spans="1:9" ht="33" x14ac:dyDescent="0.3">
      <c r="A60" t="str">
        <f t="shared" si="10"/>
        <v>NODE_16</v>
      </c>
      <c r="B60">
        <f t="shared" si="11"/>
        <v>6</v>
      </c>
      <c r="C60" t="str">
        <f t="shared" si="9"/>
        <v>NODE_16_6</v>
      </c>
      <c r="E60" t="str">
        <f>VLOOKUP(F60,Overview!$A$1:$B$28,2,FALSE)</f>
        <v>XiahouDun</v>
      </c>
      <c r="F60" t="s">
        <v>404</v>
      </c>
      <c r="G60" s="3" t="s">
        <v>635</v>
      </c>
      <c r="I60" s="78" t="str">
        <f t="shared" si="8"/>
        <v>C_그럼 저 놈이 지꺼리는 걸
보고만 있으란 소리냐!?</v>
      </c>
    </row>
    <row r="61" spans="1:9" x14ac:dyDescent="0.3">
      <c r="A61" t="str">
        <f t="shared" si="10"/>
        <v>NODE_16</v>
      </c>
      <c r="B61">
        <f t="shared" si="11"/>
        <v>7</v>
      </c>
      <c r="C61" t="str">
        <f t="shared" si="9"/>
        <v>NODE_16_7</v>
      </c>
      <c r="E61" t="str">
        <f>VLOOKUP(F61,Overview!$A$1:$B$28,2,FALSE)</f>
        <v>XiahouDun</v>
      </c>
      <c r="F61" t="s">
        <v>404</v>
      </c>
      <c r="G61" s="3" t="s">
        <v>637</v>
      </c>
      <c r="I61" s="78" t="str">
        <f t="shared" si="8"/>
        <v>C_응??</v>
      </c>
    </row>
    <row r="62" spans="1:9" x14ac:dyDescent="0.3">
      <c r="A62" t="str">
        <f t="shared" si="10"/>
        <v>NODE_16</v>
      </c>
      <c r="B62">
        <f t="shared" si="11"/>
        <v>8</v>
      </c>
      <c r="C62" t="str">
        <f t="shared" si="9"/>
        <v>NODE_16_8</v>
      </c>
      <c r="E62" t="str">
        <f>VLOOKUP(F62,Overview!$A$1:$B$28,2,FALSE)</f>
        <v>CaoCao</v>
      </c>
      <c r="F62" t="s">
        <v>50</v>
      </c>
      <c r="G62" s="3" t="s">
        <v>587</v>
      </c>
      <c r="I62" s="78" t="str">
        <f t="shared" si="8"/>
        <v>C_어찌한다..</v>
      </c>
    </row>
    <row r="63" spans="1:9" x14ac:dyDescent="0.3">
      <c r="A63" t="str">
        <f t="shared" si="10"/>
        <v>NODE_16</v>
      </c>
      <c r="B63">
        <f t="shared" si="11"/>
        <v>9</v>
      </c>
      <c r="C63" t="str">
        <f t="shared" si="9"/>
        <v>NODE_16_9</v>
      </c>
      <c r="E63" t="str">
        <f>VLOOKUP(F63,Overview!$A$1:$B$28,2,FALSE)</f>
        <v>GuanYu</v>
      </c>
      <c r="F63" t="s">
        <v>6</v>
      </c>
      <c r="G63" s="3" t="s">
        <v>717</v>
      </c>
      <c r="I63" s="78" t="str">
        <f t="shared" si="8"/>
        <v>C_곤란하신 일이 있으신가봅니다, 조조님.</v>
      </c>
    </row>
    <row r="64" spans="1:9" x14ac:dyDescent="0.3">
      <c r="A64" t="str">
        <f t="shared" si="10"/>
        <v>NODE_16</v>
      </c>
      <c r="B64">
        <f t="shared" si="11"/>
        <v>10</v>
      </c>
      <c r="C64" t="str">
        <f t="shared" si="9"/>
        <v>NODE_16_10</v>
      </c>
      <c r="E64" t="str">
        <f>VLOOKUP(F64,Overview!$A$1:$B$28,2,FALSE)</f>
        <v>ZhangLiao</v>
      </c>
      <c r="F64" t="s">
        <v>588</v>
      </c>
      <c r="G64" s="3" t="s">
        <v>765</v>
      </c>
      <c r="I64" s="78" t="str">
        <f t="shared" si="8"/>
        <v>C_와주셨군요, 관 장군!</v>
      </c>
    </row>
    <row r="65" spans="1:9" ht="33" x14ac:dyDescent="0.3">
      <c r="A65" t="str">
        <f t="shared" si="10"/>
        <v>NODE_16</v>
      </c>
      <c r="B65">
        <f t="shared" si="11"/>
        <v>11</v>
      </c>
      <c r="C65" t="str">
        <f t="shared" si="9"/>
        <v>NODE_16_11</v>
      </c>
      <c r="E65" t="str">
        <f>VLOOKUP(F65,Overview!$A$1:$B$28,2,FALSE)</f>
        <v>ZhangLiao</v>
      </c>
      <c r="F65" t="s">
        <v>588</v>
      </c>
      <c r="G65" s="3" t="s">
        <v>766</v>
      </c>
      <c r="I65" s="78" t="str">
        <f t="shared" si="8"/>
        <v>C_주군, 제가 관 장군과 함께
급습해 보겠습니다.</v>
      </c>
    </row>
    <row r="66" spans="1:9" x14ac:dyDescent="0.3">
      <c r="A66" t="str">
        <f t="shared" si="10"/>
        <v>NODE_16</v>
      </c>
      <c r="B66">
        <f t="shared" si="11"/>
        <v>12</v>
      </c>
      <c r="C66" t="str">
        <f t="shared" si="9"/>
        <v>NODE_16_12</v>
      </c>
      <c r="E66" t="str">
        <f>VLOOKUP(F66,Overview!$A$1:$B$28,2,FALSE)</f>
        <v>CaoCao</v>
      </c>
      <c r="F66" t="s">
        <v>50</v>
      </c>
      <c r="G66" s="3" t="s">
        <v>589</v>
      </c>
      <c r="I66" s="78" t="str">
        <f t="shared" si="8"/>
        <v>C_(공을 세우게 하고 싶진 않지만..)</v>
      </c>
    </row>
    <row r="67" spans="1:9" ht="33" x14ac:dyDescent="0.3">
      <c r="A67" t="str">
        <f t="shared" si="10"/>
        <v>NODE_16</v>
      </c>
      <c r="B67">
        <f t="shared" si="11"/>
        <v>13</v>
      </c>
      <c r="C67" t="str">
        <f t="shared" si="9"/>
        <v>NODE_16_13</v>
      </c>
      <c r="E67" t="str">
        <f>VLOOKUP(F67,Overview!$A$1:$B$28,2,FALSE)</f>
        <v>CaoCao</v>
      </c>
      <c r="F67" t="s">
        <v>50</v>
      </c>
      <c r="G67" s="3" t="s">
        <v>638</v>
      </c>
      <c r="I67" s="78" t="str">
        <f t="shared" si="8"/>
        <v>C_관공, 투구에 화려한 깃이 있는
장수가 안량이오.</v>
      </c>
    </row>
    <row r="68" spans="1:9" x14ac:dyDescent="0.3">
      <c r="A68" t="str">
        <f t="shared" si="10"/>
        <v>NODE_16</v>
      </c>
      <c r="B68">
        <f t="shared" si="11"/>
        <v>14</v>
      </c>
      <c r="C68" t="str">
        <f t="shared" si="9"/>
        <v>NODE_16_14</v>
      </c>
      <c r="E68" t="str">
        <f>VLOOKUP(F68,Overview!$A$1:$B$28,2,FALSE)</f>
        <v>CaoCao</v>
      </c>
      <c r="F68" t="s">
        <v>50</v>
      </c>
      <c r="G68" s="3" t="s">
        <v>590</v>
      </c>
      <c r="I68" s="78" t="str">
        <f t="shared" si="8"/>
        <v>C_그대가 보기에는 어떻소?</v>
      </c>
    </row>
    <row r="69" spans="1:9" ht="33" x14ac:dyDescent="0.3">
      <c r="A69" t="str">
        <f t="shared" si="10"/>
        <v>NODE_16</v>
      </c>
      <c r="B69">
        <f t="shared" si="11"/>
        <v>15</v>
      </c>
      <c r="C69" t="str">
        <f t="shared" si="9"/>
        <v>NODE_16_15</v>
      </c>
      <c r="E69" t="str">
        <f>VLOOKUP(F69,Overview!$A$1:$B$28,2,FALSE)</f>
        <v>GuanYu</v>
      </c>
      <c r="F69" t="s">
        <v>6</v>
      </c>
      <c r="G69" s="3" t="s">
        <v>636</v>
      </c>
      <c r="I69" s="78" t="str">
        <f t="shared" si="8"/>
        <v>C_그저 '나 죽여주시오'
하는 것 같습니다.</v>
      </c>
    </row>
    <row r="70" spans="1:9" ht="33" x14ac:dyDescent="0.3">
      <c r="A70" t="str">
        <f t="shared" si="10"/>
        <v>NODE_16</v>
      </c>
      <c r="B70">
        <f t="shared" si="11"/>
        <v>16</v>
      </c>
      <c r="C70" t="str">
        <f t="shared" si="9"/>
        <v>NODE_16_16</v>
      </c>
      <c r="E70" t="str">
        <f>VLOOKUP(F70,Overview!$A$1:$B$28,2,FALSE)</f>
        <v>CaoCao</v>
      </c>
      <c r="F70" t="s">
        <v>50</v>
      </c>
      <c r="G70" s="3" t="s">
        <v>640</v>
      </c>
      <c r="I70" s="78" t="str">
        <f t="shared" si="8"/>
        <v>C_역시 그대답소ㅋ 좋다!
관공과 장료는 바로 출진하시오!</v>
      </c>
    </row>
    <row r="71" spans="1:9" ht="33" x14ac:dyDescent="0.3">
      <c r="A71" t="str">
        <f t="shared" si="10"/>
        <v>NODE_16</v>
      </c>
      <c r="B71">
        <f t="shared" si="11"/>
        <v>17</v>
      </c>
      <c r="C71" t="str">
        <f t="shared" si="9"/>
        <v>NODE_16_17</v>
      </c>
      <c r="E71" t="str">
        <f>VLOOKUP(F71,Overview!$A$1:$B$28,2,FALSE)</f>
        <v>YanLiang</v>
      </c>
      <c r="F71" t="s">
        <v>586</v>
      </c>
      <c r="G71" s="3" t="s">
        <v>731</v>
      </c>
      <c r="I71" s="78" t="str">
        <f t="shared" si="8"/>
        <v>C_캬캬캬 애꾸놈 울화통 터지는게
여기까지 느껴지는구나ㅋㅋ</v>
      </c>
    </row>
    <row r="72" spans="1:9" ht="33" x14ac:dyDescent="0.3">
      <c r="A72" t="str">
        <f t="shared" si="10"/>
        <v>NODE_16</v>
      </c>
      <c r="B72">
        <f t="shared" si="11"/>
        <v>18</v>
      </c>
      <c r="C72" t="str">
        <f t="shared" si="9"/>
        <v>NODE_16_18</v>
      </c>
      <c r="E72" t="str">
        <f>VLOOKUP(F72,Overview!$A$1:$B$28,2,FALSE)</f>
        <v>YanLiang</v>
      </c>
      <c r="F72" t="s">
        <v>586</v>
      </c>
      <c r="G72" s="3" t="s">
        <v>719</v>
      </c>
      <c r="H72"/>
      <c r="I72" s="78" t="str">
        <f t="shared" si="8"/>
        <v>C_응? 수염? 유비가
말한 자가 저자인가?</v>
      </c>
    </row>
    <row r="73" spans="1:9" ht="33" x14ac:dyDescent="0.3">
      <c r="A73" t="str">
        <f t="shared" si="10"/>
        <v>NODE_16</v>
      </c>
      <c r="B73">
        <f t="shared" si="11"/>
        <v>19</v>
      </c>
      <c r="C73" t="str">
        <f t="shared" si="9"/>
        <v>NODE_16_19</v>
      </c>
      <c r="E73" t="str">
        <f>VLOOKUP(F73,Overview!$A$1:$B$28,2,FALSE)</f>
        <v>ZhangLiao</v>
      </c>
      <c r="F73" t="s">
        <v>588</v>
      </c>
      <c r="G73" s="3" t="s">
        <v>646</v>
      </c>
      <c r="I73" s="78" t="str">
        <f t="shared" si="8"/>
        <v>C_조심하십시오. 원소진영내
최고의 무장입니다.</v>
      </c>
    </row>
    <row r="74" spans="1:9" ht="33" x14ac:dyDescent="0.3">
      <c r="A74" t="str">
        <f t="shared" si="10"/>
        <v>NODE_16</v>
      </c>
      <c r="B74">
        <f t="shared" si="11"/>
        <v>20</v>
      </c>
      <c r="C74" t="str">
        <f t="shared" si="9"/>
        <v>NODE_16_20</v>
      </c>
      <c r="E74" t="str">
        <f>VLOOKUP(F74,Overview!$A$1:$B$28,2,FALSE)</f>
        <v>YanLiang</v>
      </c>
      <c r="F74" t="s">
        <v>586</v>
      </c>
      <c r="G74" s="3" t="s">
        <v>639</v>
      </c>
      <c r="I74" s="78" t="str">
        <f t="shared" si="8"/>
        <v>C_이보시오, 당신이 관운장이오?
우리 진영에 지금..</v>
      </c>
    </row>
    <row r="75" spans="1:9" x14ac:dyDescent="0.3">
      <c r="A75" t="str">
        <f t="shared" si="10"/>
        <v>NODE_16</v>
      </c>
      <c r="B75">
        <f t="shared" si="11"/>
        <v>21</v>
      </c>
      <c r="C75" t="str">
        <f t="shared" ref="C75:C119" si="12">CONCATENATE(A75, "_", B75, IF(D75&lt;&gt;"", "_"&amp;D75, ""))</f>
        <v>NODE_16_21</v>
      </c>
      <c r="E75" t="str">
        <f>VLOOKUP(F75,Overview!$A$1:$B$28,2,FALSE)</f>
        <v>YanLiang</v>
      </c>
      <c r="F75" t="s">
        <v>586</v>
      </c>
      <c r="G75" s="3" t="s">
        <v>591</v>
      </c>
      <c r="I75" s="78" t="str">
        <f t="shared" si="8"/>
        <v>C_..?</v>
      </c>
    </row>
    <row r="76" spans="1:9" x14ac:dyDescent="0.3">
      <c r="A76" t="str">
        <f t="shared" si="10"/>
        <v>NODE_16</v>
      </c>
      <c r="B76">
        <f t="shared" si="11"/>
        <v>22</v>
      </c>
      <c r="C76" t="str">
        <f t="shared" si="12"/>
        <v>NODE_16_22</v>
      </c>
      <c r="E76" t="str">
        <f>VLOOKUP(F76,Overview!$A$1:$B$28,2,FALSE)</f>
        <v>ZhangLiao</v>
      </c>
      <c r="F76" t="s">
        <v>588</v>
      </c>
      <c r="G76" s="3" t="s">
        <v>649</v>
      </c>
      <c r="I76" s="78" t="str">
        <f t="shared" si="8"/>
        <v>C_..엥??</v>
      </c>
    </row>
    <row r="77" spans="1:9" ht="33" x14ac:dyDescent="0.3">
      <c r="A77" t="str">
        <f t="shared" si="10"/>
        <v>NODE_16</v>
      </c>
      <c r="B77">
        <f t="shared" si="11"/>
        <v>23</v>
      </c>
      <c r="C77" t="str">
        <f t="shared" si="12"/>
        <v>NODE_16_23</v>
      </c>
      <c r="E77" t="str">
        <f>VLOOKUP(F77,Overview!$A$1:$B$28,2,FALSE)</f>
        <v>CaoCao</v>
      </c>
      <c r="F77" t="s">
        <v>50</v>
      </c>
      <c r="G77" s="3" t="s">
        <v>641</v>
      </c>
      <c r="I77" s="78" t="str">
        <f t="shared" si="8"/>
        <v>C_하하하! 역시 그대는
하늘이 내린 신장이오!</v>
      </c>
    </row>
    <row r="78" spans="1:9" x14ac:dyDescent="0.3">
      <c r="A78" t="str">
        <f t="shared" si="10"/>
        <v>NODE_16</v>
      </c>
      <c r="B78">
        <f t="shared" si="11"/>
        <v>24</v>
      </c>
      <c r="C78" t="str">
        <f t="shared" si="12"/>
        <v>NODE_16_24</v>
      </c>
      <c r="E78" t="str">
        <f>VLOOKUP(F78,Overview!$A$1:$B$28,2,FALSE)</f>
        <v>GuanYu</v>
      </c>
      <c r="F78" t="s">
        <v>6</v>
      </c>
      <c r="G78" s="3" t="s">
        <v>592</v>
      </c>
      <c r="I78" s="78" t="str">
        <f t="shared" si="8"/>
        <v>C_과찬이십니다.</v>
      </c>
    </row>
    <row r="79" spans="1:9" x14ac:dyDescent="0.3">
      <c r="A79" t="str">
        <f t="shared" si="10"/>
        <v>NODE_16</v>
      </c>
      <c r="B79">
        <f t="shared" si="11"/>
        <v>25</v>
      </c>
      <c r="C79" t="str">
        <f t="shared" si="12"/>
        <v>NODE_16_25</v>
      </c>
      <c r="E79" t="str">
        <f>VLOOKUP(F79,Overview!$A$1:$B$28,2,FALSE)</f>
        <v>XiahouDun</v>
      </c>
      <c r="F79" t="s">
        <v>404</v>
      </c>
      <c r="G79" s="3" t="s">
        <v>632</v>
      </c>
      <c r="I79" s="78" t="str">
        <f t="shared" si="8"/>
        <v>C_흥, 나였다면 기합만으로도..</v>
      </c>
    </row>
    <row r="80" spans="1:9" x14ac:dyDescent="0.3">
      <c r="A80" t="str">
        <f t="shared" si="10"/>
        <v>NODE_16</v>
      </c>
      <c r="B80">
        <f t="shared" si="11"/>
        <v>26</v>
      </c>
      <c r="C80" t="str">
        <f t="shared" si="12"/>
        <v>NODE_16_26</v>
      </c>
      <c r="E80" t="str">
        <f>VLOOKUP(F80,Overview!$A$1:$B$28,2,FALSE)</f>
        <v>XiahouYuan</v>
      </c>
      <c r="F80" t="s">
        <v>405</v>
      </c>
      <c r="G80" s="3" t="s">
        <v>593</v>
      </c>
      <c r="I80" s="78" t="str">
        <f t="shared" si="8"/>
        <v>C_에헴.. 형님?</v>
      </c>
    </row>
    <row r="81" spans="1:9" x14ac:dyDescent="0.3">
      <c r="A81" t="str">
        <f t="shared" si="10"/>
        <v>NODE_16</v>
      </c>
      <c r="B81">
        <f t="shared" si="11"/>
        <v>27</v>
      </c>
      <c r="C81" t="str">
        <f t="shared" si="12"/>
        <v>NODE_16_27</v>
      </c>
      <c r="E81" t="str">
        <f>VLOOKUP(F81,Overview!$A$1:$B$28,2,FALSE)</f>
        <v>GuanYu</v>
      </c>
      <c r="F81" t="s">
        <v>6</v>
      </c>
      <c r="G81" s="3" t="s">
        <v>594</v>
      </c>
      <c r="I81" s="78" t="str">
        <f t="shared" si="8"/>
        <v>C_..</v>
      </c>
    </row>
    <row r="82" spans="1:9" ht="33" x14ac:dyDescent="0.3">
      <c r="A82" t="str">
        <f t="shared" si="10"/>
        <v>NODE_16</v>
      </c>
      <c r="B82">
        <f t="shared" si="11"/>
        <v>28</v>
      </c>
      <c r="C82" t="str">
        <f t="shared" si="12"/>
        <v>NODE_16_28</v>
      </c>
      <c r="E82" t="str">
        <f>VLOOKUP(F82,Overview!$A$1:$B$28,2,FALSE)</f>
        <v>ZhangLiao</v>
      </c>
      <c r="F82" t="s">
        <v>588</v>
      </c>
      <c r="G82" s="3" t="s">
        <v>595</v>
      </c>
      <c r="I82" s="78" t="str">
        <f t="shared" si="8"/>
        <v>C_주군! 지금 문추가
미쳐 날뛰고 있습니다!</v>
      </c>
    </row>
    <row r="83" spans="1:9" x14ac:dyDescent="0.3">
      <c r="A83" t="str">
        <f t="shared" si="10"/>
        <v>NODE_16</v>
      </c>
      <c r="B83">
        <f t="shared" si="11"/>
        <v>29</v>
      </c>
      <c r="C83" t="str">
        <f t="shared" si="12"/>
        <v>NODE_16_29</v>
      </c>
      <c r="E83" t="str">
        <f>VLOOKUP(F83,Overview!$A$1:$B$28,2,FALSE)</f>
        <v>WenChou</v>
      </c>
      <c r="F83" t="s">
        <v>596</v>
      </c>
      <c r="G83" s="3" t="s">
        <v>821</v>
      </c>
      <c r="I83" s="78" t="str">
        <f t="shared" si="8"/>
        <v>C_안량을 벤 자가 누구더냐!</v>
      </c>
    </row>
    <row r="84" spans="1:9" x14ac:dyDescent="0.3">
      <c r="A84" t="str">
        <f t="shared" si="10"/>
        <v>NODE_16</v>
      </c>
      <c r="B84">
        <f t="shared" si="11"/>
        <v>30</v>
      </c>
      <c r="C84" t="str">
        <f t="shared" si="12"/>
        <v>NODE_16_30</v>
      </c>
      <c r="E84" t="str">
        <f>VLOOKUP(F84,Overview!$A$1:$B$28,2,FALSE)</f>
        <v>LiuBei</v>
      </c>
      <c r="F84" t="s">
        <v>4</v>
      </c>
      <c r="G84" s="3" t="s">
        <v>594</v>
      </c>
      <c r="I84" s="78" t="str">
        <f t="shared" si="8"/>
        <v>C_..</v>
      </c>
    </row>
    <row r="85" spans="1:9" x14ac:dyDescent="0.3">
      <c r="A85" t="str">
        <f t="shared" si="10"/>
        <v>NODE_16</v>
      </c>
      <c r="B85">
        <f t="shared" si="11"/>
        <v>31</v>
      </c>
      <c r="C85" t="str">
        <f t="shared" si="12"/>
        <v>NODE_16_31</v>
      </c>
      <c r="E85" t="str">
        <f>VLOOKUP(F85,Overview!$A$1:$B$28,2,FALSE)</f>
        <v>LiuBei</v>
      </c>
      <c r="F85" t="s">
        <v>4</v>
      </c>
      <c r="G85" s="3" t="s">
        <v>642</v>
      </c>
      <c r="I85" s="78" t="str">
        <f t="shared" si="8"/>
        <v>C_관우는 아닐것입니다.</v>
      </c>
    </row>
    <row r="86" spans="1:9" x14ac:dyDescent="0.3">
      <c r="A86" t="str">
        <f t="shared" si="10"/>
        <v>NODE_16</v>
      </c>
      <c r="B86">
        <f t="shared" si="11"/>
        <v>32</v>
      </c>
      <c r="C86" t="str">
        <f t="shared" si="12"/>
        <v>NODE_16_32</v>
      </c>
      <c r="E86" t="str">
        <f>VLOOKUP(F86,Overview!$A$1:$B$28,2,FALSE)</f>
        <v>YuanShao</v>
      </c>
      <c r="F86" t="s">
        <v>597</v>
      </c>
      <c r="G86" s="3" t="s">
        <v>598</v>
      </c>
      <c r="I86" s="78" t="str">
        <f t="shared" si="8"/>
        <v>C_두고 보면 알 일이오.</v>
      </c>
    </row>
    <row r="87" spans="1:9" ht="33" x14ac:dyDescent="0.3">
      <c r="A87" t="str">
        <f t="shared" si="10"/>
        <v>NODE_16</v>
      </c>
      <c r="B87">
        <f t="shared" si="11"/>
        <v>33</v>
      </c>
      <c r="C87" t="str">
        <f t="shared" si="12"/>
        <v>NODE_16_33</v>
      </c>
      <c r="E87" t="str">
        <f>VLOOKUP(F87,Overview!$A$1:$B$28,2,FALSE)</f>
        <v>WenChou</v>
      </c>
      <c r="F87" t="s">
        <v>596</v>
      </c>
      <c r="G87" s="3" t="s">
        <v>822</v>
      </c>
      <c r="I87" s="78" t="str">
        <f t="shared" si="8"/>
        <v>C_흥! 대체 안량이 어떻게..
분명 무슨 암수를 썻을테지!</v>
      </c>
    </row>
    <row r="88" spans="1:9" x14ac:dyDescent="0.3">
      <c r="A88" t="str">
        <f t="shared" si="10"/>
        <v>NODE_16</v>
      </c>
      <c r="B88">
        <f t="shared" si="11"/>
        <v>34</v>
      </c>
      <c r="C88" t="str">
        <f t="shared" si="12"/>
        <v>NODE_16_34</v>
      </c>
      <c r="E88" t="str">
        <f>VLOOKUP(F88,Overview!$A$1:$B$28,2,FALSE)</f>
        <v>WenChou</v>
      </c>
      <c r="F88" t="s">
        <v>596</v>
      </c>
      <c r="G88" s="3" t="s">
        <v>599</v>
      </c>
      <c r="I88" s="78" t="str">
        <f t="shared" si="8"/>
        <v>C_응?</v>
      </c>
    </row>
    <row r="89" spans="1:9" x14ac:dyDescent="0.3">
      <c r="A89" t="str">
        <f t="shared" si="10"/>
        <v>NODE_16</v>
      </c>
      <c r="B89">
        <f t="shared" si="11"/>
        <v>35</v>
      </c>
      <c r="C89" t="str">
        <f t="shared" si="12"/>
        <v>NODE_16_35</v>
      </c>
      <c r="E89" t="str">
        <f>VLOOKUP(F89,Overview!$A$1:$B$28,2,FALSE)</f>
        <v>WenChou</v>
      </c>
      <c r="F89" t="s">
        <v>596</v>
      </c>
      <c r="G89" s="3" t="s">
        <v>600</v>
      </c>
      <c r="I89" s="78" t="str">
        <f t="shared" si="8"/>
        <v>C_아니!!</v>
      </c>
    </row>
    <row r="90" spans="1:9" x14ac:dyDescent="0.3">
      <c r="A90" t="str">
        <f t="shared" si="10"/>
        <v>NODE_16</v>
      </c>
      <c r="B90">
        <f t="shared" si="11"/>
        <v>36</v>
      </c>
      <c r="C90" t="str">
        <f t="shared" si="12"/>
        <v>NODE_16_36</v>
      </c>
      <c r="E90" t="str">
        <f>VLOOKUP(F90,Overview!$A$1:$B$28,2,FALSE)</f>
        <v>GuanYu</v>
      </c>
      <c r="F90" t="s">
        <v>6</v>
      </c>
      <c r="G90" s="3" t="s">
        <v>594</v>
      </c>
      <c r="I90" s="78" t="str">
        <f t="shared" si="8"/>
        <v>C_..</v>
      </c>
    </row>
    <row r="91" spans="1:9" ht="33" x14ac:dyDescent="0.3">
      <c r="A91" t="str">
        <f t="shared" si="10"/>
        <v>NODE_16</v>
      </c>
      <c r="B91">
        <f t="shared" si="11"/>
        <v>37</v>
      </c>
      <c r="C91" t="str">
        <f t="shared" si="12"/>
        <v>NODE_16_37</v>
      </c>
      <c r="E91" t="str">
        <f>VLOOKUP(F91,Overview!$A$1:$B$28,2,FALSE)</f>
        <v>WenChou</v>
      </c>
      <c r="F91" t="s">
        <v>596</v>
      </c>
      <c r="G91" s="3" t="s">
        <v>701</v>
      </c>
      <c r="I91" s="78" t="str">
        <f t="shared" si="8"/>
        <v xml:space="preserve">C_으윽.. 이건 내가 어찌 할 수
있는 자가 아니다.. </v>
      </c>
    </row>
    <row r="92" spans="1:9" x14ac:dyDescent="0.3">
      <c r="A92" t="str">
        <f t="shared" si="10"/>
        <v>NODE_16</v>
      </c>
      <c r="B92">
        <f t="shared" si="11"/>
        <v>38</v>
      </c>
      <c r="C92" t="str">
        <f t="shared" si="12"/>
        <v>NODE_16_38</v>
      </c>
      <c r="E92" t="str">
        <f>VLOOKUP(F92,Overview!$A$1:$B$28,2,FALSE)</f>
        <v>WenChou</v>
      </c>
      <c r="F92" t="s">
        <v>596</v>
      </c>
      <c r="G92" s="3" t="s">
        <v>601</v>
      </c>
      <c r="I92" s="78" t="str">
        <f t="shared" si="8"/>
        <v>C_일단 도망을..</v>
      </c>
    </row>
    <row r="93" spans="1:9" x14ac:dyDescent="0.3">
      <c r="A93" t="str">
        <f t="shared" si="10"/>
        <v>NODE_16</v>
      </c>
      <c r="B93">
        <f t="shared" si="11"/>
        <v>39</v>
      </c>
      <c r="C93" t="str">
        <f t="shared" si="12"/>
        <v>NODE_16_39</v>
      </c>
      <c r="E93" t="str">
        <f>VLOOKUP(F93,Overview!$A$1:$B$28,2,FALSE)</f>
        <v>GuanYu</v>
      </c>
      <c r="F93" t="s">
        <v>6</v>
      </c>
      <c r="G93" s="3" t="s">
        <v>602</v>
      </c>
      <c r="I93" s="78" t="str">
        <f t="shared" si="8"/>
        <v>C_ㅉㅉ</v>
      </c>
    </row>
    <row r="94" spans="1:9" x14ac:dyDescent="0.3">
      <c r="A94" t="str">
        <f t="shared" si="10"/>
        <v>NODE_16</v>
      </c>
      <c r="B94">
        <f t="shared" si="11"/>
        <v>40</v>
      </c>
      <c r="C94" t="str">
        <f t="shared" si="12"/>
        <v>NODE_16_40</v>
      </c>
      <c r="E94" t="str">
        <f>VLOOKUP(F94,Overview!$A$1:$B$28,2,FALSE)</f>
        <v>WenChou</v>
      </c>
      <c r="F94" t="s">
        <v>596</v>
      </c>
      <c r="G94" s="3" t="s">
        <v>603</v>
      </c>
      <c r="I94" s="78" t="str">
        <f t="shared" si="8"/>
        <v>C_으아!</v>
      </c>
    </row>
    <row r="95" spans="1:9" ht="33" x14ac:dyDescent="0.3">
      <c r="A95" t="str">
        <f t="shared" si="10"/>
        <v>NODE_16</v>
      </c>
      <c r="B95">
        <f t="shared" si="11"/>
        <v>41</v>
      </c>
      <c r="C95" t="str">
        <f t="shared" si="12"/>
        <v>NODE_16_41</v>
      </c>
      <c r="E95" t="str">
        <f>VLOOKUP(F95,Overview!$A$1:$B$28,2,FALSE)</f>
        <v>YuanShao</v>
      </c>
      <c r="F95" t="s">
        <v>597</v>
      </c>
      <c r="G95" s="3" t="s">
        <v>720</v>
      </c>
      <c r="I95" s="78" t="str">
        <f t="shared" si="8"/>
        <v>C_이이!! 저 자는 분명 관우지 않소!
어떻게 된것이오 유비!</v>
      </c>
    </row>
    <row r="96" spans="1:9" ht="33" x14ac:dyDescent="0.3">
      <c r="A96" t="str">
        <f t="shared" si="10"/>
        <v>NODE_16</v>
      </c>
      <c r="B96">
        <f t="shared" si="11"/>
        <v>42</v>
      </c>
      <c r="C96" t="str">
        <f t="shared" si="12"/>
        <v>NODE_16_42</v>
      </c>
      <c r="E96" t="str">
        <f>VLOOKUP(F96,Overview!$A$1:$B$28,2,FALSE)</f>
        <v>LiuBei</v>
      </c>
      <c r="F96" t="s">
        <v>4</v>
      </c>
      <c r="G96" s="3" t="s">
        <v>820</v>
      </c>
      <c r="I96" s="78" t="str">
        <f t="shared" si="8"/>
        <v>C_명공! 조조는 원래 저를 시기하여 명공의
손을 빌려 저를 죽이려는 것입니다.</v>
      </c>
    </row>
    <row r="97" spans="1:9" x14ac:dyDescent="0.3">
      <c r="A97" t="str">
        <f t="shared" si="10"/>
        <v>NODE_16</v>
      </c>
      <c r="B97">
        <f t="shared" si="11"/>
        <v>43</v>
      </c>
      <c r="C97" t="str">
        <f t="shared" si="12"/>
        <v>NODE_16_43</v>
      </c>
      <c r="E97" t="str">
        <f>VLOOKUP(F97,Overview!$A$1:$B$28,2,FALSE)</f>
        <v>YuanShao</v>
      </c>
      <c r="F97" t="s">
        <v>597</v>
      </c>
      <c r="G97" s="3" t="s">
        <v>604</v>
      </c>
      <c r="I97" s="78" t="str">
        <f t="shared" si="8"/>
        <v>C_으으 - -+</v>
      </c>
    </row>
    <row r="98" spans="1:9" x14ac:dyDescent="0.3">
      <c r="A98" t="str">
        <f t="shared" si="10"/>
        <v>NODE_16</v>
      </c>
      <c r="B98">
        <f t="shared" si="11"/>
        <v>44</v>
      </c>
      <c r="C98" t="str">
        <f t="shared" si="12"/>
        <v>NODE_16_44</v>
      </c>
      <c r="E98" t="str">
        <f>VLOOKUP(F98,Overview!$A$1:$B$28,2,FALSE)</f>
        <v>GuanYu</v>
      </c>
      <c r="F98" t="s">
        <v>6</v>
      </c>
      <c r="G98" s="3" t="s">
        <v>605</v>
      </c>
      <c r="I98" s="78" t="str">
        <f t="shared" si="8"/>
        <v>C_흐음..</v>
      </c>
    </row>
    <row r="99" spans="1:9" ht="33" x14ac:dyDescent="0.3">
      <c r="A99" t="str">
        <f t="shared" si="10"/>
        <v>NODE_16</v>
      </c>
      <c r="B99">
        <f t="shared" si="11"/>
        <v>45</v>
      </c>
      <c r="C99" t="str">
        <f t="shared" si="12"/>
        <v>NODE_16_45</v>
      </c>
      <c r="E99" t="str">
        <f>VLOOKUP(F99,Overview!$A$1:$B$28,2,FALSE)</f>
        <v>GuanYu</v>
      </c>
      <c r="F99" t="s">
        <v>6</v>
      </c>
      <c r="G99" s="3" t="s">
        <v>606</v>
      </c>
      <c r="I99" s="78" t="str">
        <f t="shared" si="8"/>
        <v>C_이 정도면 빚은 갚은거겠지.
이제 돌아가볼까?</v>
      </c>
    </row>
    <row r="100" spans="1:9" ht="33" x14ac:dyDescent="0.3">
      <c r="A100" t="str">
        <f t="shared" si="10"/>
        <v>NODE_16</v>
      </c>
      <c r="B100">
        <f t="shared" si="11"/>
        <v>46</v>
      </c>
      <c r="C100" t="str">
        <f t="shared" si="12"/>
        <v>NODE_16_46</v>
      </c>
      <c r="E100" t="str">
        <f>VLOOKUP(F100,Overview!$A$1:$B$28,2,FALSE)</f>
        <v>GuanYu</v>
      </c>
      <c r="F100" t="s">
        <v>6</v>
      </c>
      <c r="G100" s="3" t="s">
        <v>607</v>
      </c>
      <c r="I100" s="78" t="str">
        <f t="shared" si="8"/>
        <v>C_애꾸놈의 기를 확실히 꺽어주지.
이 자의 목을 걸어두고 함성을 질러라!!</v>
      </c>
    </row>
    <row r="101" spans="1:9" ht="33" x14ac:dyDescent="0.3">
      <c r="A101" t="str">
        <f t="shared" si="10"/>
        <v>NODE_16</v>
      </c>
      <c r="B101">
        <f t="shared" si="11"/>
        <v>47</v>
      </c>
      <c r="C101" t="str">
        <f t="shared" si="12"/>
        <v>NODE_16_47_1</v>
      </c>
      <c r="D101">
        <v>1</v>
      </c>
      <c r="E101" t="str">
        <f>VLOOKUP(F101,Overview!$A$1:$B$28,2,FALSE)</f>
        <v>LiuBei</v>
      </c>
      <c r="F101" t="s">
        <v>4</v>
      </c>
      <c r="G101" s="3" t="s">
        <v>645</v>
      </c>
      <c r="I101" s="78" t="str">
        <f t="shared" si="8"/>
        <v>C_관우는 내가 여기 있는
것을 모를 것입니다.</v>
      </c>
    </row>
    <row r="102" spans="1:9" ht="33" x14ac:dyDescent="0.3">
      <c r="A102" t="str">
        <f t="shared" si="10"/>
        <v>NODE_16</v>
      </c>
      <c r="B102">
        <f t="shared" si="11"/>
        <v>48</v>
      </c>
      <c r="C102" t="str">
        <f t="shared" si="12"/>
        <v>NODE_16_48_1</v>
      </c>
      <c r="D102">
        <v>1</v>
      </c>
      <c r="E102" t="str">
        <f>VLOOKUP(F102,Overview!$A$1:$B$28,2,FALSE)</f>
        <v>LiuBei</v>
      </c>
      <c r="F102" t="s">
        <v>4</v>
      </c>
      <c r="G102" s="3" t="s">
        <v>644</v>
      </c>
      <c r="I102" s="78" t="str">
        <f t="shared" si="8"/>
        <v>C_제가 직접 관우에게 밀사를 보내겠습니다.
그렇다면 관우는 바로 달려올 것입니다.</v>
      </c>
    </row>
    <row r="103" spans="1:9" x14ac:dyDescent="0.3">
      <c r="A103" t="str">
        <f t="shared" si="10"/>
        <v>NODE_16</v>
      </c>
      <c r="B103">
        <f t="shared" si="11"/>
        <v>49</v>
      </c>
      <c r="C103" t="str">
        <f t="shared" si="12"/>
        <v>NODE_16_49_1</v>
      </c>
      <c r="D103">
        <v>1</v>
      </c>
      <c r="E103" t="str">
        <f>VLOOKUP(F103,Overview!$A$1:$B$28,2,FALSE)</f>
        <v>YuanShao</v>
      </c>
      <c r="F103" t="s">
        <v>597</v>
      </c>
      <c r="G103" s="3" t="s">
        <v>594</v>
      </c>
      <c r="I103" s="78" t="str">
        <f t="shared" si="8"/>
        <v>C_..</v>
      </c>
    </row>
    <row r="104" spans="1:9" ht="33" x14ac:dyDescent="0.3">
      <c r="A104" t="str">
        <f t="shared" si="10"/>
        <v>NODE_16</v>
      </c>
      <c r="B104">
        <f t="shared" si="11"/>
        <v>50</v>
      </c>
      <c r="C104" t="str">
        <f t="shared" si="12"/>
        <v>NODE_16_50_1</v>
      </c>
      <c r="D104">
        <v>1</v>
      </c>
      <c r="E104" t="str">
        <f>VLOOKUP(F104,Overview!$A$1:$B$28,2,FALSE)</f>
        <v>LiuBei</v>
      </c>
      <c r="F104" t="s">
        <v>4</v>
      </c>
      <c r="G104" s="3" t="s">
        <v>643</v>
      </c>
      <c r="I104" s="78" t="str">
        <f t="shared" si="8"/>
        <v>C_안량, 문추를 잃은 것은 
안타까운 일입니다.</v>
      </c>
    </row>
    <row r="105" spans="1:9" ht="33" x14ac:dyDescent="0.3">
      <c r="A105" t="str">
        <f t="shared" si="10"/>
        <v>NODE_16</v>
      </c>
      <c r="B105">
        <f t="shared" si="11"/>
        <v>51</v>
      </c>
      <c r="C105" t="str">
        <f t="shared" si="12"/>
        <v>NODE_16_51_1</v>
      </c>
      <c r="D105">
        <v>1</v>
      </c>
      <c r="E105" t="str">
        <f>VLOOKUP(F105,Overview!$A$1:$B$28,2,FALSE)</f>
        <v>LiuBei</v>
      </c>
      <c r="F105" t="s">
        <v>4</v>
      </c>
      <c r="G105" s="3" t="s">
        <v>608</v>
      </c>
      <c r="I105" s="78" t="str">
        <f t="shared" si="8"/>
        <v>C_허나, 관우를 얻는 것은 천하를
얻는 것과 다름이 없을 것입니다!</v>
      </c>
    </row>
    <row r="106" spans="1:9" ht="33" x14ac:dyDescent="0.3">
      <c r="A106" t="str">
        <f t="shared" si="10"/>
        <v>NODE_16</v>
      </c>
      <c r="B106">
        <f t="shared" si="11"/>
        <v>52</v>
      </c>
      <c r="C106" t="str">
        <f t="shared" si="12"/>
        <v>NODE_16_52_1</v>
      </c>
      <c r="D106">
        <v>1</v>
      </c>
      <c r="E106" t="str">
        <f>VLOOKUP(F106,Overview!$A$1:$B$28,2,FALSE)</f>
        <v>YuanShao</v>
      </c>
      <c r="F106" t="s">
        <v>597</v>
      </c>
      <c r="G106" s="3" t="s">
        <v>609</v>
      </c>
      <c r="I106" s="78" t="str">
        <f t="shared" si="8"/>
        <v>C_하하하. 내가 뭐 그리
소인배도 아니고ㅋㅋ</v>
      </c>
    </row>
    <row r="107" spans="1:9" ht="33" x14ac:dyDescent="0.3">
      <c r="A107" t="str">
        <f t="shared" si="10"/>
        <v>NODE_16</v>
      </c>
      <c r="B107">
        <f t="shared" si="11"/>
        <v>53</v>
      </c>
      <c r="C107" t="str">
        <f t="shared" si="12"/>
        <v>NODE_16_53_1</v>
      </c>
      <c r="D107">
        <v>1</v>
      </c>
      <c r="E107" t="str">
        <f>VLOOKUP(F107,Overview!$A$1:$B$28,2,FALSE)</f>
        <v>YuanShao</v>
      </c>
      <c r="F107" t="s">
        <v>597</v>
      </c>
      <c r="G107" s="3" t="s">
        <v>610</v>
      </c>
      <c r="I107" s="78" t="str">
        <f t="shared" si="8"/>
        <v>C_오늘 밤 관우를 맞이하는
술잔을 기울이도록 하지ㅋ</v>
      </c>
    </row>
    <row r="108" spans="1:9" x14ac:dyDescent="0.3">
      <c r="A108" t="str">
        <f t="shared" si="10"/>
        <v>NODE_16</v>
      </c>
      <c r="B108">
        <f t="shared" si="11"/>
        <v>54</v>
      </c>
      <c r="C108" t="str">
        <f t="shared" si="12"/>
        <v>NODE_16_54_1</v>
      </c>
      <c r="D108">
        <v>1</v>
      </c>
      <c r="E108" t="str">
        <f>VLOOKUP(F108,Overview!$A$1:$B$28,2,FALSE)</f>
        <v>LiuBei</v>
      </c>
      <c r="F108" t="s">
        <v>4</v>
      </c>
      <c r="G108" s="3" t="s">
        <v>611</v>
      </c>
      <c r="I108" s="78" t="str">
        <f t="shared" si="8"/>
        <v>C_관우.. 살아 있었구나..</v>
      </c>
    </row>
    <row r="109" spans="1:9" x14ac:dyDescent="0.3">
      <c r="A109" t="str">
        <f t="shared" si="10"/>
        <v>NODE_16</v>
      </c>
      <c r="B109">
        <f t="shared" si="11"/>
        <v>55</v>
      </c>
      <c r="C109" t="str">
        <f t="shared" si="12"/>
        <v>NODE_16_55_2</v>
      </c>
      <c r="D109">
        <v>2</v>
      </c>
      <c r="E109" t="str">
        <f>VLOOKUP(F109,Overview!$A$1:$B$28,2,FALSE)</f>
        <v>YuanShao</v>
      </c>
      <c r="F109" t="s">
        <v>597</v>
      </c>
      <c r="G109" s="3" t="s">
        <v>594</v>
      </c>
      <c r="I109" s="78" t="str">
        <f t="shared" si="8"/>
        <v>C_..</v>
      </c>
    </row>
    <row r="110" spans="1:9" x14ac:dyDescent="0.3">
      <c r="A110" t="str">
        <f t="shared" si="10"/>
        <v>NODE_16</v>
      </c>
      <c r="B110">
        <f t="shared" si="11"/>
        <v>56</v>
      </c>
      <c r="C110" t="str">
        <f t="shared" si="12"/>
        <v>NODE_16_56_2</v>
      </c>
      <c r="D110">
        <v>2</v>
      </c>
      <c r="E110" t="str">
        <f>VLOOKUP(F110,Overview!$A$1:$B$28,2,FALSE)</f>
        <v>LiuBei</v>
      </c>
      <c r="F110" t="s">
        <v>4</v>
      </c>
      <c r="G110" s="3" t="s">
        <v>612</v>
      </c>
      <c r="I110" s="78" t="str">
        <f t="shared" si="8"/>
        <v>C_.. 관우야??</v>
      </c>
    </row>
    <row r="111" spans="1:9" ht="33" x14ac:dyDescent="0.3">
      <c r="A111" t="str">
        <f t="shared" si="10"/>
        <v>NODE_16</v>
      </c>
      <c r="B111">
        <f t="shared" si="11"/>
        <v>57</v>
      </c>
      <c r="C111" t="str">
        <f t="shared" si="12"/>
        <v>NODE_16_57_2</v>
      </c>
      <c r="D111">
        <v>2</v>
      </c>
      <c r="E111" t="str">
        <f>VLOOKUP(F111,Overview!$A$1:$B$28,2,FALSE)</f>
        <v>YuanShao</v>
      </c>
      <c r="F111" t="s">
        <v>597</v>
      </c>
      <c r="G111" s="3" t="s">
        <v>819</v>
      </c>
      <c r="I111" s="78" t="str">
        <f t="shared" si="8"/>
        <v>C_유비.. 네 놈 때문에 내가 제일
아끼는 장수 두명을 잃었다.</v>
      </c>
    </row>
    <row r="112" spans="1:9" ht="33" x14ac:dyDescent="0.3">
      <c r="A112" t="str">
        <f t="shared" si="10"/>
        <v>NODE_16</v>
      </c>
      <c r="B112">
        <f t="shared" si="11"/>
        <v>58</v>
      </c>
      <c r="C112" t="str">
        <f t="shared" si="12"/>
        <v>NODE_16_58_2</v>
      </c>
      <c r="D112">
        <v>2</v>
      </c>
      <c r="E112" t="str">
        <f>VLOOKUP(F112,Overview!$A$1:$B$28,2,FALSE)</f>
        <v>LiuBei</v>
      </c>
      <c r="F112" t="s">
        <v>4</v>
      </c>
      <c r="G112" s="3" t="s">
        <v>613</v>
      </c>
      <c r="I112" s="78" t="str">
        <f t="shared" si="8"/>
        <v>C_아니 죽인 것은 관우인데요?
그게 아니라. 제가 지금 당장 밀서를..</v>
      </c>
    </row>
    <row r="113" spans="1:10" x14ac:dyDescent="0.3">
      <c r="A113" t="str">
        <f t="shared" si="10"/>
        <v>NODE_16</v>
      </c>
      <c r="B113">
        <f t="shared" si="11"/>
        <v>59</v>
      </c>
      <c r="C113" t="str">
        <f t="shared" si="12"/>
        <v>NODE_16_59_2</v>
      </c>
      <c r="D113">
        <v>2</v>
      </c>
      <c r="E113" t="str">
        <f>VLOOKUP(F113,Overview!$A$1:$B$28,2,FALSE)</f>
        <v>YuanShao</v>
      </c>
      <c r="F113" t="s">
        <v>597</v>
      </c>
      <c r="G113" s="3" t="s">
        <v>614</v>
      </c>
      <c r="I113" s="78" t="str">
        <f t="shared" si="8"/>
        <v>C_아니오.</v>
      </c>
    </row>
    <row r="114" spans="1:10" ht="33" x14ac:dyDescent="0.3">
      <c r="A114" t="str">
        <f t="shared" si="10"/>
        <v>NODE_16</v>
      </c>
      <c r="B114">
        <f t="shared" si="11"/>
        <v>60</v>
      </c>
      <c r="C114" t="str">
        <f t="shared" si="12"/>
        <v>NODE_16_60_2</v>
      </c>
      <c r="D114">
        <v>2</v>
      </c>
      <c r="E114" t="str">
        <f>VLOOKUP(F114,Overview!$A$1:$B$28,2,FALSE)</f>
        <v>LiuBei</v>
      </c>
      <c r="F114" t="s">
        <v>4</v>
      </c>
      <c r="G114" s="3" t="s">
        <v>818</v>
      </c>
      <c r="I114" s="78" t="str">
        <f t="shared" si="8"/>
        <v>C_안량, 문추를 잃은 것은 
안타까우나..</v>
      </c>
    </row>
    <row r="115" spans="1:10" ht="33" x14ac:dyDescent="0.3">
      <c r="A115" t="str">
        <f t="shared" si="10"/>
        <v>NODE_16</v>
      </c>
      <c r="B115">
        <f t="shared" si="11"/>
        <v>61</v>
      </c>
      <c r="C115" t="str">
        <f t="shared" si="12"/>
        <v>NODE_16_61_2</v>
      </c>
      <c r="D115">
        <v>2</v>
      </c>
      <c r="E115" t="str">
        <f>VLOOKUP(F115,Overview!$A$1:$B$28,2,FALSE)</f>
        <v>YuanShao</v>
      </c>
      <c r="F115" t="s">
        <v>597</v>
      </c>
      <c r="G115" s="3" t="s">
        <v>817</v>
      </c>
      <c r="I115" s="78" t="str">
        <f t="shared" si="8"/>
        <v>C_네 놈의 목을 쳐 그들의
원한을 풀어주겠다.</v>
      </c>
    </row>
    <row r="116" spans="1:10" ht="33" x14ac:dyDescent="0.3">
      <c r="A116" t="str">
        <f t="shared" ref="A116:A119" si="13">A115</f>
        <v>NODE_16</v>
      </c>
      <c r="B116">
        <f t="shared" ref="B116:B119" si="14">B115+1</f>
        <v>62</v>
      </c>
      <c r="C116" t="str">
        <f t="shared" si="12"/>
        <v>NODE_16_62_2</v>
      </c>
      <c r="D116">
        <v>2</v>
      </c>
      <c r="E116" t="str">
        <f>VLOOKUP(F116,Overview!$A$1:$B$28,2,FALSE)</f>
        <v>LiuBei</v>
      </c>
      <c r="F116" t="s">
        <v>4</v>
      </c>
      <c r="G116" s="3" t="s">
        <v>615</v>
      </c>
      <c r="I116" s="78" t="str">
        <f t="shared" si="8"/>
        <v>C_저를 살려주시면
관우를 얻게 될 것입니다!</v>
      </c>
    </row>
    <row r="117" spans="1:10" ht="33" x14ac:dyDescent="0.3">
      <c r="A117" t="str">
        <f t="shared" si="13"/>
        <v>NODE_16</v>
      </c>
      <c r="B117">
        <f t="shared" si="14"/>
        <v>63</v>
      </c>
      <c r="C117" t="str">
        <f t="shared" si="12"/>
        <v>NODE_16_63_2</v>
      </c>
      <c r="D117">
        <v>2</v>
      </c>
      <c r="E117" t="str">
        <f>VLOOKUP(F117,Overview!$A$1:$B$28,2,FALSE)</f>
        <v>YuanShao</v>
      </c>
      <c r="F117" t="s">
        <v>597</v>
      </c>
      <c r="G117" s="3" t="s">
        <v>705</v>
      </c>
      <c r="I117" s="78" t="str">
        <f t="shared" si="8"/>
        <v>C_가서 안량과 문추에게
안부나 전해주시게. 에잇!</v>
      </c>
    </row>
    <row r="118" spans="1:10" x14ac:dyDescent="0.3">
      <c r="A118" t="str">
        <f t="shared" si="13"/>
        <v>NODE_16</v>
      </c>
      <c r="B118">
        <f t="shared" si="14"/>
        <v>64</v>
      </c>
      <c r="C118" t="str">
        <f t="shared" si="12"/>
        <v>NODE_16_64_2</v>
      </c>
      <c r="D118">
        <v>2</v>
      </c>
      <c r="E118" t="str">
        <f>VLOOKUP(F118,Overview!$A$1:$B$28,2,FALSE)</f>
        <v>LiuBei</v>
      </c>
      <c r="F118" t="s">
        <v>4</v>
      </c>
      <c r="G118" s="3" t="s">
        <v>702</v>
      </c>
      <c r="I118" s="78" t="str">
        <f t="shared" ref="I118" si="15">"C_"&amp;G118</f>
        <v>C_으아악!</v>
      </c>
    </row>
    <row r="119" spans="1:10" x14ac:dyDescent="0.3">
      <c r="A119" t="str">
        <f t="shared" si="13"/>
        <v>NODE_16</v>
      </c>
      <c r="B119">
        <f t="shared" si="14"/>
        <v>65</v>
      </c>
      <c r="C119" t="str">
        <f t="shared" si="12"/>
        <v>NODE_16_65_2</v>
      </c>
      <c r="D119">
        <v>2</v>
      </c>
      <c r="E119" t="str">
        <f>VLOOKUP(F119,Overview!$A$1:$B$28,2,FALSE)</f>
        <v>GuanYu</v>
      </c>
      <c r="F119" t="s">
        <v>6</v>
      </c>
      <c r="G119" s="3" t="s">
        <v>648</v>
      </c>
      <c r="I119" s="78" t="str">
        <f t="shared" ref="I119" si="16">"C_"&amp;G119</f>
        <v>C_흐음.. 갑자기 형님이 그립군..</v>
      </c>
    </row>
    <row r="121" spans="1:10" x14ac:dyDescent="0.3">
      <c r="A121" t="s">
        <v>663</v>
      </c>
      <c r="B121">
        <v>0</v>
      </c>
      <c r="C121" t="str">
        <f t="shared" ref="C121:C123" si="17">CONCATENATE(A121, "_", B121, IF(D121&lt;&gt;"", "_"&amp;D121, ""))</f>
        <v>NODE_27_0</v>
      </c>
      <c r="E121" t="str">
        <f>VLOOKUP(F121,Overview!$A$1:$B$28,2,FALSE)</f>
        <v>GuanYu</v>
      </c>
      <c r="F121" t="s">
        <v>6</v>
      </c>
      <c r="G121" s="3" t="s">
        <v>703</v>
      </c>
      <c r="I121" s="78" t="str">
        <f t="shared" ref="I121:I158" si="18">"C_"&amp;G121</f>
        <v>C_뭐라고? 방금 뭐라고 하셨소!?</v>
      </c>
    </row>
    <row r="122" spans="1:10" ht="33" x14ac:dyDescent="0.3">
      <c r="A122" t="s">
        <v>663</v>
      </c>
      <c r="B122">
        <f t="shared" ref="B122:B159" si="19">B121+1</f>
        <v>1</v>
      </c>
      <c r="C122" t="str">
        <f t="shared" si="17"/>
        <v>NODE_27_1</v>
      </c>
      <c r="E122" t="str">
        <f>VLOOKUP(F122,Overview!$A$1:$B$28,2,FALSE)</f>
        <v>ZhangLiao</v>
      </c>
      <c r="F122" t="s">
        <v>588</v>
      </c>
      <c r="G122" s="3" t="s">
        <v>715</v>
      </c>
      <c r="I122" s="78" t="str">
        <f t="shared" si="18"/>
        <v>C_원소군에 의탁해 있던 유비님이
원소에 의해 처형당했다 합니다.</v>
      </c>
    </row>
    <row r="123" spans="1:10" ht="33" x14ac:dyDescent="0.3">
      <c r="A123" t="s">
        <v>663</v>
      </c>
      <c r="B123">
        <f t="shared" si="19"/>
        <v>2</v>
      </c>
      <c r="C123" t="str">
        <f t="shared" si="17"/>
        <v>NODE_27_2</v>
      </c>
      <c r="E123" t="str">
        <f>VLOOKUP(F123,Overview!$A$1:$B$28,2,FALSE)</f>
        <v>GuanYu</v>
      </c>
      <c r="F123" t="s">
        <v>6</v>
      </c>
      <c r="G123" s="3" t="s">
        <v>700</v>
      </c>
      <c r="I123" s="78" t="str">
        <f t="shared" si="18"/>
        <v>C_서..설마.. 내가 안량과
문추를 베어서.. 인가??</v>
      </c>
    </row>
    <row r="124" spans="1:10" x14ac:dyDescent="0.3">
      <c r="A124" t="s">
        <v>663</v>
      </c>
      <c r="B124">
        <f t="shared" si="19"/>
        <v>3</v>
      </c>
      <c r="C124" t="str">
        <f t="shared" ref="C124:C125" si="20">CONCATENATE(A124, "_", B124, IF(D124&lt;&gt;"", "_"&amp;D124, ""))</f>
        <v>NODE_27_3</v>
      </c>
      <c r="E124" t="str">
        <f>VLOOKUP(F124,Overview!$A$1:$B$28,2,FALSE)</f>
        <v>GuanYu</v>
      </c>
      <c r="F124" t="s">
        <v>6</v>
      </c>
      <c r="G124" s="3" t="s">
        <v>712</v>
      </c>
      <c r="I124" s="78" t="str">
        <f t="shared" si="18"/>
        <v>C_흑흑.. 형님.. ㅜㅜ</v>
      </c>
    </row>
    <row r="125" spans="1:10" ht="33" x14ac:dyDescent="0.3">
      <c r="A125" t="s">
        <v>663</v>
      </c>
      <c r="B125">
        <f t="shared" si="19"/>
        <v>4</v>
      </c>
      <c r="C125" t="str">
        <f t="shared" si="20"/>
        <v>NODE_27_4</v>
      </c>
      <c r="E125" t="str">
        <f>VLOOKUP(F125,Overview!$A$1:$B$28,2,FALSE)</f>
        <v>GuanYu</v>
      </c>
      <c r="F125" t="s">
        <v>6</v>
      </c>
      <c r="G125" s="3" t="s">
        <v>713</v>
      </c>
      <c r="I125" s="78" t="str">
        <f t="shared" si="18"/>
        <v>C_한날 한시에 죽겠다는 맹세,
결코 헛되지 않을 것이오!</v>
      </c>
      <c r="J125" s="3"/>
    </row>
    <row r="126" spans="1:10" x14ac:dyDescent="0.3">
      <c r="A126" t="s">
        <v>663</v>
      </c>
      <c r="B126">
        <f t="shared" si="19"/>
        <v>5</v>
      </c>
      <c r="C126" t="str">
        <f t="shared" ref="C126:C159" si="21">CONCATENATE(A126, "_", B126, IF(D126&lt;&gt;"", "_"&amp;D126, ""))</f>
        <v>NODE_27_5</v>
      </c>
      <c r="E126" t="str">
        <f>VLOOKUP(F126,Overview!$A$1:$B$28,2,FALSE)</f>
        <v>ZhangLiao</v>
      </c>
      <c r="F126" t="s">
        <v>588</v>
      </c>
      <c r="G126" s="3" t="s">
        <v>767</v>
      </c>
      <c r="I126" s="78" t="str">
        <f t="shared" si="18"/>
        <v>C_앗! 관 장군!</v>
      </c>
    </row>
    <row r="127" spans="1:10" x14ac:dyDescent="0.3">
      <c r="A127" t="s">
        <v>663</v>
      </c>
      <c r="B127">
        <f t="shared" si="19"/>
        <v>6</v>
      </c>
      <c r="C127" t="str">
        <f t="shared" si="21"/>
        <v>NODE_27_6</v>
      </c>
      <c r="E127" t="str">
        <f>VLOOKUP(F127,Overview!$A$1:$B$28,2,FALSE)</f>
        <v>CaoCao</v>
      </c>
      <c r="F127" t="s">
        <v>50</v>
      </c>
      <c r="G127" s="3" t="s">
        <v>651</v>
      </c>
      <c r="I127" s="78" t="str">
        <f t="shared" si="18"/>
        <v>C_관공!!</v>
      </c>
    </row>
    <row r="128" spans="1:10" x14ac:dyDescent="0.3">
      <c r="A128" t="s">
        <v>663</v>
      </c>
      <c r="B128">
        <f t="shared" si="19"/>
        <v>7</v>
      </c>
      <c r="C128" t="str">
        <f t="shared" si="21"/>
        <v>NODE_27_7</v>
      </c>
      <c r="E128" t="str">
        <f>VLOOKUP(F128,Overview!$A$1:$B$28,2,FALSE)</f>
        <v>CaoCao</v>
      </c>
      <c r="F128" t="s">
        <v>50</v>
      </c>
      <c r="G128" s="3" t="s">
        <v>652</v>
      </c>
      <c r="I128" s="78" t="str">
        <f t="shared" si="18"/>
        <v>C_어찌 이리 어리석은!</v>
      </c>
    </row>
    <row r="129" spans="1:9" ht="33" x14ac:dyDescent="0.3">
      <c r="A129" t="s">
        <v>663</v>
      </c>
      <c r="B129">
        <f t="shared" si="19"/>
        <v>8</v>
      </c>
      <c r="C129" t="str">
        <f t="shared" si="21"/>
        <v>NODE_27_8</v>
      </c>
      <c r="E129" t="str">
        <f>VLOOKUP(F129,Overview!$A$1:$B$28,2,FALSE)</f>
        <v>GuanYu</v>
      </c>
      <c r="F129" t="s">
        <v>6</v>
      </c>
      <c r="G129" s="3" t="s">
        <v>718</v>
      </c>
      <c r="I129" s="78" t="str">
        <f t="shared" si="18"/>
        <v>C_조조님. 그대에겐 이미 공을 세워
빚을 다 갚았다 생각하오.</v>
      </c>
    </row>
    <row r="130" spans="1:9" x14ac:dyDescent="0.3">
      <c r="A130" t="s">
        <v>663</v>
      </c>
      <c r="B130">
        <f t="shared" si="19"/>
        <v>9</v>
      </c>
      <c r="C130" t="str">
        <f t="shared" si="21"/>
        <v>NODE_27_9</v>
      </c>
      <c r="E130" t="str">
        <f>VLOOKUP(F130,Overview!$A$1:$B$28,2,FALSE)</f>
        <v>GuanYu</v>
      </c>
      <c r="F130" t="s">
        <v>6</v>
      </c>
      <c r="G130" s="3" t="s">
        <v>707</v>
      </c>
      <c r="I130" s="78" t="str">
        <f t="shared" si="18"/>
        <v>C_그대는 그대의 일을 하시오.</v>
      </c>
    </row>
    <row r="131" spans="1:9" x14ac:dyDescent="0.3">
      <c r="A131" t="s">
        <v>663</v>
      </c>
      <c r="B131">
        <f t="shared" si="19"/>
        <v>10</v>
      </c>
      <c r="C131" t="str">
        <f t="shared" si="21"/>
        <v>NODE_27_10</v>
      </c>
      <c r="E131" t="str">
        <f>VLOOKUP(F131,Overview!$A$1:$B$28,2,FALSE)</f>
        <v>CaoCao</v>
      </c>
      <c r="F131" t="s">
        <v>50</v>
      </c>
      <c r="G131" s="3" t="s">
        <v>653</v>
      </c>
      <c r="I131" s="78" t="str">
        <f t="shared" si="18"/>
        <v>C_어찌 그런 소리를 하시는거요?</v>
      </c>
    </row>
    <row r="132" spans="1:9" ht="33" x14ac:dyDescent="0.3">
      <c r="A132" t="s">
        <v>663</v>
      </c>
      <c r="B132">
        <f t="shared" si="19"/>
        <v>11</v>
      </c>
      <c r="C132" t="str">
        <f t="shared" si="21"/>
        <v>NODE_27_11</v>
      </c>
      <c r="E132" t="str">
        <f>VLOOKUP(F132,Overview!$A$1:$B$28,2,FALSE)</f>
        <v>GuanYu</v>
      </c>
      <c r="F132" t="s">
        <v>6</v>
      </c>
      <c r="G132" s="3" t="s">
        <v>722</v>
      </c>
      <c r="I132" s="78" t="str">
        <f t="shared" si="18"/>
        <v>C_유비 형님이 안계신 이상
한 왕실의 운명도 여기까지요.</v>
      </c>
    </row>
    <row r="133" spans="1:9" ht="33" x14ac:dyDescent="0.3">
      <c r="A133" t="s">
        <v>663</v>
      </c>
      <c r="B133">
        <f t="shared" si="19"/>
        <v>12</v>
      </c>
      <c r="C133" t="str">
        <f t="shared" si="21"/>
        <v>NODE_27_12</v>
      </c>
      <c r="E133" t="str">
        <f>VLOOKUP(F133,Overview!$A$1:$B$28,2,FALSE)</f>
        <v>CaoCao</v>
      </c>
      <c r="F133" t="s">
        <v>50</v>
      </c>
      <c r="G133" s="3" t="s">
        <v>727</v>
      </c>
      <c r="I133" s="78" t="str">
        <f t="shared" si="18"/>
        <v>C_나를 도와 한 왕실을 부흥 시키고,
천하를 안정토록 하면 될 것 아니오?</v>
      </c>
    </row>
    <row r="134" spans="1:9" ht="33" x14ac:dyDescent="0.3">
      <c r="A134" t="s">
        <v>663</v>
      </c>
      <c r="B134">
        <f t="shared" si="19"/>
        <v>13</v>
      </c>
      <c r="C134" t="str">
        <f t="shared" si="21"/>
        <v>NODE_27_13</v>
      </c>
      <c r="E134" t="str">
        <f>VLOOKUP(F134,Overview!$A$1:$B$28,2,FALSE)</f>
        <v>GuanYu</v>
      </c>
      <c r="F134" t="s">
        <v>6</v>
      </c>
      <c r="G134" s="3" t="s">
        <v>723</v>
      </c>
      <c r="I134" s="78" t="str">
        <f t="shared" si="18"/>
        <v>C_조조님, 그대에게 한 왕실은
그저 도구일 뿐이지 않소.</v>
      </c>
    </row>
    <row r="135" spans="1:9" x14ac:dyDescent="0.3">
      <c r="A135" t="s">
        <v>663</v>
      </c>
      <c r="B135">
        <f t="shared" si="19"/>
        <v>14</v>
      </c>
      <c r="C135" t="str">
        <f t="shared" si="21"/>
        <v>NODE_27_14</v>
      </c>
      <c r="E135" t="str">
        <f>VLOOKUP(F135,Overview!$A$1:$B$28,2,FALSE)</f>
        <v>CaoCao</v>
      </c>
      <c r="F135" t="s">
        <v>50</v>
      </c>
      <c r="G135" s="3" t="s">
        <v>655</v>
      </c>
      <c r="I135" s="78" t="str">
        <f t="shared" si="18"/>
        <v>C_그..그건..</v>
      </c>
    </row>
    <row r="136" spans="1:9" x14ac:dyDescent="0.3">
      <c r="A136" t="s">
        <v>663</v>
      </c>
      <c r="B136">
        <f t="shared" si="19"/>
        <v>15</v>
      </c>
      <c r="C136" t="str">
        <f t="shared" si="21"/>
        <v>NODE_27_15</v>
      </c>
      <c r="E136" t="str">
        <f>VLOOKUP(F136,Overview!$A$1:$B$28,2,FALSE)</f>
        <v>XunYu</v>
      </c>
      <c r="F136" t="s">
        <v>654</v>
      </c>
      <c r="G136" s="3" t="s">
        <v>768</v>
      </c>
      <c r="I136" s="78" t="str">
        <f t="shared" si="18"/>
        <v>C_관 장군! 말씀이 너무 지나치시오!</v>
      </c>
    </row>
    <row r="137" spans="1:9" ht="33" x14ac:dyDescent="0.3">
      <c r="A137" t="s">
        <v>663</v>
      </c>
      <c r="B137">
        <f t="shared" si="19"/>
        <v>16</v>
      </c>
      <c r="C137" t="str">
        <f t="shared" si="21"/>
        <v>NODE_27_16</v>
      </c>
      <c r="E137" t="str">
        <f>VLOOKUP(F137,Overview!$A$1:$B$28,2,FALSE)</f>
        <v>XunYu</v>
      </c>
      <c r="F137" t="s">
        <v>654</v>
      </c>
      <c r="G137" s="3" t="s">
        <v>704</v>
      </c>
      <c r="I137" s="78" t="str">
        <f t="shared" si="18"/>
        <v>C_우리 주군께선 그런
파렴치한 자가 아니오!</v>
      </c>
    </row>
    <row r="138" spans="1:9" x14ac:dyDescent="0.3">
      <c r="A138" t="s">
        <v>663</v>
      </c>
      <c r="B138">
        <f t="shared" si="19"/>
        <v>17</v>
      </c>
      <c r="C138" t="str">
        <f t="shared" si="21"/>
        <v>NODE_27_17</v>
      </c>
      <c r="E138" t="str">
        <f>VLOOKUP(F138,Overview!$A$1:$B$28,2,FALSE)</f>
        <v>CaoCao</v>
      </c>
      <c r="F138" t="s">
        <v>50</v>
      </c>
      <c r="G138" s="3" t="s">
        <v>708</v>
      </c>
      <c r="I138" s="78" t="str">
        <f t="shared" si="18"/>
        <v>C_.. 저기..</v>
      </c>
    </row>
    <row r="139" spans="1:9" ht="49.5" x14ac:dyDescent="0.3">
      <c r="A139" t="s">
        <v>663</v>
      </c>
      <c r="B139">
        <f t="shared" si="19"/>
        <v>18</v>
      </c>
      <c r="C139" t="str">
        <f t="shared" si="21"/>
        <v>NODE_27_18</v>
      </c>
      <c r="E139" t="str">
        <f>VLOOKUP(F139,Overview!$A$1:$B$28,2,FALSE)</f>
        <v>XunYu</v>
      </c>
      <c r="F139" t="s">
        <v>654</v>
      </c>
      <c r="G139" s="3" t="s">
        <v>724</v>
      </c>
      <c r="I139" s="78" t="str">
        <f t="shared" si="18"/>
        <v>C_만약 한 왕실의 녹을 받으면서
한치라도 그런 마음을 먹는다면
천벌을 받아 마땅할 것이오!!</v>
      </c>
    </row>
    <row r="140" spans="1:9" x14ac:dyDescent="0.3">
      <c r="A140" t="s">
        <v>663</v>
      </c>
      <c r="B140">
        <f t="shared" si="19"/>
        <v>19</v>
      </c>
      <c r="C140" t="str">
        <f t="shared" si="21"/>
        <v>NODE_27_19</v>
      </c>
      <c r="E140" t="str">
        <f>VLOOKUP(F140,Overview!$A$1:$B$28,2,FALSE)</f>
        <v>XunYu</v>
      </c>
      <c r="F140" t="s">
        <v>654</v>
      </c>
      <c r="G140" s="3" t="s">
        <v>656</v>
      </c>
      <c r="I140" s="78" t="str">
        <f t="shared" si="18"/>
        <v>C_그렇지 않습니까, 주군.</v>
      </c>
    </row>
    <row r="141" spans="1:9" x14ac:dyDescent="0.3">
      <c r="A141" t="s">
        <v>663</v>
      </c>
      <c r="B141">
        <f t="shared" si="19"/>
        <v>20</v>
      </c>
      <c r="C141" t="str">
        <f t="shared" si="21"/>
        <v>NODE_27_20</v>
      </c>
      <c r="E141" t="str">
        <f>VLOOKUP(F141,Overview!$A$1:$B$28,2,FALSE)</f>
        <v>CaoCao</v>
      </c>
      <c r="F141" t="s">
        <v>50</v>
      </c>
      <c r="G141" s="3" t="s">
        <v>676</v>
      </c>
      <c r="I141" s="78" t="str">
        <f t="shared" si="18"/>
        <v>C_.. - -+</v>
      </c>
    </row>
    <row r="142" spans="1:9" x14ac:dyDescent="0.3">
      <c r="A142" t="s">
        <v>663</v>
      </c>
      <c r="B142">
        <f t="shared" si="19"/>
        <v>21</v>
      </c>
      <c r="C142" t="str">
        <f t="shared" si="21"/>
        <v>NODE_27_21</v>
      </c>
      <c r="E142" t="str">
        <f>VLOOKUP(F142,Overview!$A$1:$B$28,2,FALSE)</f>
        <v>XunYu</v>
      </c>
      <c r="F142" t="s">
        <v>654</v>
      </c>
      <c r="G142" s="3" t="s">
        <v>709</v>
      </c>
      <c r="I142" s="78" t="str">
        <f t="shared" si="18"/>
        <v>C_..??</v>
      </c>
    </row>
    <row r="143" spans="1:9" ht="33" x14ac:dyDescent="0.3">
      <c r="A143" t="s">
        <v>663</v>
      </c>
      <c r="B143">
        <f t="shared" si="19"/>
        <v>22</v>
      </c>
      <c r="C143" t="str">
        <f t="shared" si="21"/>
        <v>NODE_27_22</v>
      </c>
      <c r="E143" t="str">
        <f>VLOOKUP(F143,Overview!$A$1:$B$28,2,FALSE)</f>
        <v>CaoCao</v>
      </c>
      <c r="F143" t="s">
        <v>50</v>
      </c>
      <c r="G143" s="3" t="s">
        <v>658</v>
      </c>
      <c r="I143" s="78" t="str">
        <f t="shared" si="18"/>
        <v>C_관공! 내가 유비의 장례는
최고의 예를 다해 모셔주겠소.</v>
      </c>
    </row>
    <row r="144" spans="1:9" x14ac:dyDescent="0.3">
      <c r="A144" t="s">
        <v>663</v>
      </c>
      <c r="B144">
        <f t="shared" si="19"/>
        <v>23</v>
      </c>
      <c r="C144" t="str">
        <f t="shared" si="21"/>
        <v>NODE_27_23</v>
      </c>
      <c r="E144" t="str">
        <f>VLOOKUP(F144,Overview!$A$1:$B$28,2,FALSE)</f>
        <v>GuanYu</v>
      </c>
      <c r="F144" t="s">
        <v>6</v>
      </c>
      <c r="G144" s="3" t="s">
        <v>594</v>
      </c>
      <c r="I144" s="78" t="str">
        <f t="shared" si="18"/>
        <v>C_..</v>
      </c>
    </row>
    <row r="145" spans="1:9" ht="33" x14ac:dyDescent="0.3">
      <c r="A145" t="s">
        <v>663</v>
      </c>
      <c r="B145">
        <f t="shared" si="19"/>
        <v>24</v>
      </c>
      <c r="C145" t="str">
        <f t="shared" si="21"/>
        <v>NODE_27_24</v>
      </c>
      <c r="E145" t="str">
        <f>VLOOKUP(F145,Overview!$A$1:$B$28,2,FALSE)</f>
        <v>CaoCao</v>
      </c>
      <c r="F145" t="s">
        <v>50</v>
      </c>
      <c r="G145" s="3" t="s">
        <v>657</v>
      </c>
      <c r="I145" s="78" t="str">
        <f t="shared" si="18"/>
        <v>C_유비의 두 부인 또한 극진히
모실 것을 내 약속하겠소.</v>
      </c>
    </row>
    <row r="146" spans="1:9" ht="33" x14ac:dyDescent="0.3">
      <c r="A146" t="s">
        <v>663</v>
      </c>
      <c r="B146">
        <f t="shared" si="19"/>
        <v>25</v>
      </c>
      <c r="C146" t="str">
        <f t="shared" si="21"/>
        <v>NODE_27_25</v>
      </c>
      <c r="E146" t="str">
        <f>VLOOKUP(F146,Overview!$A$1:$B$28,2,FALSE)</f>
        <v>GuanYu</v>
      </c>
      <c r="F146" t="s">
        <v>6</v>
      </c>
      <c r="G146" s="3" t="s">
        <v>725</v>
      </c>
      <c r="I146" s="78" t="str">
        <f t="shared" si="18"/>
        <v>C_조조님.. 그대는 진심으로 한 왕실을 위하고,
백성을 먼저 생각하는 길을 갈 수 있겠소?</v>
      </c>
    </row>
    <row r="147" spans="1:9" x14ac:dyDescent="0.3">
      <c r="A147" t="s">
        <v>663</v>
      </c>
      <c r="B147">
        <f t="shared" si="19"/>
        <v>26</v>
      </c>
      <c r="C147" t="str">
        <f t="shared" si="21"/>
        <v>NODE_27_26</v>
      </c>
      <c r="E147" t="str">
        <f>VLOOKUP(F147,Overview!$A$1:$B$28,2,FALSE)</f>
        <v>CaoCao</v>
      </c>
      <c r="F147" t="s">
        <v>50</v>
      </c>
      <c r="G147" s="3" t="s">
        <v>714</v>
      </c>
      <c r="I147" s="78" t="str">
        <f t="shared" si="18"/>
        <v>C_다..당연히..</v>
      </c>
    </row>
    <row r="148" spans="1:9" ht="33" x14ac:dyDescent="0.3">
      <c r="A148" t="s">
        <v>663</v>
      </c>
      <c r="B148">
        <f t="shared" si="19"/>
        <v>27</v>
      </c>
      <c r="C148" t="str">
        <f t="shared" si="21"/>
        <v>NODE_27_27</v>
      </c>
      <c r="E148" t="str">
        <f>VLOOKUP(F148,Overview!$A$1:$B$28,2,FALSE)</f>
        <v>GuanYu</v>
      </c>
      <c r="F148" t="s">
        <v>6</v>
      </c>
      <c r="G148" s="3" t="s">
        <v>661</v>
      </c>
      <c r="I148" s="78" t="str">
        <f t="shared" si="18"/>
        <v>C_형님께서 바라시던 바는 그 것 뿐이었소.
그 것만 약조해준다면..</v>
      </c>
    </row>
    <row r="149" spans="1:9" ht="33" x14ac:dyDescent="0.3">
      <c r="A149" t="s">
        <v>663</v>
      </c>
      <c r="B149">
        <f t="shared" si="19"/>
        <v>28</v>
      </c>
      <c r="C149" t="str">
        <f t="shared" si="21"/>
        <v>NODE_27_28</v>
      </c>
      <c r="E149" t="str">
        <f>VLOOKUP(F149,Overview!$A$1:$B$28,2,FALSE)</f>
        <v>GuanYu</v>
      </c>
      <c r="F149" t="s">
        <v>6</v>
      </c>
      <c r="G149" s="3" t="s">
        <v>662</v>
      </c>
      <c r="I149" s="78" t="str">
        <f t="shared" si="18"/>
        <v>C_이 관운장! 지금 당장 
그대의 칼이 되어 주겠소!</v>
      </c>
    </row>
    <row r="150" spans="1:9" ht="33" x14ac:dyDescent="0.3">
      <c r="A150" t="s">
        <v>663</v>
      </c>
      <c r="B150">
        <f t="shared" si="19"/>
        <v>29</v>
      </c>
      <c r="C150" t="str">
        <f t="shared" si="21"/>
        <v>NODE_27_29</v>
      </c>
      <c r="E150" t="str">
        <f>VLOOKUP(F150,Overview!$A$1:$B$28,2,FALSE)</f>
        <v>CaoCao</v>
      </c>
      <c r="F150" t="s">
        <v>50</v>
      </c>
      <c r="G150" s="3" t="s">
        <v>728</v>
      </c>
      <c r="I150" s="78" t="str">
        <f t="shared" si="18"/>
        <v>C_좋소! 나 조맹덕,
관공과 하늘 앞에 맹세하겠소!</v>
      </c>
    </row>
    <row r="151" spans="1:9" ht="33" x14ac:dyDescent="0.3">
      <c r="A151" t="s">
        <v>663</v>
      </c>
      <c r="B151">
        <f t="shared" si="19"/>
        <v>30</v>
      </c>
      <c r="C151" t="str">
        <f t="shared" si="21"/>
        <v>NODE_27_30</v>
      </c>
      <c r="E151" t="str">
        <f>VLOOKUP(F151,Overview!$A$1:$B$28,2,FALSE)</f>
        <v>CaoCao</v>
      </c>
      <c r="F151" t="s">
        <v>50</v>
      </c>
      <c r="G151" s="3" t="s">
        <v>729</v>
      </c>
      <c r="I151" s="78" t="str">
        <f t="shared" si="18"/>
        <v>C_도탄에 빠진 백성을 구하고, 한 왕실의
부흥을 위해 목숨을 바치겠소이다!</v>
      </c>
    </row>
    <row r="152" spans="1:9" x14ac:dyDescent="0.3">
      <c r="A152" t="s">
        <v>663</v>
      </c>
      <c r="B152">
        <f t="shared" si="19"/>
        <v>31</v>
      </c>
      <c r="C152" t="str">
        <f t="shared" si="21"/>
        <v>NODE_27_31</v>
      </c>
      <c r="E152" t="str">
        <f>VLOOKUP(F152,Overview!$A$1:$B$28,2,FALSE)</f>
        <v>XunYu</v>
      </c>
      <c r="F152" t="s">
        <v>654</v>
      </c>
      <c r="G152" s="3" t="s">
        <v>710</v>
      </c>
      <c r="I152" s="78" t="str">
        <f t="shared" si="18"/>
        <v>C_오오!!</v>
      </c>
    </row>
    <row r="153" spans="1:9" x14ac:dyDescent="0.3">
      <c r="A153" t="s">
        <v>663</v>
      </c>
      <c r="B153">
        <f t="shared" si="19"/>
        <v>32</v>
      </c>
      <c r="C153" t="str">
        <f t="shared" si="21"/>
        <v>NODE_27_32</v>
      </c>
      <c r="E153" t="str">
        <f>VLOOKUP(F153,Overview!$A$1:$B$28,2,FALSE)</f>
        <v>ZhangLiao</v>
      </c>
      <c r="F153" t="s">
        <v>588</v>
      </c>
      <c r="G153" s="3" t="s">
        <v>726</v>
      </c>
      <c r="I153" s="78" t="str">
        <f t="shared" si="18"/>
        <v>C_음?? 갑자기 번개가..?</v>
      </c>
    </row>
    <row r="154" spans="1:9" x14ac:dyDescent="0.3">
      <c r="A154" t="s">
        <v>663</v>
      </c>
      <c r="B154">
        <f t="shared" si="19"/>
        <v>33</v>
      </c>
      <c r="C154" t="str">
        <f t="shared" si="21"/>
        <v>NODE_27_33</v>
      </c>
      <c r="E154" t="str">
        <f>VLOOKUP(F154,Overview!$A$1:$B$28,2,FALSE)</f>
        <v>GuanYu</v>
      </c>
      <c r="F154" t="s">
        <v>6</v>
      </c>
      <c r="G154" s="3" t="s">
        <v>594</v>
      </c>
      <c r="I154" s="78" t="str">
        <f t="shared" si="18"/>
        <v>C_..</v>
      </c>
    </row>
    <row r="155" spans="1:9" ht="33" x14ac:dyDescent="0.3">
      <c r="A155" t="s">
        <v>663</v>
      </c>
      <c r="B155">
        <f t="shared" si="19"/>
        <v>34</v>
      </c>
      <c r="C155" t="str">
        <f t="shared" si="21"/>
        <v>NODE_27_34</v>
      </c>
      <c r="E155" t="str">
        <f>VLOOKUP(F155,Overview!$A$1:$B$28,2,FALSE)</f>
        <v>GuanYu</v>
      </c>
      <c r="F155" t="s">
        <v>6</v>
      </c>
      <c r="G155" s="3" t="s">
        <v>716</v>
      </c>
      <c r="I155" s="78" t="str">
        <f t="shared" si="18"/>
        <v>C_조조님, 마지막으로 부탁이 있소.
내게 병력을 내어주시오.</v>
      </c>
    </row>
    <row r="156" spans="1:9" x14ac:dyDescent="0.3">
      <c r="A156" t="s">
        <v>663</v>
      </c>
      <c r="B156">
        <f t="shared" si="19"/>
        <v>35</v>
      </c>
      <c r="C156" t="str">
        <f t="shared" si="21"/>
        <v>NODE_27_35</v>
      </c>
      <c r="E156" t="str">
        <f>VLOOKUP(F156,Overview!$A$1:$B$28,2,FALSE)</f>
        <v>CaoCao</v>
      </c>
      <c r="F156" t="s">
        <v>50</v>
      </c>
      <c r="G156" s="3" t="s">
        <v>664</v>
      </c>
      <c r="I156" s="78" t="str">
        <f t="shared" si="18"/>
        <v xml:space="preserve">C_병력을..? </v>
      </c>
    </row>
    <row r="157" spans="1:9" ht="33" x14ac:dyDescent="0.3">
      <c r="A157" t="s">
        <v>663</v>
      </c>
      <c r="B157">
        <f t="shared" si="19"/>
        <v>36</v>
      </c>
      <c r="C157" t="str">
        <f t="shared" si="21"/>
        <v>NODE_27_36</v>
      </c>
      <c r="E157" t="str">
        <f>VLOOKUP(F157,Overview!$A$1:$B$28,2,FALSE)</f>
        <v>GuanYu</v>
      </c>
      <c r="F157" t="s">
        <v>6</v>
      </c>
      <c r="G157" s="3" t="s">
        <v>711</v>
      </c>
      <c r="I157" s="78" t="str">
        <f t="shared" si="18"/>
        <v>C_우선 원소의 모가지에서 흐르는 피로
형님의 넋을 달래주어야겠소.</v>
      </c>
    </row>
    <row r="158" spans="1:9" x14ac:dyDescent="0.3">
      <c r="A158" t="s">
        <v>663</v>
      </c>
      <c r="B158">
        <f t="shared" si="19"/>
        <v>37</v>
      </c>
      <c r="C158" t="str">
        <f t="shared" si="21"/>
        <v>NODE_27_37</v>
      </c>
      <c r="E158" t="str">
        <f>VLOOKUP(F158,Overview!$A$1:$B$28,2,FALSE)</f>
        <v>ZhangLiao</v>
      </c>
      <c r="F158" t="s">
        <v>588</v>
      </c>
      <c r="G158" s="3" t="s">
        <v>665</v>
      </c>
      <c r="I158" s="78" t="str">
        <f t="shared" si="18"/>
        <v>C_;;</v>
      </c>
    </row>
    <row r="159" spans="1:9" x14ac:dyDescent="0.3">
      <c r="A159" t="s">
        <v>663</v>
      </c>
      <c r="B159">
        <f t="shared" si="19"/>
        <v>38</v>
      </c>
      <c r="C159" t="str">
        <f t="shared" si="21"/>
        <v>NODE_27_38</v>
      </c>
      <c r="E159" t="str">
        <f>VLOOKUP(F159,Overview!$A$1:$B$28,2,FALSE)</f>
        <v>CaoCao</v>
      </c>
      <c r="F159" t="s">
        <v>50</v>
      </c>
      <c r="G159" s="3" t="s">
        <v>666</v>
      </c>
      <c r="I159" s="78" t="str">
        <f t="shared" ref="I159" si="22">"C_"&amp;G159</f>
        <v>C_그..그렇게 하시오..</v>
      </c>
    </row>
    <row r="161" spans="1:9" x14ac:dyDescent="0.3">
      <c r="A161" t="s">
        <v>673</v>
      </c>
      <c r="B161">
        <v>0</v>
      </c>
      <c r="C161" t="str">
        <f>CONCATENATE(A161, "_", B161, IF(D161&lt;&gt;"", "_"&amp;D161, ""))</f>
        <v>NODE_28_0</v>
      </c>
      <c r="E161" t="str">
        <f>VLOOKUP(F161,Overview!$A$1:$B$28,2,FALSE)</f>
        <v>ZhangLiao</v>
      </c>
      <c r="F161" t="s">
        <v>588</v>
      </c>
      <c r="G161" s="3" t="s">
        <v>769</v>
      </c>
      <c r="I161" s="78" t="str">
        <f t="shared" ref="I161:I170" si="23">"C_"&amp;G161</f>
        <v>C_과연 대단하십니다, 관 장군.</v>
      </c>
    </row>
    <row r="162" spans="1:9" ht="33" x14ac:dyDescent="0.3">
      <c r="A162" t="str">
        <f>A161</f>
        <v>NODE_28</v>
      </c>
      <c r="B162">
        <f t="shared" ref="B162:B199" si="24">B161+1</f>
        <v>1</v>
      </c>
      <c r="C162" t="str">
        <f>CONCATENATE(A162, "_", B162, IF(D162&lt;&gt;"", "_"&amp;D162, ""))</f>
        <v>NODE_28_1</v>
      </c>
      <c r="E162" t="str">
        <f>VLOOKUP(F162,Overview!$A$1:$B$28,2,FALSE)</f>
        <v>ZhangLiao</v>
      </c>
      <c r="F162" t="s">
        <v>588</v>
      </c>
      <c r="G162" s="3" t="s">
        <v>667</v>
      </c>
      <c r="I162" s="78" t="str">
        <f t="shared" si="23"/>
        <v>C_하북 지역을 1년만에 평정하시고,
쉬지도 않은 채 곧바로 형주 정벌이라니..</v>
      </c>
    </row>
    <row r="163" spans="1:9" ht="33" x14ac:dyDescent="0.3">
      <c r="A163" t="str">
        <f t="shared" ref="A163:A199" si="25">A162</f>
        <v>NODE_28</v>
      </c>
      <c r="B163">
        <f t="shared" si="24"/>
        <v>2</v>
      </c>
      <c r="C163" t="str">
        <f t="shared" ref="C163:C169" si="26">CONCATENATE(A163, "_", B163, IF(D163&lt;&gt;"", "_"&amp;D163, ""))</f>
        <v>NODE_28_2</v>
      </c>
      <c r="E163" t="str">
        <f>VLOOKUP(F163,Overview!$A$1:$B$28,2,FALSE)</f>
        <v>GuanYu</v>
      </c>
      <c r="F163" t="s">
        <v>6</v>
      </c>
      <c r="G163" s="3" t="s">
        <v>668</v>
      </c>
      <c r="I163" s="78" t="str">
        <f t="shared" si="23"/>
        <v>C_죄책감이 날 짓눌러 견딜 수가 없소.
멈출 수가 없구려.</v>
      </c>
    </row>
    <row r="164" spans="1:9" ht="33" x14ac:dyDescent="0.3">
      <c r="A164" t="str">
        <f t="shared" si="25"/>
        <v>NODE_28</v>
      </c>
      <c r="B164">
        <f t="shared" si="24"/>
        <v>3</v>
      </c>
      <c r="C164" t="str">
        <f t="shared" si="26"/>
        <v>NODE_28_3</v>
      </c>
      <c r="E164" t="str">
        <f>VLOOKUP(F164,Overview!$A$1:$B$28,2,FALSE)</f>
        <v>XiahouDun</v>
      </c>
      <c r="F164" t="s">
        <v>404</v>
      </c>
      <c r="G164" s="3" t="s">
        <v>791</v>
      </c>
      <c r="I164" s="78" t="str">
        <f t="shared" si="23"/>
        <v>C_하하하. 역시 관형이오.
대단하십니다!</v>
      </c>
    </row>
    <row r="165" spans="1:9" x14ac:dyDescent="0.3">
      <c r="A165" t="str">
        <f t="shared" si="25"/>
        <v>NODE_28</v>
      </c>
      <c r="B165">
        <f t="shared" si="24"/>
        <v>4</v>
      </c>
      <c r="C165" t="str">
        <f t="shared" si="26"/>
        <v>NODE_28_4</v>
      </c>
      <c r="E165" t="str">
        <f>VLOOKUP(F165,Overview!$A$1:$B$28,2,FALSE)</f>
        <v>GuanYu</v>
      </c>
      <c r="F165" t="s">
        <v>6</v>
      </c>
      <c r="G165" s="3" t="s">
        <v>594</v>
      </c>
      <c r="I165" s="78" t="str">
        <f t="shared" si="23"/>
        <v>C_..</v>
      </c>
    </row>
    <row r="166" spans="1:9" x14ac:dyDescent="0.3">
      <c r="A166" t="str">
        <f t="shared" si="25"/>
        <v>NODE_28</v>
      </c>
      <c r="B166">
        <f t="shared" si="24"/>
        <v>5</v>
      </c>
      <c r="C166" t="str">
        <f t="shared" si="26"/>
        <v>NODE_28_5</v>
      </c>
      <c r="E166" t="str">
        <f>VLOOKUP(F166,Overview!$A$1:$B$28,2,FALSE)</f>
        <v>XiahouDun</v>
      </c>
      <c r="F166" t="s">
        <v>404</v>
      </c>
      <c r="G166" s="3" t="s">
        <v>669</v>
      </c>
      <c r="I166" s="78" t="str">
        <f t="shared" si="23"/>
        <v>C_하하;;</v>
      </c>
    </row>
    <row r="167" spans="1:9" x14ac:dyDescent="0.3">
      <c r="A167" t="str">
        <f t="shared" si="25"/>
        <v>NODE_28</v>
      </c>
      <c r="B167">
        <f t="shared" si="24"/>
        <v>6</v>
      </c>
      <c r="C167" t="str">
        <f t="shared" si="26"/>
        <v>NODE_28_6</v>
      </c>
      <c r="E167" t="str">
        <f>VLOOKUP(F167,Overview!$A$1:$B$28,2,FALSE)</f>
        <v>XiahouDun</v>
      </c>
      <c r="F167" t="s">
        <v>404</v>
      </c>
      <c r="G167" s="3" t="s">
        <v>732</v>
      </c>
      <c r="I167" s="78" t="str">
        <f t="shared" si="23"/>
        <v>C_쳇.. 무안하게시리.. - _-</v>
      </c>
    </row>
    <row r="168" spans="1:9" ht="33" x14ac:dyDescent="0.3">
      <c r="A168" t="str">
        <f t="shared" si="25"/>
        <v>NODE_28</v>
      </c>
      <c r="B168">
        <f t="shared" si="24"/>
        <v>7</v>
      </c>
      <c r="C168" t="str">
        <f t="shared" si="26"/>
        <v>NODE_28_7</v>
      </c>
      <c r="E168" t="str">
        <f>VLOOKUP(F168,Overview!$A$1:$B$28,2,FALSE)</f>
        <v>XiahouYuan</v>
      </c>
      <c r="F168" t="s">
        <v>405</v>
      </c>
      <c r="G168" s="3" t="s">
        <v>730</v>
      </c>
      <c r="I168" s="78" t="str">
        <f t="shared" si="23"/>
        <v>C_아무래도 미움을
단단히 산 모양이군요.</v>
      </c>
    </row>
    <row r="169" spans="1:9" ht="33" x14ac:dyDescent="0.3">
      <c r="A169" t="str">
        <f t="shared" si="25"/>
        <v>NODE_28</v>
      </c>
      <c r="B169">
        <f t="shared" si="24"/>
        <v>8</v>
      </c>
      <c r="C169" t="str">
        <f t="shared" si="26"/>
        <v>NODE_28_8</v>
      </c>
      <c r="E169" t="str">
        <f>VLOOKUP(F169,Overview!$A$1:$B$28,2,FALSE)</f>
        <v>GuanYu</v>
      </c>
      <c r="F169" t="s">
        <v>6</v>
      </c>
      <c r="G169" s="3" t="s">
        <v>674</v>
      </c>
      <c r="I169" s="78" t="str">
        <f t="shared" si="23"/>
        <v>C_자아. 빠르게 진격하겠소.
전군, 출진하라!</v>
      </c>
    </row>
    <row r="170" spans="1:9" x14ac:dyDescent="0.3">
      <c r="A170" t="str">
        <f t="shared" si="25"/>
        <v>NODE_28</v>
      </c>
      <c r="B170">
        <f t="shared" si="24"/>
        <v>9</v>
      </c>
      <c r="C170" t="str">
        <f t="shared" ref="C170:C193" si="27">CONCATENATE(A170, "_", B170, IF(D170&lt;&gt;"", "_"&amp;D170, ""))</f>
        <v>NODE_28_9</v>
      </c>
      <c r="E170" t="str">
        <f>VLOOKUP(F170,Overview!$A$1:$B$28,2,FALSE)</f>
        <v>ZhangLiao</v>
      </c>
      <c r="F170" t="s">
        <v>588</v>
      </c>
      <c r="G170" s="3" t="s">
        <v>710</v>
      </c>
      <c r="I170" s="78" t="str">
        <f t="shared" si="23"/>
        <v>C_오오!!</v>
      </c>
    </row>
    <row r="171" spans="1:9" x14ac:dyDescent="0.3">
      <c r="A171" t="str">
        <f t="shared" si="25"/>
        <v>NODE_28</v>
      </c>
      <c r="B171">
        <f t="shared" si="24"/>
        <v>10</v>
      </c>
      <c r="C171" t="str">
        <f t="shared" si="27"/>
        <v>NODE_28_10</v>
      </c>
      <c r="E171" t="str">
        <f>VLOOKUP(F171,Overview!$A$1:$B$28,2,FALSE)</f>
        <v>XiahouDun</v>
      </c>
      <c r="F171" t="s">
        <v>404</v>
      </c>
      <c r="G171" s="3" t="s">
        <v>594</v>
      </c>
      <c r="I171" s="78" t="str">
        <f t="shared" ref="I171" si="28">"C_"&amp;G171</f>
        <v>C_..</v>
      </c>
    </row>
    <row r="172" spans="1:9" x14ac:dyDescent="0.3">
      <c r="A172" t="str">
        <f t="shared" si="25"/>
        <v>NODE_28</v>
      </c>
      <c r="B172">
        <v>11</v>
      </c>
      <c r="C172" t="str">
        <f t="shared" si="27"/>
        <v>NODE_28_11</v>
      </c>
    </row>
    <row r="173" spans="1:9" x14ac:dyDescent="0.3">
      <c r="A173" t="str">
        <f t="shared" si="25"/>
        <v>NODE_28</v>
      </c>
      <c r="B173">
        <f t="shared" si="24"/>
        <v>12</v>
      </c>
      <c r="C173" t="str">
        <f t="shared" si="27"/>
        <v>NODE_28_12</v>
      </c>
      <c r="E173" t="s">
        <v>733</v>
      </c>
      <c r="F173" t="s">
        <v>733</v>
      </c>
      <c r="G173" s="3" t="s">
        <v>741</v>
      </c>
      <c r="I173" s="78" t="str">
        <f t="shared" ref="I173:I198" si="29">"C_"&amp;G173</f>
        <v>C_으윽.. 이 악귀놈</v>
      </c>
    </row>
    <row r="174" spans="1:9" x14ac:dyDescent="0.3">
      <c r="A174" t="str">
        <f t="shared" si="25"/>
        <v>NODE_28</v>
      </c>
      <c r="B174">
        <f t="shared" si="24"/>
        <v>13</v>
      </c>
      <c r="C174" t="str">
        <f t="shared" si="27"/>
        <v>NODE_28_13</v>
      </c>
      <c r="E174" t="s">
        <v>733</v>
      </c>
      <c r="F174" t="s">
        <v>733</v>
      </c>
      <c r="G174" s="3" t="s">
        <v>742</v>
      </c>
      <c r="I174" s="78" t="str">
        <f t="shared" si="29"/>
        <v>C_으아악!!</v>
      </c>
    </row>
    <row r="175" spans="1:9" x14ac:dyDescent="0.3">
      <c r="A175" t="str">
        <f t="shared" si="25"/>
        <v>NODE_28</v>
      </c>
      <c r="B175">
        <f t="shared" si="24"/>
        <v>14</v>
      </c>
      <c r="C175" t="str">
        <f t="shared" si="27"/>
        <v>NODE_28_14</v>
      </c>
      <c r="E175" t="s">
        <v>733</v>
      </c>
      <c r="F175" t="s">
        <v>733</v>
      </c>
      <c r="G175" s="3" t="s">
        <v>744</v>
      </c>
      <c r="I175" s="78" t="str">
        <f t="shared" si="29"/>
        <v>C_으으..</v>
      </c>
    </row>
    <row r="176" spans="1:9" x14ac:dyDescent="0.3">
      <c r="A176" t="str">
        <f t="shared" si="25"/>
        <v>NODE_28</v>
      </c>
      <c r="B176">
        <f t="shared" si="24"/>
        <v>15</v>
      </c>
      <c r="C176" t="str">
        <f t="shared" si="27"/>
        <v>NODE_28_15</v>
      </c>
      <c r="E176" t="str">
        <f>VLOOKUP(F176,Overview!$A$1:$B$28,2,FALSE)</f>
        <v>GuanYu</v>
      </c>
      <c r="F176" t="s">
        <v>6</v>
      </c>
      <c r="G176" s="3" t="s">
        <v>743</v>
      </c>
      <c r="I176" s="78" t="str">
        <f t="shared" si="29"/>
        <v>C_악귀..라..</v>
      </c>
    </row>
    <row r="177" spans="1:9" ht="33" x14ac:dyDescent="0.3">
      <c r="A177" t="str">
        <f t="shared" si="25"/>
        <v>NODE_28</v>
      </c>
      <c r="B177">
        <f t="shared" si="24"/>
        <v>16</v>
      </c>
      <c r="C177" t="str">
        <f t="shared" si="27"/>
        <v>NODE_28_16</v>
      </c>
      <c r="E177" t="str">
        <f>VLOOKUP(F177,Overview!$A$1:$B$28,2,FALSE)</f>
        <v>ZhangLiao</v>
      </c>
      <c r="F177" t="s">
        <v>588</v>
      </c>
      <c r="G177" s="3" t="s">
        <v>737</v>
      </c>
      <c r="I177" s="78" t="str">
        <f t="shared" si="29"/>
        <v>C_끝이군요. 이로써
형주까지 우리 수중에..</v>
      </c>
    </row>
    <row r="178" spans="1:9" x14ac:dyDescent="0.3">
      <c r="A178" t="str">
        <f t="shared" si="25"/>
        <v>NODE_28</v>
      </c>
      <c r="B178">
        <f t="shared" si="24"/>
        <v>17</v>
      </c>
      <c r="C178" t="str">
        <f t="shared" si="27"/>
        <v>NODE_28_17</v>
      </c>
      <c r="E178" t="str">
        <f>VLOOKUP(F178,Overview!$A$1:$B$28,2,FALSE)</f>
        <v>GuanYu</v>
      </c>
      <c r="F178" t="s">
        <v>6</v>
      </c>
      <c r="G178" s="3" t="s">
        <v>591</v>
      </c>
      <c r="I178" s="78" t="str">
        <f t="shared" si="29"/>
        <v>C_..?</v>
      </c>
    </row>
    <row r="179" spans="1:9" x14ac:dyDescent="0.3">
      <c r="A179" t="str">
        <f t="shared" si="25"/>
        <v>NODE_28</v>
      </c>
      <c r="B179">
        <f t="shared" si="24"/>
        <v>18</v>
      </c>
      <c r="C179" t="str">
        <f t="shared" si="27"/>
        <v>NODE_28_18</v>
      </c>
      <c r="E179" t="str">
        <f>VLOOKUP(F179,Overview!$A$1:$B$28,2,FALSE)</f>
        <v>ZhangLiao</v>
      </c>
      <c r="F179" t="s">
        <v>588</v>
      </c>
      <c r="G179" s="3" t="s">
        <v>738</v>
      </c>
      <c r="I179" s="78" t="str">
        <f t="shared" si="29"/>
        <v>C_장군?</v>
      </c>
    </row>
    <row r="180" spans="1:9" x14ac:dyDescent="0.3">
      <c r="A180" t="str">
        <f t="shared" si="25"/>
        <v>NODE_28</v>
      </c>
      <c r="B180">
        <f t="shared" si="24"/>
        <v>19</v>
      </c>
      <c r="C180" t="str">
        <f t="shared" si="27"/>
        <v>NODE_28_19</v>
      </c>
      <c r="E180" t="e">
        <f>VLOOKUP(F180,Overview!$A$1:$B$28,2,FALSE)</f>
        <v>#N/A</v>
      </c>
      <c r="F180" t="s">
        <v>413</v>
      </c>
      <c r="G180" s="3" t="s">
        <v>739</v>
      </c>
      <c r="I180" s="78" t="str">
        <f t="shared" si="29"/>
        <v>C_사..살려주세요ㅜㅜ</v>
      </c>
    </row>
    <row r="181" spans="1:9" ht="33" x14ac:dyDescent="0.3">
      <c r="A181" t="str">
        <f t="shared" si="25"/>
        <v>NODE_28</v>
      </c>
      <c r="B181">
        <f t="shared" si="24"/>
        <v>20</v>
      </c>
      <c r="C181" t="str">
        <f t="shared" si="27"/>
        <v>NODE_28_20</v>
      </c>
      <c r="E181" t="str">
        <f>VLOOKUP(F181,Overview!$A$1:$B$28,2,FALSE)</f>
        <v>XiahouDun</v>
      </c>
      <c r="F181" t="s">
        <v>404</v>
      </c>
      <c r="G181" s="3" t="s">
        <v>792</v>
      </c>
      <c r="I181" s="78" t="str">
        <f t="shared" si="29"/>
        <v>C_뭐하는거요, 관형.
그자는 그저 농사꾼이지 않소.</v>
      </c>
    </row>
    <row r="182" spans="1:9" ht="33" x14ac:dyDescent="0.3">
      <c r="A182" t="str">
        <f t="shared" si="25"/>
        <v>NODE_28</v>
      </c>
      <c r="B182">
        <f t="shared" si="24"/>
        <v>21</v>
      </c>
      <c r="C182" t="str">
        <f t="shared" si="27"/>
        <v>NODE_28_21</v>
      </c>
      <c r="E182" t="str">
        <f>VLOOKUP(F182,Overview!$A$1:$B$28,2,FALSE)</f>
        <v>GuanYu</v>
      </c>
      <c r="F182" t="s">
        <v>6</v>
      </c>
      <c r="G182" s="3" t="s">
        <v>734</v>
      </c>
      <c r="I182" s="78" t="str">
        <f t="shared" si="29"/>
        <v>C_후훗.. 서주가 떠올라 흥분되오?
나 역시 그렇군ㅋㅋ</v>
      </c>
    </row>
    <row r="183" spans="1:9" x14ac:dyDescent="0.3">
      <c r="A183" t="str">
        <f t="shared" si="25"/>
        <v>NODE_28</v>
      </c>
      <c r="B183">
        <f t="shared" si="24"/>
        <v>22</v>
      </c>
      <c r="C183" t="str">
        <f t="shared" si="27"/>
        <v>NODE_28_22</v>
      </c>
      <c r="E183" t="str">
        <f>VLOOKUP(F183,Overview!$A$1:$B$28,2,FALSE)</f>
        <v>XiahouDun</v>
      </c>
      <c r="F183" t="s">
        <v>404</v>
      </c>
      <c r="G183" s="3" t="s">
        <v>750</v>
      </c>
      <c r="I183" s="78" t="str">
        <f t="shared" si="29"/>
        <v>C_뭐!? 그만두라고 이 자식아!!</v>
      </c>
    </row>
    <row r="184" spans="1:9" x14ac:dyDescent="0.3">
      <c r="A184" t="str">
        <f t="shared" si="25"/>
        <v>NODE_28</v>
      </c>
      <c r="B184">
        <f t="shared" si="24"/>
        <v>23</v>
      </c>
      <c r="C184" t="str">
        <f t="shared" si="27"/>
        <v>NODE_28_23</v>
      </c>
      <c r="E184" t="str">
        <f>VLOOKUP(F184,Overview!$A$1:$B$28,2,FALSE)</f>
        <v>ZhangLiao</v>
      </c>
      <c r="F184" t="s">
        <v>588</v>
      </c>
      <c r="G184" s="3" t="s">
        <v>735</v>
      </c>
      <c r="I184" s="78" t="str">
        <f t="shared" si="29"/>
        <v>C_!!</v>
      </c>
    </row>
    <row r="185" spans="1:9" x14ac:dyDescent="0.3">
      <c r="A185" t="str">
        <f t="shared" si="25"/>
        <v>NODE_28</v>
      </c>
      <c r="B185">
        <f t="shared" si="24"/>
        <v>24</v>
      </c>
      <c r="C185" t="str">
        <f t="shared" si="27"/>
        <v>NODE_28_24</v>
      </c>
      <c r="E185" t="str">
        <f>VLOOKUP(F185,Overview!$A$1:$B$28,2,FALSE)</f>
        <v>GuanYu</v>
      </c>
      <c r="F185" t="s">
        <v>6</v>
      </c>
      <c r="G185" s="3" t="s">
        <v>412</v>
      </c>
      <c r="I185" s="78" t="str">
        <f t="shared" si="29"/>
        <v>C_음??</v>
      </c>
    </row>
    <row r="186" spans="1:9" x14ac:dyDescent="0.3">
      <c r="A186" t="str">
        <f t="shared" si="25"/>
        <v>NODE_28</v>
      </c>
      <c r="B186">
        <f t="shared" si="24"/>
        <v>25</v>
      </c>
      <c r="C186" t="str">
        <f t="shared" si="27"/>
        <v>NODE_28_25</v>
      </c>
      <c r="E186" t="s">
        <v>671</v>
      </c>
      <c r="F186" t="s">
        <v>671</v>
      </c>
      <c r="G186" s="3" t="s">
        <v>747</v>
      </c>
      <c r="I186" s="78" t="str">
        <f t="shared" si="29"/>
        <v>C_흥!!</v>
      </c>
    </row>
    <row r="187" spans="1:9" x14ac:dyDescent="0.3">
      <c r="A187" t="str">
        <f t="shared" si="25"/>
        <v>NODE_28</v>
      </c>
      <c r="B187">
        <f t="shared" si="24"/>
        <v>26</v>
      </c>
      <c r="C187" t="str">
        <f t="shared" si="27"/>
        <v>NODE_28_26</v>
      </c>
      <c r="E187" t="s">
        <v>671</v>
      </c>
      <c r="F187" t="s">
        <v>671</v>
      </c>
      <c r="G187" s="3" t="s">
        <v>736</v>
      </c>
      <c r="I187" s="78" t="str">
        <f t="shared" si="29"/>
        <v>C_못봐주겠구만ㅋ</v>
      </c>
    </row>
    <row r="188" spans="1:9" x14ac:dyDescent="0.3">
      <c r="A188" t="str">
        <f t="shared" si="25"/>
        <v>NODE_28</v>
      </c>
      <c r="B188">
        <f t="shared" si="24"/>
        <v>27</v>
      </c>
      <c r="C188" t="str">
        <f t="shared" si="27"/>
        <v>NODE_28_27</v>
      </c>
      <c r="E188" t="str">
        <f>VLOOKUP(F188,Overview!$A$1:$B$28,2,FALSE)</f>
        <v>GuanYu</v>
      </c>
      <c r="F188" t="s">
        <v>6</v>
      </c>
      <c r="G188" s="3" t="s">
        <v>591</v>
      </c>
      <c r="I188" s="78" t="str">
        <f t="shared" si="29"/>
        <v>C_..?</v>
      </c>
    </row>
    <row r="189" spans="1:9" x14ac:dyDescent="0.3">
      <c r="A189" t="str">
        <f t="shared" si="25"/>
        <v>NODE_28</v>
      </c>
      <c r="B189">
        <f t="shared" si="24"/>
        <v>28</v>
      </c>
      <c r="C189" t="str">
        <f t="shared" si="27"/>
        <v>NODE_28_28</v>
      </c>
      <c r="E189" t="str">
        <f>VLOOKUP(F189,Overview!$A$1:$B$28,2,FALSE)</f>
        <v>XiahouDun</v>
      </c>
      <c r="F189" t="s">
        <v>404</v>
      </c>
      <c r="G189" s="3" t="s">
        <v>594</v>
      </c>
      <c r="I189" s="78" t="str">
        <f t="shared" si="29"/>
        <v>C_..</v>
      </c>
    </row>
    <row r="190" spans="1:9" x14ac:dyDescent="0.3">
      <c r="A190" t="str">
        <f t="shared" si="25"/>
        <v>NODE_28</v>
      </c>
      <c r="B190">
        <f t="shared" si="24"/>
        <v>29</v>
      </c>
      <c r="C190" t="str">
        <f t="shared" si="27"/>
        <v>NODE_28_29</v>
      </c>
      <c r="E190" t="str">
        <f>VLOOKUP(F190,Overview!$A$1:$B$28,2,FALSE)</f>
        <v>ZhangLiao</v>
      </c>
      <c r="F190" t="s">
        <v>588</v>
      </c>
      <c r="G190" s="3" t="s">
        <v>672</v>
      </c>
      <c r="I190" s="78" t="str">
        <f t="shared" si="29"/>
        <v>C_웬놈이냐!!</v>
      </c>
    </row>
    <row r="191" spans="1:9" ht="33" x14ac:dyDescent="0.3">
      <c r="A191" t="str">
        <f t="shared" si="25"/>
        <v>NODE_28</v>
      </c>
      <c r="B191">
        <f t="shared" si="24"/>
        <v>30</v>
      </c>
      <c r="C191" t="str">
        <f t="shared" si="27"/>
        <v>NODE_28_30</v>
      </c>
      <c r="E191" t="s">
        <v>671</v>
      </c>
      <c r="F191" t="s">
        <v>671</v>
      </c>
      <c r="G191" s="3" t="s">
        <v>751</v>
      </c>
      <c r="I191" s="78" t="str">
        <f t="shared" si="29"/>
        <v>C_모든 전장을 피로 물들이더니,
이제 백성까지 공격하는 것이냐!!</v>
      </c>
    </row>
    <row r="192" spans="1:9" ht="33" x14ac:dyDescent="0.3">
      <c r="A192" t="str">
        <f t="shared" si="25"/>
        <v>NODE_28</v>
      </c>
      <c r="B192">
        <f t="shared" si="24"/>
        <v>31</v>
      </c>
      <c r="C192" t="str">
        <f t="shared" si="27"/>
        <v>NODE_28_31</v>
      </c>
      <c r="E192" t="str">
        <f>VLOOKUP(F192,Overview!$A$1:$B$28,2,FALSE)</f>
        <v>GuanYu</v>
      </c>
      <c r="F192" t="s">
        <v>6</v>
      </c>
      <c r="G192" s="3" t="s">
        <v>745</v>
      </c>
      <c r="I192" s="78" t="str">
        <f t="shared" si="29"/>
        <v>C_어차피 살려줘봤자 나중에는
복수한답시고 달려들테지.</v>
      </c>
    </row>
    <row r="193" spans="1:9" ht="33" x14ac:dyDescent="0.3">
      <c r="A193" t="str">
        <f t="shared" si="25"/>
        <v>NODE_28</v>
      </c>
      <c r="B193">
        <f t="shared" si="24"/>
        <v>32</v>
      </c>
      <c r="C193" t="str">
        <f t="shared" si="27"/>
        <v>NODE_28_32</v>
      </c>
      <c r="E193" t="str">
        <f>VLOOKUP(F193,Overview!$A$1:$B$28,2,FALSE)</f>
        <v>GuanYu</v>
      </c>
      <c r="F193" t="s">
        <v>6</v>
      </c>
      <c r="G193" s="3" t="s">
        <v>748</v>
      </c>
      <c r="I193" s="78" t="str">
        <f t="shared" si="29"/>
        <v>C_미리 싹을 없애버리는 것 또한
전술 중 일부일 뿐ㅋㅋ</v>
      </c>
    </row>
    <row r="194" spans="1:9" x14ac:dyDescent="0.3">
      <c r="A194" t="str">
        <f t="shared" si="25"/>
        <v>NODE_28</v>
      </c>
      <c r="B194">
        <f t="shared" si="24"/>
        <v>33</v>
      </c>
      <c r="C194" t="str">
        <f t="shared" ref="C194:C196" si="30">CONCATENATE(A194, "_", B194, IF(D194&lt;&gt;"", "_"&amp;D194, ""))</f>
        <v>NODE_28_33</v>
      </c>
      <c r="E194" t="s">
        <v>671</v>
      </c>
      <c r="F194" t="s">
        <v>671</v>
      </c>
      <c r="G194" s="3" t="s">
        <v>594</v>
      </c>
      <c r="I194" s="78" t="str">
        <f t="shared" si="29"/>
        <v>C_..</v>
      </c>
    </row>
    <row r="195" spans="1:9" ht="33" x14ac:dyDescent="0.3">
      <c r="A195" t="str">
        <f t="shared" si="25"/>
        <v>NODE_28</v>
      </c>
      <c r="B195">
        <f t="shared" si="24"/>
        <v>34</v>
      </c>
      <c r="C195" t="str">
        <f t="shared" si="30"/>
        <v>NODE_28_34</v>
      </c>
      <c r="E195" t="s">
        <v>671</v>
      </c>
      <c r="F195" t="s">
        <v>671</v>
      </c>
      <c r="G195" s="3" t="s">
        <v>752</v>
      </c>
      <c r="I195" s="78" t="str">
        <f t="shared" si="29"/>
        <v>C_어이가 없군ㅋㅋ
악귀가 따로 없지 않은가ㅋ</v>
      </c>
    </row>
    <row r="196" spans="1:9" ht="33" x14ac:dyDescent="0.3">
      <c r="A196" t="str">
        <f t="shared" si="25"/>
        <v>NODE_28</v>
      </c>
      <c r="B196">
        <f t="shared" si="24"/>
        <v>35</v>
      </c>
      <c r="C196" t="str">
        <f t="shared" si="30"/>
        <v>NODE_28_35</v>
      </c>
      <c r="E196" t="s">
        <v>671</v>
      </c>
      <c r="F196" t="s">
        <v>671</v>
      </c>
      <c r="G196" s="3" t="s">
        <v>746</v>
      </c>
      <c r="I196" s="78" t="str">
        <f t="shared" si="29"/>
        <v>C_흥! 아직 내가 나설 수
없음을 감사히 여기거라!</v>
      </c>
    </row>
    <row r="197" spans="1:9" x14ac:dyDescent="0.3">
      <c r="A197" t="str">
        <f t="shared" si="25"/>
        <v>NODE_28</v>
      </c>
      <c r="B197">
        <f t="shared" si="24"/>
        <v>36</v>
      </c>
      <c r="C197" t="str">
        <f t="shared" ref="C197:C199" si="31">CONCATENATE(A197, "_", B197, IF(D197&lt;&gt;"", "_"&amp;D197, ""))</f>
        <v>NODE_28_36</v>
      </c>
      <c r="E197" t="s">
        <v>671</v>
      </c>
      <c r="F197" t="s">
        <v>671</v>
      </c>
      <c r="G197" s="3" t="s">
        <v>775</v>
      </c>
      <c r="I197" s="78" t="str">
        <f t="shared" si="29"/>
        <v>C_3년상만 아니었어도.. 에잇!!</v>
      </c>
    </row>
    <row r="198" spans="1:9" x14ac:dyDescent="0.3">
      <c r="A198" t="str">
        <f t="shared" si="25"/>
        <v>NODE_28</v>
      </c>
      <c r="B198">
        <f t="shared" si="24"/>
        <v>37</v>
      </c>
      <c r="C198" t="str">
        <f t="shared" si="31"/>
        <v>NODE_28_37</v>
      </c>
      <c r="E198" t="str">
        <f>VLOOKUP(F198,Overview!$A$1:$B$28,2,FALSE)</f>
        <v>GuanYu</v>
      </c>
      <c r="F198" t="s">
        <v>6</v>
      </c>
      <c r="G198" s="3" t="s">
        <v>594</v>
      </c>
      <c r="I198" s="78" t="str">
        <f t="shared" si="29"/>
        <v>C_..</v>
      </c>
    </row>
    <row r="199" spans="1:9" ht="33" x14ac:dyDescent="0.3">
      <c r="A199" t="str">
        <f t="shared" si="25"/>
        <v>NODE_28</v>
      </c>
      <c r="B199">
        <f t="shared" si="24"/>
        <v>38</v>
      </c>
      <c r="C199" t="str">
        <f t="shared" si="31"/>
        <v>NODE_28_38</v>
      </c>
      <c r="E199" t="str">
        <f>VLOOKUP(F199,Overview!$A$1:$B$28,2,FALSE)</f>
        <v>XiahouDun</v>
      </c>
      <c r="F199" t="s">
        <v>404</v>
      </c>
      <c r="G199" s="3" t="s">
        <v>749</v>
      </c>
      <c r="I199" s="78" t="str">
        <f t="shared" ref="I199" si="32">"C_"&amp;G199</f>
        <v>C_멧돼지 같은게,
엄청 빠르군.</v>
      </c>
    </row>
    <row r="201" spans="1:9" ht="33" x14ac:dyDescent="0.3">
      <c r="A201" t="s">
        <v>675</v>
      </c>
      <c r="B201">
        <v>0</v>
      </c>
      <c r="C201" t="str">
        <f t="shared" ref="C201:C202" si="33">CONCATENATE(A201, "_", B201, IF(D201&lt;&gt;"", "_"&amp;D201, ""))</f>
        <v>NODE_29_0</v>
      </c>
      <c r="E201" t="str">
        <f>VLOOKUP(F201,Overview!$A$1:$B$28,2,FALSE)</f>
        <v>XiahouDun</v>
      </c>
      <c r="F201" t="s">
        <v>404</v>
      </c>
      <c r="G201" s="3" t="s">
        <v>753</v>
      </c>
      <c r="I201" s="78" t="str">
        <f t="shared" ref="I201:I231" si="34">"C_"&amp;G201</f>
        <v>C_그 견고하던 강동을 평정하는데
1년이 채 안걸리다니!!</v>
      </c>
    </row>
    <row r="202" spans="1:9" x14ac:dyDescent="0.3">
      <c r="A202" t="str">
        <f>A201</f>
        <v>NODE_29</v>
      </c>
      <c r="B202">
        <f>B201+1</f>
        <v>1</v>
      </c>
      <c r="C202" t="str">
        <f t="shared" si="33"/>
        <v>NODE_29_1</v>
      </c>
      <c r="E202" t="str">
        <f>VLOOKUP(F202,Overview!$A$1:$B$28,2,FALSE)</f>
        <v>XiahouDun</v>
      </c>
      <c r="F202" t="s">
        <v>404</v>
      </c>
      <c r="G202" s="3" t="s">
        <v>793</v>
      </c>
      <c r="I202" s="78" t="str">
        <f t="shared" si="34"/>
        <v>C_역시 전장의 귀신이오!!</v>
      </c>
    </row>
    <row r="203" spans="1:9" x14ac:dyDescent="0.3">
      <c r="A203" t="str">
        <f t="shared" ref="A203:A239" si="35">A202</f>
        <v>NODE_29</v>
      </c>
      <c r="B203">
        <f t="shared" ref="B203:B239" si="36">B202+1</f>
        <v>2</v>
      </c>
      <c r="C203" t="str">
        <f t="shared" ref="C203:C237" si="37">CONCATENATE(A203, "_", B203, IF(D203&lt;&gt;"", "_"&amp;D203, ""))</f>
        <v>NODE_29_2</v>
      </c>
      <c r="E203" t="str">
        <f>VLOOKUP(F203,Overview!$A$1:$B$28,2,FALSE)</f>
        <v>GuanYu</v>
      </c>
      <c r="F203" t="s">
        <v>6</v>
      </c>
      <c r="G203" s="3" t="s">
        <v>594</v>
      </c>
      <c r="I203" s="78" t="str">
        <f t="shared" si="34"/>
        <v>C_..</v>
      </c>
    </row>
    <row r="204" spans="1:9" x14ac:dyDescent="0.3">
      <c r="A204" t="str">
        <f t="shared" si="35"/>
        <v>NODE_29</v>
      </c>
      <c r="B204">
        <f t="shared" si="36"/>
        <v>3</v>
      </c>
      <c r="C204" t="str">
        <f t="shared" si="37"/>
        <v>NODE_29_3</v>
      </c>
      <c r="E204" t="str">
        <f>VLOOKUP(F204,Overview!$A$1:$B$28,2,FALSE)</f>
        <v>XiahouDun</v>
      </c>
      <c r="F204" t="s">
        <v>404</v>
      </c>
      <c r="G204" s="3" t="s">
        <v>781</v>
      </c>
      <c r="I204" s="78" t="str">
        <f t="shared" si="34"/>
        <v>C_캬캬! 또 말이 없으시군ㅋㅋ</v>
      </c>
    </row>
    <row r="205" spans="1:9" ht="33" x14ac:dyDescent="0.3">
      <c r="A205" t="str">
        <f t="shared" si="35"/>
        <v>NODE_29</v>
      </c>
      <c r="B205">
        <f t="shared" si="36"/>
        <v>4</v>
      </c>
      <c r="C205" t="str">
        <f t="shared" si="37"/>
        <v>NODE_29_4</v>
      </c>
      <c r="E205" t="str">
        <f>VLOOKUP(F205,Overview!$A$1:$B$28,2,FALSE)</f>
        <v>GuanYu</v>
      </c>
      <c r="F205" t="s">
        <v>6</v>
      </c>
      <c r="G205" s="3" t="s">
        <v>782</v>
      </c>
      <c r="I205" s="78" t="str">
        <f t="shared" si="34"/>
        <v>C_먼저 귀환들 하시오.
난 따로 볼일 좀 보고 가겠소.</v>
      </c>
    </row>
    <row r="206" spans="1:9" ht="33" x14ac:dyDescent="0.3">
      <c r="A206" t="str">
        <f t="shared" si="35"/>
        <v>NODE_29</v>
      </c>
      <c r="B206">
        <f t="shared" si="36"/>
        <v>5</v>
      </c>
      <c r="C206" t="str">
        <f t="shared" si="37"/>
        <v>NODE_29_5</v>
      </c>
      <c r="E206" t="str">
        <f>VLOOKUP(F206,Overview!$A$1:$B$28,2,FALSE)</f>
        <v>XiahouDun</v>
      </c>
      <c r="F206" t="s">
        <v>404</v>
      </c>
      <c r="G206" s="3" t="s">
        <v>770</v>
      </c>
      <c r="I206" s="78" t="str">
        <f t="shared" si="34"/>
        <v>C_ㅋㅋ 늦으시면 승상께서 내리신 술은
내가 다 마셔버릴 거요! 캬캬캬</v>
      </c>
    </row>
    <row r="207" spans="1:9" x14ac:dyDescent="0.3">
      <c r="A207" t="str">
        <f t="shared" si="35"/>
        <v>NODE_29</v>
      </c>
      <c r="B207">
        <f t="shared" si="36"/>
        <v>6</v>
      </c>
      <c r="C207" t="str">
        <f t="shared" si="37"/>
        <v>NODE_29_6</v>
      </c>
      <c r="E207" t="str">
        <f>VLOOKUP(F207,Overview!$A$1:$B$28,2,FALSE)</f>
        <v>XiahouYuan</v>
      </c>
      <c r="F207" t="s">
        <v>405</v>
      </c>
      <c r="G207" s="3" t="s">
        <v>754</v>
      </c>
      <c r="I207" s="78" t="str">
        <f t="shared" si="34"/>
        <v>C_체통좀 지키시오, 형님.</v>
      </c>
    </row>
    <row r="208" spans="1:9" x14ac:dyDescent="0.3">
      <c r="A208" t="str">
        <f t="shared" si="35"/>
        <v>NODE_29</v>
      </c>
      <c r="B208">
        <f t="shared" si="36"/>
        <v>7</v>
      </c>
      <c r="C208" t="str">
        <f t="shared" si="37"/>
        <v>NODE_29_7</v>
      </c>
      <c r="E208" t="str">
        <f>VLOOKUP(F208,Overview!$A$1:$B$28,2,FALSE)</f>
        <v>ZhangLiao</v>
      </c>
      <c r="F208" t="s">
        <v>588</v>
      </c>
      <c r="G208" s="3" t="s">
        <v>605</v>
      </c>
      <c r="I208" s="78" t="str">
        <f t="shared" si="34"/>
        <v>C_흐음..</v>
      </c>
    </row>
    <row r="209" spans="1:9" x14ac:dyDescent="0.3">
      <c r="A209" t="str">
        <f t="shared" si="35"/>
        <v>NODE_29</v>
      </c>
      <c r="B209">
        <f t="shared" si="36"/>
        <v>8</v>
      </c>
      <c r="C209" t="str">
        <f t="shared" si="37"/>
        <v>NODE_29_8</v>
      </c>
      <c r="E209" t="str">
        <f>VLOOKUP(F209,Overview!$A$1:$B$28,2,FALSE)</f>
        <v>ZhaoYun</v>
      </c>
      <c r="F209" t="s">
        <v>10</v>
      </c>
      <c r="G209" s="3" t="s">
        <v>783</v>
      </c>
      <c r="I209" s="78" t="str">
        <f t="shared" si="34"/>
        <v>C_!?</v>
      </c>
    </row>
    <row r="210" spans="1:9" x14ac:dyDescent="0.3">
      <c r="A210" t="str">
        <f t="shared" si="35"/>
        <v>NODE_29</v>
      </c>
      <c r="B210">
        <f t="shared" si="36"/>
        <v>9</v>
      </c>
      <c r="C210" t="str">
        <f t="shared" si="37"/>
        <v>NODE_29_9</v>
      </c>
      <c r="E210" t="str">
        <f>VLOOKUP(F210,Overview!$A$1:$B$28,2,FALSE)</f>
        <v>GuanYu</v>
      </c>
      <c r="F210" t="s">
        <v>6</v>
      </c>
      <c r="G210" s="3" t="s">
        <v>784</v>
      </c>
      <c r="I210" s="78" t="str">
        <f t="shared" si="34"/>
        <v>C_창끝이 더 날카로워졌군, 자룡.</v>
      </c>
    </row>
    <row r="211" spans="1:9" ht="33" x14ac:dyDescent="0.3">
      <c r="A211" t="str">
        <f t="shared" si="35"/>
        <v>NODE_29</v>
      </c>
      <c r="B211">
        <f t="shared" si="36"/>
        <v>10</v>
      </c>
      <c r="C211" t="str">
        <f t="shared" si="37"/>
        <v>NODE_29_10</v>
      </c>
      <c r="E211" t="str">
        <f>VLOOKUP(F211,Overview!$A$1:$B$28,2,FALSE)</f>
        <v>ZhaoYun</v>
      </c>
      <c r="F211" t="s">
        <v>10</v>
      </c>
      <c r="G211" s="3" t="s">
        <v>677</v>
      </c>
      <c r="I211" s="78" t="str">
        <f t="shared" si="34"/>
        <v>C_그냥 얌전히 목을 내어
주실 순 없으십니까?</v>
      </c>
    </row>
    <row r="212" spans="1:9" x14ac:dyDescent="0.3">
      <c r="A212" t="str">
        <f t="shared" si="35"/>
        <v>NODE_29</v>
      </c>
      <c r="B212">
        <f t="shared" si="36"/>
        <v>11</v>
      </c>
      <c r="C212" t="str">
        <f t="shared" si="37"/>
        <v>NODE_29_11</v>
      </c>
      <c r="E212" t="str">
        <f>VLOOKUP(F212,Overview!$A$1:$B$28,2,FALSE)</f>
        <v>GuanYu</v>
      </c>
      <c r="F212" t="s">
        <v>6</v>
      </c>
      <c r="G212" s="3" t="s">
        <v>823</v>
      </c>
      <c r="I212" s="78" t="str">
        <f t="shared" si="34"/>
        <v>C_그럴 순 없다네..</v>
      </c>
    </row>
    <row r="213" spans="1:9" ht="33" x14ac:dyDescent="0.3">
      <c r="A213" t="str">
        <f t="shared" si="35"/>
        <v>NODE_29</v>
      </c>
      <c r="B213">
        <f t="shared" si="36"/>
        <v>12</v>
      </c>
      <c r="C213" t="str">
        <f t="shared" si="37"/>
        <v>NODE_29_12</v>
      </c>
      <c r="E213" t="str">
        <f>VLOOKUP(F213,Overview!$A$1:$B$28,2,FALSE)</f>
        <v>ZhaoYun</v>
      </c>
      <c r="F213" t="s">
        <v>10</v>
      </c>
      <c r="G213" s="3" t="s">
        <v>780</v>
      </c>
      <c r="I213" s="78" t="str">
        <f t="shared" si="34"/>
        <v>C_관우님도 느끼고 있으실 것입니다.
아수라의 기운을..</v>
      </c>
    </row>
    <row r="214" spans="1:9" ht="33" x14ac:dyDescent="0.3">
      <c r="A214" t="str">
        <f t="shared" si="35"/>
        <v>NODE_29</v>
      </c>
      <c r="B214">
        <f t="shared" si="36"/>
        <v>13</v>
      </c>
      <c r="C214" t="str">
        <f t="shared" si="37"/>
        <v>NODE_29_13</v>
      </c>
      <c r="E214" t="str">
        <f>VLOOKUP(F214,Overview!$A$1:$B$28,2,FALSE)</f>
        <v>GuanYu</v>
      </c>
      <c r="F214" t="s">
        <v>6</v>
      </c>
      <c r="G214" s="3" t="s">
        <v>755</v>
      </c>
      <c r="I214" s="78" t="str">
        <f t="shared" si="34"/>
        <v>C_아무래도 신선술을
익힌 모양이군..</v>
      </c>
    </row>
    <row r="215" spans="1:9" ht="33" x14ac:dyDescent="0.3">
      <c r="A215" t="str">
        <f t="shared" si="35"/>
        <v>NODE_29</v>
      </c>
      <c r="B215">
        <f t="shared" si="36"/>
        <v>14</v>
      </c>
      <c r="C215" t="str">
        <f t="shared" si="37"/>
        <v>NODE_29_14</v>
      </c>
      <c r="E215" t="str">
        <f>VLOOKUP(F215,Overview!$A$1:$B$28,2,FALSE)</f>
        <v>GuanYu</v>
      </c>
      <c r="F215" t="s">
        <v>6</v>
      </c>
      <c r="G215" s="3" t="s">
        <v>756</v>
      </c>
      <c r="I215" s="78" t="str">
        <f t="shared" si="34"/>
        <v>C_허나, 자네에게 내 목을
내어줄 순 없네.</v>
      </c>
    </row>
    <row r="216" spans="1:9" x14ac:dyDescent="0.3">
      <c r="A216" t="str">
        <f t="shared" si="35"/>
        <v>NODE_29</v>
      </c>
      <c r="B216">
        <f t="shared" si="36"/>
        <v>15</v>
      </c>
      <c r="C216" t="str">
        <f t="shared" si="37"/>
        <v>NODE_29_15</v>
      </c>
      <c r="E216" t="str">
        <f>VLOOKUP(F216,Overview!$A$1:$B$28,2,FALSE)</f>
        <v>ZhaoYun</v>
      </c>
      <c r="F216" t="s">
        <v>10</v>
      </c>
      <c r="G216" s="3" t="s">
        <v>757</v>
      </c>
      <c r="I216" s="78" t="str">
        <f t="shared" si="34"/>
        <v>C_..? 무슨 말씀이신지..</v>
      </c>
    </row>
    <row r="217" spans="1:9" x14ac:dyDescent="0.3">
      <c r="A217" t="str">
        <f t="shared" si="35"/>
        <v>NODE_29</v>
      </c>
      <c r="B217">
        <f t="shared" si="36"/>
        <v>16</v>
      </c>
      <c r="C217" t="str">
        <f t="shared" si="37"/>
        <v>NODE_29_16</v>
      </c>
      <c r="E217" t="str">
        <f>VLOOKUP(F217,Overview!$A$1:$B$28,2,FALSE)</f>
        <v>GuanYu</v>
      </c>
      <c r="F217" t="s">
        <v>6</v>
      </c>
      <c r="G217" s="3" t="s">
        <v>785</v>
      </c>
      <c r="I217" s="78" t="str">
        <f t="shared" si="34"/>
        <v>C_그냥 지나가 주시게, 자룡.</v>
      </c>
    </row>
    <row r="218" spans="1:9" x14ac:dyDescent="0.3">
      <c r="A218" t="str">
        <f t="shared" si="35"/>
        <v>NODE_29</v>
      </c>
      <c r="B218">
        <f t="shared" si="36"/>
        <v>17</v>
      </c>
      <c r="C218" t="str">
        <f t="shared" si="37"/>
        <v>NODE_29_17</v>
      </c>
      <c r="E218" t="str">
        <f>VLOOKUP(F218,Overview!$A$1:$B$28,2,FALSE)</f>
        <v>ZhaoYun</v>
      </c>
      <c r="F218" t="s">
        <v>10</v>
      </c>
      <c r="G218" s="3" t="s">
        <v>771</v>
      </c>
      <c r="I218" s="78" t="str">
        <f t="shared" si="34"/>
        <v>C_안됩니다. 더 늦었다간..</v>
      </c>
    </row>
    <row r="219" spans="1:9" x14ac:dyDescent="0.3">
      <c r="A219" t="str">
        <f t="shared" si="35"/>
        <v>NODE_29</v>
      </c>
      <c r="B219">
        <f t="shared" si="36"/>
        <v>18</v>
      </c>
      <c r="C219" t="str">
        <f t="shared" si="37"/>
        <v>NODE_29_18</v>
      </c>
      <c r="E219" t="str">
        <f>VLOOKUP(F219,Overview!$A$1:$B$28,2,FALSE)</f>
        <v>GuanYu</v>
      </c>
      <c r="F219" t="s">
        <v>6</v>
      </c>
      <c r="G219" s="3" t="s">
        <v>786</v>
      </c>
      <c r="I219" s="78" t="str">
        <f t="shared" si="34"/>
        <v>C_곧 끝이 날 걸세.</v>
      </c>
    </row>
    <row r="220" spans="1:9" x14ac:dyDescent="0.3">
      <c r="A220" t="str">
        <f t="shared" si="35"/>
        <v>NODE_29</v>
      </c>
      <c r="B220">
        <f t="shared" si="36"/>
        <v>19</v>
      </c>
      <c r="C220" t="str">
        <f t="shared" si="37"/>
        <v>NODE_29_19</v>
      </c>
      <c r="E220" t="str">
        <f>VLOOKUP(F220,Overview!$A$1:$B$28,2,FALSE)</f>
        <v>ZhaoYun</v>
      </c>
      <c r="F220" t="s">
        <v>10</v>
      </c>
      <c r="G220" s="3" t="s">
        <v>594</v>
      </c>
      <c r="I220" s="78" t="str">
        <f t="shared" si="34"/>
        <v>C_..</v>
      </c>
    </row>
    <row r="221" spans="1:9" ht="33" x14ac:dyDescent="0.3">
      <c r="A221" t="str">
        <f t="shared" si="35"/>
        <v>NODE_29</v>
      </c>
      <c r="B221">
        <f t="shared" si="36"/>
        <v>20</v>
      </c>
      <c r="C221" t="str">
        <f t="shared" si="37"/>
        <v>NODE_29_20</v>
      </c>
      <c r="E221" t="str">
        <f>VLOOKUP(F221,Overview!$A$1:$B$28,2,FALSE)</f>
        <v>ZhaoYun</v>
      </c>
      <c r="F221" t="s">
        <v>10</v>
      </c>
      <c r="G221" s="3" t="s">
        <v>758</v>
      </c>
      <c r="I221" s="78" t="str">
        <f t="shared" si="34"/>
        <v>C_그렇군요. 알겠습니다.
그 때까지 화기를 잘 다루십시오.</v>
      </c>
    </row>
    <row r="222" spans="1:9" ht="33" x14ac:dyDescent="0.3">
      <c r="A222" t="str">
        <f t="shared" si="35"/>
        <v>NODE_29</v>
      </c>
      <c r="B222">
        <f t="shared" si="36"/>
        <v>21</v>
      </c>
      <c r="C222" t="str">
        <f t="shared" si="37"/>
        <v>NODE_29_21</v>
      </c>
      <c r="E222" t="str">
        <f>VLOOKUP(F222,Overview!$A$1:$B$28,2,FALSE)</f>
        <v>GuanYu</v>
      </c>
      <c r="F222" t="s">
        <v>6</v>
      </c>
      <c r="G222" s="3" t="s">
        <v>787</v>
      </c>
      <c r="I222" s="78" t="str">
        <f t="shared" si="34"/>
        <v>C_알고 있네. 혹시..
만약에 말일세..</v>
      </c>
    </row>
    <row r="223" spans="1:9" x14ac:dyDescent="0.3">
      <c r="A223" t="str">
        <f t="shared" si="35"/>
        <v>NODE_29</v>
      </c>
      <c r="B223">
        <f t="shared" si="36"/>
        <v>22</v>
      </c>
      <c r="C223" t="str">
        <f t="shared" si="37"/>
        <v>NODE_29_22</v>
      </c>
      <c r="E223" t="str">
        <f>VLOOKUP(F223,Overview!$A$1:$B$28,2,FALSE)</f>
        <v>ZhangLiao</v>
      </c>
      <c r="F223" t="s">
        <v>588</v>
      </c>
      <c r="G223" s="3" t="s">
        <v>670</v>
      </c>
      <c r="I223" s="78" t="str">
        <f t="shared" si="34"/>
        <v>C_장군!!</v>
      </c>
    </row>
    <row r="224" spans="1:9" ht="33" x14ac:dyDescent="0.3">
      <c r="A224" t="str">
        <f t="shared" si="35"/>
        <v>NODE_29</v>
      </c>
      <c r="B224">
        <f t="shared" si="36"/>
        <v>23</v>
      </c>
      <c r="C224" t="str">
        <f t="shared" si="37"/>
        <v>NODE_29_23</v>
      </c>
      <c r="E224" t="str">
        <f>VLOOKUP(F224,Overview!$A$1:$B$28,2,FALSE)</f>
        <v>ZhaoYun</v>
      </c>
      <c r="F224" t="s">
        <v>10</v>
      </c>
      <c r="G224" s="3" t="s">
        <v>788</v>
      </c>
      <c r="I224" s="78" t="str">
        <f t="shared" si="34"/>
        <v>C_.. 전 이만 가보겠습니다.
늦기 전에 찾아뵙지요.</v>
      </c>
    </row>
    <row r="225" spans="1:9" x14ac:dyDescent="0.3">
      <c r="A225" t="str">
        <f t="shared" si="35"/>
        <v>NODE_29</v>
      </c>
      <c r="B225">
        <f t="shared" si="36"/>
        <v>24</v>
      </c>
      <c r="C225" t="str">
        <f t="shared" si="37"/>
        <v>NODE_29_24</v>
      </c>
      <c r="E225" t="str">
        <f>VLOOKUP(F225,Overview!$A$1:$B$28,2,FALSE)</f>
        <v>GuanYu</v>
      </c>
      <c r="F225" t="s">
        <v>6</v>
      </c>
      <c r="G225" s="3" t="s">
        <v>789</v>
      </c>
      <c r="I225" s="78" t="str">
        <f t="shared" si="34"/>
        <v>C_음.. 알겠네.</v>
      </c>
    </row>
    <row r="226" spans="1:9" ht="33" x14ac:dyDescent="0.3">
      <c r="A226" t="str">
        <f t="shared" si="35"/>
        <v>NODE_29</v>
      </c>
      <c r="B226">
        <f t="shared" si="36"/>
        <v>25</v>
      </c>
      <c r="C226" t="str">
        <f t="shared" si="37"/>
        <v>NODE_29_25</v>
      </c>
      <c r="E226" t="str">
        <f>VLOOKUP(F226,Overview!$A$1:$B$28,2,FALSE)</f>
        <v>ZhangLiao</v>
      </c>
      <c r="F226" t="s">
        <v>588</v>
      </c>
      <c r="G226" s="3" t="s">
        <v>824</v>
      </c>
      <c r="I226" s="78" t="str">
        <f t="shared" si="34"/>
        <v>C_(누구지? 아무런 기척도
못 느꼈었는데..)</v>
      </c>
    </row>
    <row r="227" spans="1:9" x14ac:dyDescent="0.3">
      <c r="A227" t="str">
        <f t="shared" si="35"/>
        <v>NODE_29</v>
      </c>
      <c r="B227">
        <f t="shared" si="36"/>
        <v>26</v>
      </c>
      <c r="C227" t="str">
        <f t="shared" si="37"/>
        <v>NODE_29_26</v>
      </c>
      <c r="E227" t="str">
        <f>VLOOKUP(F227,Overview!$A$1:$B$28,2,FALSE)</f>
        <v>GuanYu</v>
      </c>
      <c r="F227" t="s">
        <v>6</v>
      </c>
      <c r="G227" s="3" t="s">
        <v>772</v>
      </c>
      <c r="I227" s="78" t="str">
        <f t="shared" si="34"/>
        <v>C_무슨일인가, 문원.</v>
      </c>
    </row>
    <row r="228" spans="1:9" ht="33" x14ac:dyDescent="0.3">
      <c r="A228" t="str">
        <f t="shared" si="35"/>
        <v>NODE_29</v>
      </c>
      <c r="B228">
        <f t="shared" si="36"/>
        <v>27</v>
      </c>
      <c r="C228" t="str">
        <f t="shared" si="37"/>
        <v>NODE_29_27</v>
      </c>
      <c r="E228" t="str">
        <f>VLOOKUP(F228,Overview!$A$1:$B$28,2,FALSE)</f>
        <v>ZhangLiao</v>
      </c>
      <c r="F228" t="s">
        <v>588</v>
      </c>
      <c r="G228" s="3" t="s">
        <v>759</v>
      </c>
      <c r="I228" s="78" t="str">
        <f t="shared" si="34"/>
        <v>C_아!! 큰일났습니다. 지금 허도에 괴물같은
자가 나타나 궁으로 돌격하고 있습니다!</v>
      </c>
    </row>
    <row r="229" spans="1:9" x14ac:dyDescent="0.3">
      <c r="A229" t="str">
        <f t="shared" si="35"/>
        <v>NODE_29</v>
      </c>
      <c r="B229">
        <f t="shared" si="36"/>
        <v>28</v>
      </c>
      <c r="C229" t="str">
        <f t="shared" si="37"/>
        <v>NODE_29_28</v>
      </c>
      <c r="E229" t="str">
        <f>VLOOKUP(F229,Overview!$A$1:$B$28,2,FALSE)</f>
        <v>GuanYu</v>
      </c>
      <c r="F229" t="s">
        <v>6</v>
      </c>
      <c r="G229" s="3" t="s">
        <v>760</v>
      </c>
      <c r="I229" s="78" t="str">
        <f t="shared" si="34"/>
        <v>C_괴물??</v>
      </c>
    </row>
    <row r="230" spans="1:9" ht="33" x14ac:dyDescent="0.3">
      <c r="A230" t="str">
        <f t="shared" si="35"/>
        <v>NODE_29</v>
      </c>
      <c r="B230">
        <f t="shared" si="36"/>
        <v>29</v>
      </c>
      <c r="C230" t="str">
        <f t="shared" si="37"/>
        <v>NODE_29_29</v>
      </c>
      <c r="E230" t="str">
        <f>VLOOKUP(F230,Overview!$A$1:$B$28,2,FALSE)</f>
        <v>ZhangLiao</v>
      </c>
      <c r="F230" t="s">
        <v>588</v>
      </c>
      <c r="G230" s="3" t="s">
        <v>761</v>
      </c>
      <c r="I230" s="78" t="str">
        <f t="shared" si="34"/>
        <v>C_모두가 공포에 질려 꿈쩍도
못하고 잇습니다.</v>
      </c>
    </row>
    <row r="231" spans="1:9" ht="33" x14ac:dyDescent="0.3">
      <c r="A231" t="str">
        <f t="shared" si="35"/>
        <v>NODE_29</v>
      </c>
      <c r="B231">
        <f t="shared" si="36"/>
        <v>30</v>
      </c>
      <c r="C231" t="str">
        <f t="shared" si="37"/>
        <v>NODE_29_30</v>
      </c>
      <c r="E231" t="str">
        <f>VLOOKUP(F231,Overview!$A$1:$B$28,2,FALSE)</f>
        <v>ZhangLiao</v>
      </c>
      <c r="F231" t="s">
        <v>588</v>
      </c>
      <c r="G231" s="3" t="s">
        <v>762</v>
      </c>
      <c r="I231" s="78" t="str">
        <f t="shared" si="34"/>
        <v>C_아무래도 승상을 노리는 것 같은데,
그 괴물을 상대할 자는 장군 밖에 없습니다!</v>
      </c>
    </row>
    <row r="232" spans="1:9" x14ac:dyDescent="0.3">
      <c r="A232" t="str">
        <f t="shared" si="35"/>
        <v>NODE_29</v>
      </c>
      <c r="B232">
        <f t="shared" si="36"/>
        <v>31</v>
      </c>
      <c r="C232" t="str">
        <f t="shared" si="37"/>
        <v>NODE_29_31</v>
      </c>
      <c r="E232" t="str">
        <f>VLOOKUP(F232,Overview!$A$1:$B$28,2,FALSE)</f>
        <v>GuanYu</v>
      </c>
      <c r="F232" t="s">
        <v>6</v>
      </c>
      <c r="G232" s="3" t="s">
        <v>763</v>
      </c>
      <c r="I232" s="78" t="str">
        <f t="shared" ref="I232" si="38">"C_"&amp;G232</f>
        <v>C_.. 앞장 서시게.</v>
      </c>
    </row>
    <row r="233" spans="1:9" x14ac:dyDescent="0.3">
      <c r="A233" t="str">
        <f t="shared" si="35"/>
        <v>NODE_29</v>
      </c>
      <c r="B233">
        <f t="shared" si="36"/>
        <v>32</v>
      </c>
      <c r="C233" t="str">
        <f t="shared" si="37"/>
        <v>NODE_29_32</v>
      </c>
    </row>
    <row r="234" spans="1:9" x14ac:dyDescent="0.3">
      <c r="A234" t="str">
        <f t="shared" si="35"/>
        <v>NODE_29</v>
      </c>
      <c r="B234">
        <f t="shared" si="36"/>
        <v>33</v>
      </c>
      <c r="C234" t="str">
        <f t="shared" si="37"/>
        <v>NODE_29_33</v>
      </c>
      <c r="E234" t="str">
        <f>VLOOKUP(F234,Overview!$A$1:$B$28,2,FALSE)</f>
        <v>GuanYu</v>
      </c>
      <c r="F234" t="s">
        <v>6</v>
      </c>
      <c r="G234" s="3" t="s">
        <v>594</v>
      </c>
      <c r="I234" s="78" t="str">
        <f t="shared" ref="I234:I238" si="39">"C_"&amp;G234</f>
        <v>C_..</v>
      </c>
    </row>
    <row r="235" spans="1:9" ht="33" x14ac:dyDescent="0.3">
      <c r="A235" t="str">
        <f t="shared" si="35"/>
        <v>NODE_29</v>
      </c>
      <c r="B235">
        <f t="shared" si="36"/>
        <v>34</v>
      </c>
      <c r="C235" t="str">
        <f t="shared" si="37"/>
        <v>NODE_29_34</v>
      </c>
      <c r="E235" t="str">
        <f>VLOOKUP(F235,Overview!$A$1:$B$28,2,FALSE)</f>
        <v>GuanYu</v>
      </c>
      <c r="F235" t="s">
        <v>6</v>
      </c>
      <c r="G235" s="3" t="s">
        <v>825</v>
      </c>
      <c r="I235" s="78" t="str">
        <f t="shared" si="39"/>
        <v>C_급소는 모두 빗겨갔군.
괴물이라 하기엔..</v>
      </c>
    </row>
    <row r="236" spans="1:9" x14ac:dyDescent="0.3">
      <c r="A236" t="str">
        <f t="shared" si="35"/>
        <v>NODE_29</v>
      </c>
      <c r="B236">
        <f t="shared" si="36"/>
        <v>35</v>
      </c>
      <c r="C236" t="str">
        <f t="shared" si="37"/>
        <v>NODE_29_35</v>
      </c>
      <c r="E236" t="str">
        <f>VLOOKUP(F236,Overview!$A$1:$B$28,2,FALSE)</f>
        <v>GuanYu</v>
      </c>
      <c r="F236" t="s">
        <v>6</v>
      </c>
      <c r="G236" s="3" t="s">
        <v>764</v>
      </c>
      <c r="I236" s="78" t="str">
        <f t="shared" si="39"/>
        <v>C_후훗..</v>
      </c>
    </row>
    <row r="237" spans="1:9" x14ac:dyDescent="0.3">
      <c r="A237" t="str">
        <f t="shared" si="35"/>
        <v>NODE_29</v>
      </c>
      <c r="B237">
        <f t="shared" si="36"/>
        <v>36</v>
      </c>
      <c r="C237" t="str">
        <f t="shared" si="37"/>
        <v>NODE_29_36</v>
      </c>
      <c r="E237" t="str">
        <f>VLOOKUP(F237,Overview!$A$1:$B$28,2,FALSE)</f>
        <v>XiahouDun</v>
      </c>
      <c r="F237" t="s">
        <v>404</v>
      </c>
      <c r="G237" s="3" t="s">
        <v>790</v>
      </c>
      <c r="I237" s="78" t="str">
        <f t="shared" si="39"/>
        <v>C_으으.. 관형..</v>
      </c>
    </row>
    <row r="238" spans="1:9" ht="33" x14ac:dyDescent="0.3">
      <c r="A238" t="str">
        <f t="shared" si="35"/>
        <v>NODE_29</v>
      </c>
      <c r="B238">
        <f t="shared" si="36"/>
        <v>37</v>
      </c>
      <c r="C238" t="str">
        <f t="shared" ref="C238:C239" si="40">CONCATENATE(A238, "_", B238, IF(D238&lt;&gt;"", "_"&amp;D238, ""))</f>
        <v>NODE_29_37</v>
      </c>
      <c r="E238" t="str">
        <f>VLOOKUP(F238,Overview!$A$1:$B$28,2,FALSE)</f>
        <v>GuanYu</v>
      </c>
      <c r="F238" t="s">
        <v>6</v>
      </c>
      <c r="G238" s="3" t="s">
        <v>816</v>
      </c>
      <c r="I238" s="78" t="str">
        <f t="shared" si="39"/>
        <v>C_몸을 추스리게. 다녀와서
그대의 술잔을 받도록 하지.</v>
      </c>
    </row>
    <row r="239" spans="1:9" ht="33" x14ac:dyDescent="0.3">
      <c r="A239" t="str">
        <f t="shared" si="35"/>
        <v>NODE_29</v>
      </c>
      <c r="B239">
        <f t="shared" si="36"/>
        <v>38</v>
      </c>
      <c r="C239" t="str">
        <f t="shared" si="40"/>
        <v>NODE_29_38</v>
      </c>
      <c r="E239" t="str">
        <f>VLOOKUP(F239,Overview!$A$1:$B$28,2,FALSE)</f>
        <v>XiahouDun</v>
      </c>
      <c r="F239" t="s">
        <v>404</v>
      </c>
      <c r="G239" s="3" t="s">
        <v>808</v>
      </c>
      <c r="I239" s="78" t="str">
        <f t="shared" ref="I239" si="41">"C_"&amp;G239</f>
        <v>C_캬캬. 술이 식기
전엔 돌아오쇼ㅋ</v>
      </c>
    </row>
    <row r="241" spans="1:9" x14ac:dyDescent="0.3">
      <c r="A241" t="s">
        <v>689</v>
      </c>
      <c r="B241">
        <v>0</v>
      </c>
      <c r="C241" t="str">
        <f>CONCATENATE(A241, "_", B241, IF(D241&lt;&gt;"", "_"&amp;D241, ""))</f>
        <v>NODE_31_0</v>
      </c>
      <c r="E241" t="str">
        <f>VLOOKUP(F241,Overview!$A$1:$B$28,2,FALSE)</f>
        <v>CaoRen</v>
      </c>
      <c r="F241" t="s">
        <v>401</v>
      </c>
      <c r="G241" s="3" t="s">
        <v>801</v>
      </c>
      <c r="I241" s="78" t="str">
        <f t="shared" ref="I241:I264" si="42">"C_"&amp;G241</f>
        <v>C_이 괴물같은 넘..</v>
      </c>
    </row>
    <row r="242" spans="1:9" x14ac:dyDescent="0.3">
      <c r="A242" t="str">
        <f>A241</f>
        <v>NODE_31</v>
      </c>
      <c r="B242">
        <f t="shared" ref="B242:B300" si="43">B241+1</f>
        <v>1</v>
      </c>
      <c r="C242" t="str">
        <f t="shared" ref="C242" si="44">CONCATENATE(A242, "_", B242, IF(D242&lt;&gt;"", "_"&amp;D242, ""))</f>
        <v>NODE_31_1</v>
      </c>
      <c r="E242" t="str">
        <f>VLOOKUP(F242,Overview!$A$1:$B$28,2,FALSE)</f>
        <v>CaoRen</v>
      </c>
      <c r="F242" t="s">
        <v>401</v>
      </c>
      <c r="G242" s="3" t="s">
        <v>802</v>
      </c>
      <c r="I242" s="78" t="str">
        <f t="shared" si="42"/>
        <v>C_아??</v>
      </c>
    </row>
    <row r="243" spans="1:9" ht="33" x14ac:dyDescent="0.3">
      <c r="A243" t="str">
        <f t="shared" ref="A243:A300" si="45">A242</f>
        <v>NODE_31</v>
      </c>
      <c r="B243">
        <f t="shared" si="43"/>
        <v>2</v>
      </c>
      <c r="C243" t="str">
        <f t="shared" ref="C243:C246" si="46">CONCATENATE(A243, "_", B243, IF(D243&lt;&gt;"", "_"&amp;D243, ""))</f>
        <v>NODE_31_2</v>
      </c>
      <c r="E243" t="str">
        <f>VLOOKUP(F243,Overview!$A$1:$B$28,2,FALSE)</f>
        <v>ZhangFei</v>
      </c>
      <c r="F243" t="s">
        <v>8</v>
      </c>
      <c r="G243" s="3" t="s">
        <v>803</v>
      </c>
      <c r="I243" s="78" t="str">
        <f t="shared" si="42"/>
        <v>C_어휴.. 죽이지 않고 패는게
더 힘들구만..</v>
      </c>
    </row>
    <row r="244" spans="1:9" x14ac:dyDescent="0.3">
      <c r="A244" t="str">
        <f t="shared" si="45"/>
        <v>NODE_31</v>
      </c>
      <c r="B244">
        <f t="shared" si="43"/>
        <v>3</v>
      </c>
      <c r="C244" t="str">
        <f t="shared" si="46"/>
        <v>NODE_31_3</v>
      </c>
      <c r="E244" t="str">
        <f>VLOOKUP(F244,Overview!$A$1:$B$28,2,FALSE)</f>
        <v>CaoCao</v>
      </c>
      <c r="F244" t="s">
        <v>50</v>
      </c>
      <c r="G244" s="3" t="s">
        <v>795</v>
      </c>
      <c r="I244" s="78" t="str">
        <f t="shared" si="42"/>
        <v>C_멈추어라!</v>
      </c>
    </row>
    <row r="245" spans="1:9" ht="33" x14ac:dyDescent="0.3">
      <c r="A245" t="str">
        <f t="shared" si="45"/>
        <v>NODE_31</v>
      </c>
      <c r="B245">
        <f t="shared" si="43"/>
        <v>4</v>
      </c>
      <c r="C245" t="str">
        <f t="shared" si="46"/>
        <v>NODE_31_4</v>
      </c>
      <c r="E245" t="str">
        <f>VLOOKUP(F245,Overview!$A$1:$B$28,2,FALSE)</f>
        <v>ZhangFei</v>
      </c>
      <c r="F245" t="s">
        <v>8</v>
      </c>
      <c r="G245" s="3" t="s">
        <v>796</v>
      </c>
      <c r="I245" s="78" t="str">
        <f t="shared" si="42"/>
        <v>C_흥! 역적 놈이 
명을 재촉하는군ㅋ</v>
      </c>
    </row>
    <row r="246" spans="1:9" x14ac:dyDescent="0.3">
      <c r="A246" t="str">
        <f t="shared" si="45"/>
        <v>NODE_31</v>
      </c>
      <c r="B246">
        <f t="shared" si="43"/>
        <v>5</v>
      </c>
      <c r="C246" t="str">
        <f t="shared" si="46"/>
        <v>NODE_31_5</v>
      </c>
      <c r="E246" t="str">
        <f>VLOOKUP(F246,Overview!$A$1:$B$28,2,FALSE)</f>
        <v>CaoCao</v>
      </c>
      <c r="F246" t="s">
        <v>50</v>
      </c>
      <c r="G246" s="3" t="s">
        <v>773</v>
      </c>
      <c r="I246" s="78" t="str">
        <f t="shared" si="42"/>
        <v>C_역적이라고??</v>
      </c>
    </row>
    <row r="247" spans="1:9" ht="33" x14ac:dyDescent="0.3">
      <c r="A247" t="str">
        <f t="shared" si="45"/>
        <v>NODE_31</v>
      </c>
      <c r="B247">
        <f t="shared" si="43"/>
        <v>6</v>
      </c>
      <c r="C247" t="str">
        <f t="shared" ref="C247" si="47">CONCATENATE(A247, "_", B247, IF(D247&lt;&gt;"", "_"&amp;D247, ""))</f>
        <v>NODE_31_6</v>
      </c>
      <c r="E247" t="str">
        <f>VLOOKUP(F247,Overview!$A$1:$B$28,2,FALSE)</f>
        <v>ZhangFei</v>
      </c>
      <c r="F247" t="s">
        <v>8</v>
      </c>
      <c r="G247" s="3" t="s">
        <v>834</v>
      </c>
      <c r="I247" s="78" t="str">
        <f t="shared" si="42"/>
        <v>C_그 놈 이름이..
[동소]..라고 했던가??</v>
      </c>
    </row>
    <row r="248" spans="1:9" x14ac:dyDescent="0.3">
      <c r="A248" t="str">
        <f t="shared" si="45"/>
        <v>NODE_31</v>
      </c>
      <c r="B248">
        <f t="shared" si="43"/>
        <v>7</v>
      </c>
      <c r="C248" t="str">
        <f t="shared" ref="C248:C300" si="48">CONCATENATE(A248, "_", B248, IF(D248&lt;&gt;"", "_"&amp;D248, ""))</f>
        <v>NODE_31_7</v>
      </c>
      <c r="E248" t="str">
        <f>VLOOKUP(F248,Overview!$A$1:$B$28,2,FALSE)</f>
        <v>CaoCao</v>
      </c>
      <c r="F248" t="s">
        <v>50</v>
      </c>
      <c r="G248" s="3" t="s">
        <v>671</v>
      </c>
      <c r="I248" s="78" t="str">
        <f t="shared" si="42"/>
        <v>C_??</v>
      </c>
    </row>
    <row r="249" spans="1:9" ht="33" x14ac:dyDescent="0.3">
      <c r="A249" t="str">
        <f t="shared" si="45"/>
        <v>NODE_31</v>
      </c>
      <c r="B249">
        <f t="shared" si="43"/>
        <v>8</v>
      </c>
      <c r="C249" t="str">
        <f t="shared" si="48"/>
        <v>NODE_31_8</v>
      </c>
      <c r="E249" t="str">
        <f>VLOOKUP(F249,Overview!$A$1:$B$28,2,FALSE)</f>
        <v>ZhangFei</v>
      </c>
      <c r="F249" t="s">
        <v>8</v>
      </c>
      <c r="G249" s="37" t="s">
        <v>837</v>
      </c>
      <c r="I249" s="78" t="str">
        <f t="shared" si="42"/>
        <v>C_네 놈을 위왕으로 책봉하라고
황제를 부추겼다지?ㅋ</v>
      </c>
    </row>
    <row r="250" spans="1:9" ht="33" x14ac:dyDescent="0.3">
      <c r="A250" t="str">
        <f t="shared" si="45"/>
        <v>NODE_31</v>
      </c>
      <c r="B250">
        <f t="shared" si="43"/>
        <v>9</v>
      </c>
      <c r="C250" t="str">
        <f t="shared" si="48"/>
        <v>NODE_31_9</v>
      </c>
      <c r="E250" t="str">
        <f>VLOOKUP(F250,Overview!$A$1:$B$28,2,FALSE)</f>
        <v>CaoCao</v>
      </c>
      <c r="F250" t="s">
        <v>50</v>
      </c>
      <c r="G250" s="3" t="s">
        <v>836</v>
      </c>
      <c r="I250" s="78" t="str">
        <f t="shared" si="42"/>
        <v>C_어리석은!! 나는 한 나라의 신하일 뿐,
천하를 편안하게 하는 것 외엔 관심없다!</v>
      </c>
    </row>
    <row r="251" spans="1:9" ht="33" x14ac:dyDescent="0.3">
      <c r="A251" t="str">
        <f t="shared" si="45"/>
        <v>NODE_31</v>
      </c>
      <c r="B251">
        <f t="shared" si="43"/>
        <v>10</v>
      </c>
      <c r="C251" t="str">
        <f t="shared" si="48"/>
        <v>NODE_31_10</v>
      </c>
      <c r="E251" t="str">
        <f>VLOOKUP(F251,Overview!$A$1:$B$28,2,FALSE)</f>
        <v>ZhangFei</v>
      </c>
      <c r="F251" t="s">
        <v>8</v>
      </c>
      <c r="G251" s="3" t="s">
        <v>833</v>
      </c>
      <c r="I251" s="78" t="str">
        <f t="shared" si="42"/>
        <v>C_ㅋㅋ 곧 죽을 놈이
말이 많구나!!ㅋ</v>
      </c>
    </row>
    <row r="252" spans="1:9" x14ac:dyDescent="0.3">
      <c r="A252" t="str">
        <f t="shared" si="45"/>
        <v>NODE_31</v>
      </c>
      <c r="B252">
        <f t="shared" si="43"/>
        <v>11</v>
      </c>
      <c r="C252" t="str">
        <f t="shared" si="48"/>
        <v>NODE_31_11</v>
      </c>
      <c r="E252" t="str">
        <f>VLOOKUP(F252,Overview!$A$1:$B$28,2,FALSE)</f>
        <v>CaoCao</v>
      </c>
      <c r="F252" t="s">
        <v>50</v>
      </c>
      <c r="G252" s="3" t="s">
        <v>832</v>
      </c>
      <c r="I252" s="78" t="str">
        <f t="shared" si="42"/>
        <v>C_이 놈이!!</v>
      </c>
    </row>
    <row r="253" spans="1:9" x14ac:dyDescent="0.3">
      <c r="A253" t="str">
        <f t="shared" si="45"/>
        <v>NODE_31</v>
      </c>
      <c r="B253">
        <f t="shared" si="43"/>
        <v>12</v>
      </c>
      <c r="C253" t="str">
        <f t="shared" si="48"/>
        <v>NODE_31_12</v>
      </c>
      <c r="E253" t="str">
        <f>VLOOKUP(F253,Overview!$A$1:$B$28,2,FALSE)</f>
        <v>ZhangFei</v>
      </c>
      <c r="F253" t="s">
        <v>8</v>
      </c>
      <c r="G253" s="3" t="s">
        <v>783</v>
      </c>
      <c r="I253" s="78" t="str">
        <f t="shared" si="42"/>
        <v>C_!?</v>
      </c>
    </row>
    <row r="254" spans="1:9" x14ac:dyDescent="0.3">
      <c r="A254" t="str">
        <f t="shared" si="45"/>
        <v>NODE_31</v>
      </c>
      <c r="B254">
        <f t="shared" si="43"/>
        <v>13</v>
      </c>
      <c r="C254" t="str">
        <f t="shared" si="48"/>
        <v>NODE_31_13</v>
      </c>
      <c r="E254" t="str">
        <f>VLOOKUP(F254,Overview!$A$1:$B$28,2,FALSE)</f>
        <v>CaoCao</v>
      </c>
      <c r="F254" t="s">
        <v>50</v>
      </c>
      <c r="G254" s="3" t="s">
        <v>794</v>
      </c>
      <c r="I254" s="78" t="str">
        <f t="shared" si="42"/>
        <v>C_..? 관공?</v>
      </c>
    </row>
    <row r="255" spans="1:9" ht="33" x14ac:dyDescent="0.3">
      <c r="A255" t="str">
        <f t="shared" si="45"/>
        <v>NODE_31</v>
      </c>
      <c r="B255">
        <f t="shared" si="43"/>
        <v>14</v>
      </c>
      <c r="C255" t="str">
        <f t="shared" si="48"/>
        <v>NODE_31_14</v>
      </c>
      <c r="E255" t="str">
        <f>VLOOKUP(F255,Overview!$A$1:$B$28,2,FALSE)</f>
        <v>GuanYu</v>
      </c>
      <c r="F255" t="s">
        <v>6</v>
      </c>
      <c r="G255" s="3" t="s">
        <v>806</v>
      </c>
      <c r="I255" s="78" t="str">
        <f t="shared" si="42"/>
        <v>C_이번에는 번개가
안치는군요, 승상.</v>
      </c>
    </row>
    <row r="256" spans="1:9" x14ac:dyDescent="0.3">
      <c r="A256" t="str">
        <f t="shared" si="45"/>
        <v>NODE_31</v>
      </c>
      <c r="B256">
        <f t="shared" si="43"/>
        <v>15</v>
      </c>
      <c r="C256" t="str">
        <f t="shared" si="48"/>
        <v>NODE_31_15</v>
      </c>
      <c r="E256" t="str">
        <f>VLOOKUP(F256,Overview!$A$1:$B$28,2,FALSE)</f>
        <v>CaoCao</v>
      </c>
      <c r="F256" t="s">
        <v>50</v>
      </c>
      <c r="G256" s="3" t="s">
        <v>671</v>
      </c>
      <c r="I256" s="78" t="str">
        <f t="shared" si="42"/>
        <v>C_??</v>
      </c>
    </row>
    <row r="257" spans="1:9" ht="33" x14ac:dyDescent="0.3">
      <c r="A257" t="str">
        <f t="shared" si="45"/>
        <v>NODE_31</v>
      </c>
      <c r="B257">
        <f t="shared" si="43"/>
        <v>16</v>
      </c>
      <c r="C257" t="str">
        <f t="shared" si="48"/>
        <v>NODE_31_16</v>
      </c>
      <c r="E257" t="str">
        <f>VLOOKUP(F257,Overview!$A$1:$B$28,2,FALSE)</f>
        <v>ZhangLiao</v>
      </c>
      <c r="F257" t="s">
        <v>588</v>
      </c>
      <c r="G257" s="3" t="s">
        <v>807</v>
      </c>
      <c r="I257" s="78" t="str">
        <f t="shared" si="42"/>
        <v>C_주공, 일단 자리를
피하시지요.</v>
      </c>
    </row>
    <row r="258" spans="1:9" x14ac:dyDescent="0.3">
      <c r="A258" t="str">
        <f t="shared" si="45"/>
        <v>NODE_31</v>
      </c>
      <c r="B258">
        <f t="shared" si="43"/>
        <v>17</v>
      </c>
      <c r="C258" t="str">
        <f t="shared" si="48"/>
        <v>NODE_31_17</v>
      </c>
      <c r="E258" t="str">
        <f>VLOOKUP(F258,Overview!$A$1:$B$28,2,FALSE)</f>
        <v>CaoCao</v>
      </c>
      <c r="F258" t="s">
        <v>50</v>
      </c>
      <c r="G258" s="3" t="s">
        <v>804</v>
      </c>
      <c r="I258" s="78" t="str">
        <f t="shared" si="42"/>
        <v>C_..번개?</v>
      </c>
    </row>
    <row r="259" spans="1:9" ht="33" x14ac:dyDescent="0.3">
      <c r="A259" t="str">
        <f t="shared" si="45"/>
        <v>NODE_31</v>
      </c>
      <c r="B259">
        <f t="shared" si="43"/>
        <v>18</v>
      </c>
      <c r="C259" t="str">
        <f t="shared" si="48"/>
        <v>NODE_31_18</v>
      </c>
      <c r="E259" t="str">
        <f>VLOOKUP(F259,Overview!$A$1:$B$28,2,FALSE)</f>
        <v>ZhangFei</v>
      </c>
      <c r="F259" t="s">
        <v>8</v>
      </c>
      <c r="G259" s="3" t="s">
        <v>797</v>
      </c>
      <c r="I259" s="78" t="str">
        <f t="shared" si="42"/>
        <v>C_ㅋㅋ 악귀놈, 이제야 온 것이냐ㅋ
어차피 네놈 또한..</v>
      </c>
    </row>
    <row r="260" spans="1:9" ht="33" x14ac:dyDescent="0.3">
      <c r="A260" t="str">
        <f t="shared" si="45"/>
        <v>NODE_31</v>
      </c>
      <c r="B260">
        <f t="shared" si="43"/>
        <v>19</v>
      </c>
      <c r="C260" t="str">
        <f t="shared" si="48"/>
        <v>NODE_31_19</v>
      </c>
      <c r="E260" t="str">
        <f>VLOOKUP(F260,Overview!$A$1:$B$28,2,FALSE)</f>
        <v>GuanYu</v>
      </c>
      <c r="F260" t="s">
        <v>6</v>
      </c>
      <c r="G260" s="3" t="s">
        <v>835</v>
      </c>
      <c r="I260" s="78" t="str">
        <f t="shared" si="42"/>
        <v>C_유비 형님 3년상 치르느라 고생했다.
살이 좀 빠졌구나, 막내야..</v>
      </c>
    </row>
    <row r="261" spans="1:9" x14ac:dyDescent="0.3">
      <c r="A261" t="str">
        <f t="shared" si="45"/>
        <v>NODE_31</v>
      </c>
      <c r="B261">
        <f t="shared" si="43"/>
        <v>20</v>
      </c>
      <c r="C261" t="str">
        <f t="shared" si="48"/>
        <v>NODE_31_20</v>
      </c>
      <c r="E261" t="str">
        <f>VLOOKUP(F261,Overview!$A$1:$B$28,2,FALSE)</f>
        <v>ZhangFei</v>
      </c>
      <c r="F261" t="s">
        <v>8</v>
      </c>
      <c r="G261" s="3" t="s">
        <v>798</v>
      </c>
      <c r="I261" s="78" t="str">
        <f t="shared" si="42"/>
        <v>C_고생하긴 했지.. 음??</v>
      </c>
    </row>
    <row r="262" spans="1:9" x14ac:dyDescent="0.3">
      <c r="A262" t="str">
        <f t="shared" si="45"/>
        <v>NODE_31</v>
      </c>
      <c r="B262">
        <f t="shared" si="43"/>
        <v>21</v>
      </c>
      <c r="C262" t="str">
        <f t="shared" si="48"/>
        <v>NODE_31_21</v>
      </c>
      <c r="E262" t="str">
        <f>VLOOKUP(F262,Overview!$A$1:$B$28,2,FALSE)</f>
        <v>ZhangFei</v>
      </c>
      <c r="F262" t="s">
        <v>8</v>
      </c>
      <c r="G262" s="3" t="s">
        <v>799</v>
      </c>
      <c r="I262" s="78" t="str">
        <f t="shared" si="42"/>
        <v>C_뭐야!! 어떻게 안것이냐, 네놈!!</v>
      </c>
    </row>
    <row r="263" spans="1:9" ht="33" x14ac:dyDescent="0.3">
      <c r="A263" t="str">
        <f t="shared" si="45"/>
        <v>NODE_31</v>
      </c>
      <c r="B263">
        <f t="shared" si="43"/>
        <v>22</v>
      </c>
      <c r="C263" t="str">
        <f t="shared" si="48"/>
        <v>NODE_31_22</v>
      </c>
      <c r="E263" t="str">
        <f>VLOOKUP(F263,Overview!$A$1:$B$28,2,FALSE)</f>
        <v>GuanYu</v>
      </c>
      <c r="F263" t="s">
        <v>6</v>
      </c>
      <c r="G263" s="3" t="s">
        <v>678</v>
      </c>
      <c r="I263" s="78" t="str">
        <f t="shared" si="42"/>
        <v>C_.. 배불뚝이.. 짐승같은 눈매..
아름답지 못한 턱수염.. 그리고..</v>
      </c>
    </row>
    <row r="264" spans="1:9" ht="33" x14ac:dyDescent="0.3">
      <c r="A264" t="str">
        <f t="shared" si="45"/>
        <v>NODE_31</v>
      </c>
      <c r="B264">
        <f t="shared" si="43"/>
        <v>23</v>
      </c>
      <c r="C264" t="str">
        <f t="shared" si="48"/>
        <v>NODE_31_23</v>
      </c>
      <c r="E264" t="str">
        <f>VLOOKUP(F264,Overview!$A$1:$B$28,2,FALSE)</f>
        <v>ZhangFei</v>
      </c>
      <c r="F264" t="s">
        <v>8</v>
      </c>
      <c r="G264" s="3" t="s">
        <v>805</v>
      </c>
      <c r="I264" s="78" t="str">
        <f t="shared" si="42"/>
        <v>C_시끄럽다!! 큰 형님을 죽음으로 몰고,
역적 조조에게 붙어버린 배신자놈!!</v>
      </c>
    </row>
    <row r="265" spans="1:9" x14ac:dyDescent="0.3">
      <c r="A265" t="str">
        <f t="shared" si="45"/>
        <v>NODE_31</v>
      </c>
      <c r="B265">
        <f t="shared" si="43"/>
        <v>24</v>
      </c>
      <c r="C265" t="str">
        <f t="shared" si="48"/>
        <v>NODE_31_24</v>
      </c>
      <c r="E265" t="str">
        <f>VLOOKUP(F265,Overview!$A$1:$B$28,2,FALSE)</f>
        <v>GuanYu</v>
      </c>
      <c r="F265" t="s">
        <v>6</v>
      </c>
      <c r="G265" s="3" t="s">
        <v>875</v>
      </c>
      <c r="I265" s="78" t="str">
        <f t="shared" ref="I265" si="49">"C_"&amp;G265</f>
        <v>C_ㅋㅋ 오거라ㅋ</v>
      </c>
    </row>
    <row r="266" spans="1:9" x14ac:dyDescent="0.3">
      <c r="A266" t="str">
        <f t="shared" si="45"/>
        <v>NODE_31</v>
      </c>
      <c r="B266">
        <f t="shared" si="43"/>
        <v>25</v>
      </c>
      <c r="C266" t="str">
        <f t="shared" si="48"/>
        <v>NODE_31_25</v>
      </c>
    </row>
    <row r="267" spans="1:9" x14ac:dyDescent="0.3">
      <c r="A267" t="str">
        <f t="shared" si="45"/>
        <v>NODE_31</v>
      </c>
      <c r="B267">
        <f t="shared" si="43"/>
        <v>26</v>
      </c>
      <c r="C267" t="str">
        <f t="shared" si="48"/>
        <v>NODE_31_26</v>
      </c>
      <c r="E267" t="str">
        <f>VLOOKUP(F267,Overview!$A$1:$B$28,2,FALSE)</f>
        <v>ZhangFei</v>
      </c>
      <c r="F267" t="s">
        <v>8</v>
      </c>
      <c r="G267" s="3" t="s">
        <v>671</v>
      </c>
      <c r="I267" s="78" t="str">
        <f t="shared" ref="I267:I299" si="50">"C_"&amp;G267</f>
        <v>C_??</v>
      </c>
    </row>
    <row r="268" spans="1:9" ht="33" x14ac:dyDescent="0.3">
      <c r="A268" t="str">
        <f t="shared" si="45"/>
        <v>NODE_31</v>
      </c>
      <c r="B268">
        <f t="shared" si="43"/>
        <v>27</v>
      </c>
      <c r="C268" t="str">
        <f t="shared" si="48"/>
        <v>NODE_31_27</v>
      </c>
      <c r="E268" t="str">
        <f>VLOOKUP(F268,Overview!$A$1:$B$28,2,FALSE)</f>
        <v>ZhangFei</v>
      </c>
      <c r="F268" t="s">
        <v>8</v>
      </c>
      <c r="G268" s="3" t="s">
        <v>679</v>
      </c>
      <c r="I268" s="78" t="str">
        <f t="shared" si="50"/>
        <v>C_뭐냐!? 어찌하여 공격을
하지 않는 것이냐!?</v>
      </c>
    </row>
    <row r="269" spans="1:9" ht="33" x14ac:dyDescent="0.3">
      <c r="A269" t="str">
        <f t="shared" si="45"/>
        <v>NODE_31</v>
      </c>
      <c r="B269">
        <f t="shared" si="43"/>
        <v>28</v>
      </c>
      <c r="C269" t="str">
        <f t="shared" si="48"/>
        <v>NODE_31_28</v>
      </c>
      <c r="E269" t="str">
        <f>VLOOKUP(F269,Overview!$A$1:$B$28,2,FALSE)</f>
        <v>GuanYu</v>
      </c>
      <c r="F269" t="s">
        <v>6</v>
      </c>
      <c r="G269" s="3" t="s">
        <v>777</v>
      </c>
      <c r="I269" s="78" t="str">
        <f t="shared" si="50"/>
        <v>C_(3년간 술과 고기를 멀리 하더니,
무의의 경지에 올랐구나.)</v>
      </c>
    </row>
    <row r="270" spans="1:9" ht="33" x14ac:dyDescent="0.3">
      <c r="A270" t="str">
        <f t="shared" si="45"/>
        <v>NODE_31</v>
      </c>
      <c r="B270">
        <f t="shared" si="43"/>
        <v>29</v>
      </c>
      <c r="C270" t="str">
        <f t="shared" si="48"/>
        <v>NODE_31_29</v>
      </c>
      <c r="E270" t="str">
        <f>VLOOKUP(F270,Overview!$A$1:$B$28,2,FALSE)</f>
        <v>GuanYu</v>
      </c>
      <c r="F270" t="s">
        <v>6</v>
      </c>
      <c r="G270" s="3" t="s">
        <v>840</v>
      </c>
      <c r="I270" s="78" t="str">
        <f t="shared" si="50"/>
        <v>C_훗, 겨우 이정도가
장익덕의 힘이더냐?</v>
      </c>
    </row>
    <row r="271" spans="1:9" x14ac:dyDescent="0.3">
      <c r="A271" t="str">
        <f t="shared" si="45"/>
        <v>NODE_31</v>
      </c>
      <c r="B271">
        <f t="shared" si="43"/>
        <v>30</v>
      </c>
      <c r="C271" t="str">
        <f t="shared" si="48"/>
        <v>NODE_31_30</v>
      </c>
      <c r="E271" t="str">
        <f>VLOOKUP(F271,Overview!$A$1:$B$28,2,FALSE)</f>
        <v>ZhangFei</v>
      </c>
      <c r="F271" t="s">
        <v>8</v>
      </c>
      <c r="G271" s="3" t="s">
        <v>774</v>
      </c>
      <c r="I271" s="78" t="str">
        <f t="shared" si="50"/>
        <v>C_이놈이!!</v>
      </c>
    </row>
    <row r="272" spans="1:9" x14ac:dyDescent="0.3">
      <c r="A272" t="str">
        <f t="shared" si="45"/>
        <v>NODE_31</v>
      </c>
      <c r="B272">
        <f t="shared" si="43"/>
        <v>31</v>
      </c>
      <c r="C272" t="str">
        <f t="shared" si="48"/>
        <v>NODE_31_31</v>
      </c>
      <c r="E272" t="str">
        <f>VLOOKUP(F272,Overview!$A$1:$B$28,2,FALSE)</f>
        <v>GuanYu</v>
      </c>
      <c r="F272" t="s">
        <v>6</v>
      </c>
      <c r="G272" s="3" t="s">
        <v>778</v>
      </c>
      <c r="I272" s="78" t="str">
        <f t="shared" si="50"/>
        <v>C_크윽..</v>
      </c>
    </row>
    <row r="273" spans="1:9" ht="33" x14ac:dyDescent="0.3">
      <c r="A273" t="str">
        <f t="shared" si="45"/>
        <v>NODE_31</v>
      </c>
      <c r="B273">
        <f t="shared" si="43"/>
        <v>32</v>
      </c>
      <c r="C273" t="str">
        <f t="shared" si="48"/>
        <v>NODE_31_32</v>
      </c>
      <c r="E273" t="str">
        <f>VLOOKUP(F273,Overview!$A$1:$B$28,2,FALSE)</f>
        <v>ZhangFei</v>
      </c>
      <c r="F273" t="s">
        <v>8</v>
      </c>
      <c r="G273" s="3" t="s">
        <v>680</v>
      </c>
      <c r="I273" s="78" t="str">
        <f t="shared" si="50"/>
        <v>C_뭐냐!! 네 녀석이라면 충분히
막을 수 있었을텐데.. 이놈!!</v>
      </c>
    </row>
    <row r="274" spans="1:9" x14ac:dyDescent="0.3">
      <c r="A274" t="str">
        <f t="shared" si="45"/>
        <v>NODE_31</v>
      </c>
      <c r="B274">
        <f t="shared" si="43"/>
        <v>33</v>
      </c>
      <c r="C274" t="str">
        <f t="shared" si="48"/>
        <v>NODE_31_33</v>
      </c>
      <c r="E274" t="str">
        <f>VLOOKUP(F274,Overview!$A$1:$B$28,2,FALSE)</f>
        <v>GuanYu</v>
      </c>
      <c r="F274" t="s">
        <v>6</v>
      </c>
      <c r="G274" s="3" t="s">
        <v>839</v>
      </c>
      <c r="I274" s="78" t="str">
        <f t="shared" si="50"/>
        <v>C_후훗. 이제야 안심이구나.</v>
      </c>
    </row>
    <row r="275" spans="1:9" x14ac:dyDescent="0.3">
      <c r="A275" t="str">
        <f t="shared" si="45"/>
        <v>NODE_31</v>
      </c>
      <c r="B275">
        <f t="shared" si="43"/>
        <v>34</v>
      </c>
      <c r="C275" t="str">
        <f t="shared" si="48"/>
        <v>NODE_31_34</v>
      </c>
      <c r="E275" t="str">
        <f>VLOOKUP(F275,Overview!$A$1:$B$28,2,FALSE)</f>
        <v>ZhangFei</v>
      </c>
      <c r="F275" t="s">
        <v>8</v>
      </c>
      <c r="G275" s="3" t="s">
        <v>681</v>
      </c>
      <c r="I275" s="78" t="str">
        <f t="shared" si="50"/>
        <v>C_뭐..뭐라??</v>
      </c>
    </row>
    <row r="276" spans="1:9" ht="33" x14ac:dyDescent="0.3">
      <c r="A276" t="str">
        <f t="shared" si="45"/>
        <v>NODE_31</v>
      </c>
      <c r="B276">
        <f t="shared" si="43"/>
        <v>35</v>
      </c>
      <c r="C276" t="str">
        <f t="shared" si="48"/>
        <v>NODE_31_35</v>
      </c>
      <c r="E276" t="str">
        <f>VLOOKUP(F276,Overview!$A$1:$B$28,2,FALSE)</f>
        <v>GuanYu</v>
      </c>
      <c r="F276" t="s">
        <v>6</v>
      </c>
      <c r="G276" s="3" t="s">
        <v>776</v>
      </c>
      <c r="I276" s="78" t="str">
        <f t="shared" si="50"/>
        <v>C_난 형님을 죽이고 천하를
공포에 떨어트린 악귀..</v>
      </c>
    </row>
    <row r="277" spans="1:9" ht="33" x14ac:dyDescent="0.3">
      <c r="A277" t="str">
        <f t="shared" si="45"/>
        <v>NODE_31</v>
      </c>
      <c r="B277">
        <f t="shared" si="43"/>
        <v>36</v>
      </c>
      <c r="C277" t="str">
        <f t="shared" si="48"/>
        <v>NODE_31_36</v>
      </c>
      <c r="E277" t="str">
        <f>VLOOKUP(F277,Overview!$A$1:$B$28,2,FALSE)</f>
        <v>GuanYu</v>
      </c>
      <c r="F277" t="s">
        <v>6</v>
      </c>
      <c r="G277" s="3" t="s">
        <v>779</v>
      </c>
      <c r="I277" s="78" t="str">
        <f t="shared" si="50"/>
        <v>C_너는.. 그 악귀를 물리친
영웅이 되는 것이다.. 크읔</v>
      </c>
    </row>
    <row r="278" spans="1:9" ht="33" x14ac:dyDescent="0.3">
      <c r="A278" t="str">
        <f t="shared" si="45"/>
        <v>NODE_31</v>
      </c>
      <c r="B278">
        <f t="shared" si="43"/>
        <v>37</v>
      </c>
      <c r="C278" t="str">
        <f t="shared" si="48"/>
        <v>NODE_31_37</v>
      </c>
      <c r="E278" t="str">
        <f>VLOOKUP(F278,Overview!$A$1:$B$28,2,FALSE)</f>
        <v>ZhangFei</v>
      </c>
      <c r="F278" t="s">
        <v>8</v>
      </c>
      <c r="G278" s="3" t="s">
        <v>682</v>
      </c>
      <c r="I278" s="78" t="str">
        <f t="shared" si="50"/>
        <v>C_이 젠장 먹을 형님이 대체
무슨 소리를 하는거요!!</v>
      </c>
    </row>
    <row r="279" spans="1:9" ht="49.5" x14ac:dyDescent="0.3">
      <c r="A279" t="str">
        <f t="shared" si="45"/>
        <v>NODE_31</v>
      </c>
      <c r="B279">
        <f t="shared" si="43"/>
        <v>38</v>
      </c>
      <c r="C279" t="str">
        <f t="shared" si="48"/>
        <v>NODE_31_38</v>
      </c>
      <c r="E279" t="str">
        <f>VLOOKUP(F279,Overview!$A$1:$B$28,2,FALSE)</f>
        <v>GuanYu</v>
      </c>
      <c r="F279" t="s">
        <v>6</v>
      </c>
      <c r="G279" s="3" t="s">
        <v>706</v>
      </c>
      <c r="I279" s="78" t="str">
        <f t="shared" si="50"/>
        <v>C_형님이 이루고자 했던 세상에서
너는 백성들이 기댈 수 있는 무결의
신이 되어야 하느니라.</v>
      </c>
    </row>
    <row r="280" spans="1:9" x14ac:dyDescent="0.3">
      <c r="A280" t="str">
        <f t="shared" si="45"/>
        <v>NODE_31</v>
      </c>
      <c r="B280">
        <f t="shared" si="43"/>
        <v>39</v>
      </c>
      <c r="C280" t="str">
        <f t="shared" si="48"/>
        <v>NODE_31_39</v>
      </c>
      <c r="E280" t="str">
        <f>VLOOKUP(F280,Overview!$A$1:$B$28,2,FALSE)</f>
        <v>ZhangFei</v>
      </c>
      <c r="F280" t="s">
        <v>8</v>
      </c>
      <c r="G280" s="3" t="s">
        <v>831</v>
      </c>
      <c r="I280" s="78" t="str">
        <f t="shared" si="50"/>
        <v>C_혀..형님.. 그런..ㅜㅜ</v>
      </c>
    </row>
    <row r="281" spans="1:9" ht="33" x14ac:dyDescent="0.3">
      <c r="A281" t="str">
        <f t="shared" si="45"/>
        <v>NODE_31</v>
      </c>
      <c r="B281">
        <f t="shared" si="43"/>
        <v>40</v>
      </c>
      <c r="C281" t="str">
        <f t="shared" si="48"/>
        <v>NODE_31_40</v>
      </c>
      <c r="E281" t="str">
        <f>VLOOKUP(F281,Overview!$A$1:$B$28,2,FALSE)</f>
        <v>GuanYu</v>
      </c>
      <c r="F281" t="s">
        <v>6</v>
      </c>
      <c r="G281" s="3" t="s">
        <v>809</v>
      </c>
      <c r="I281" s="78" t="str">
        <f t="shared" si="50"/>
        <v>C_백성들에게는 그런 신의 존재가
필요하다. 그러니 네가..</v>
      </c>
    </row>
    <row r="282" spans="1:9" x14ac:dyDescent="0.3">
      <c r="A282" t="str">
        <f t="shared" si="45"/>
        <v>NODE_31</v>
      </c>
      <c r="B282">
        <f t="shared" si="43"/>
        <v>41</v>
      </c>
      <c r="C282" t="str">
        <f t="shared" si="48"/>
        <v>NODE_31_41</v>
      </c>
      <c r="E282" t="str">
        <f>VLOOKUP(F282,Overview!$A$1:$B$28,2,FALSE)</f>
        <v>FanJiang</v>
      </c>
      <c r="F282" t="s">
        <v>687</v>
      </c>
      <c r="G282" s="3" t="s">
        <v>829</v>
      </c>
      <c r="H282"/>
      <c r="I282" s="78" t="str">
        <f t="shared" si="50"/>
        <v>C_푸욱</v>
      </c>
    </row>
    <row r="283" spans="1:9" x14ac:dyDescent="0.3">
      <c r="A283" t="str">
        <f t="shared" si="45"/>
        <v>NODE_31</v>
      </c>
      <c r="B283">
        <f t="shared" si="43"/>
        <v>42</v>
      </c>
      <c r="C283" t="str">
        <f t="shared" si="48"/>
        <v>NODE_31_42</v>
      </c>
      <c r="E283" t="str">
        <f>VLOOKUP(F283,Overview!$A$1:$B$28,2,FALSE)</f>
        <v>ZhangFei</v>
      </c>
      <c r="F283" t="s">
        <v>8</v>
      </c>
      <c r="G283" s="3" t="s">
        <v>591</v>
      </c>
      <c r="I283" s="78" t="str">
        <f t="shared" si="50"/>
        <v>C_..?</v>
      </c>
    </row>
    <row r="284" spans="1:9" x14ac:dyDescent="0.3">
      <c r="A284" t="str">
        <f t="shared" si="45"/>
        <v>NODE_31</v>
      </c>
      <c r="B284">
        <f t="shared" si="43"/>
        <v>43</v>
      </c>
      <c r="C284" t="str">
        <f t="shared" si="48"/>
        <v>NODE_31_43</v>
      </c>
      <c r="E284" t="str">
        <f>VLOOKUP(F284,Overview!$A$1:$B$28,2,FALSE)</f>
        <v>FanJiang</v>
      </c>
      <c r="F284" t="s">
        <v>687</v>
      </c>
      <c r="G284" s="3" t="s">
        <v>814</v>
      </c>
      <c r="I284" s="78" t="str">
        <f t="shared" si="50"/>
        <v>C_잡았다!!</v>
      </c>
    </row>
    <row r="285" spans="1:9" x14ac:dyDescent="0.3">
      <c r="A285" t="str">
        <f t="shared" si="45"/>
        <v>NODE_31</v>
      </c>
      <c r="B285">
        <f t="shared" si="43"/>
        <v>44</v>
      </c>
      <c r="C285" t="str">
        <f t="shared" si="48"/>
        <v>NODE_31_44</v>
      </c>
      <c r="E285" t="str">
        <f>VLOOKUP(F285,Overview!$A$1:$B$28,2,FALSE)</f>
        <v>ZhangDa</v>
      </c>
      <c r="F285" t="s">
        <v>688</v>
      </c>
      <c r="G285" s="3" t="s">
        <v>830</v>
      </c>
      <c r="I285" s="78" t="str">
        <f t="shared" si="50"/>
        <v>C_푸우욱</v>
      </c>
    </row>
    <row r="286" spans="1:9" ht="33" x14ac:dyDescent="0.3">
      <c r="A286" t="str">
        <f t="shared" si="45"/>
        <v>NODE_31</v>
      </c>
      <c r="B286">
        <f t="shared" si="43"/>
        <v>45</v>
      </c>
      <c r="C286" t="str">
        <f t="shared" si="48"/>
        <v>NODE_31_45</v>
      </c>
      <c r="E286" t="str">
        <f>VLOOKUP(F286,Overview!$A$1:$B$28,2,FALSE)</f>
        <v>ZhangDa</v>
      </c>
      <c r="F286" t="s">
        <v>688</v>
      </c>
      <c r="G286" s="3" t="s">
        <v>815</v>
      </c>
      <c r="I286" s="78" t="str">
        <f t="shared" si="50"/>
        <v>C_하하하!! 내가 이 괴물같은
녀석의 심장을 뚫었다!!</v>
      </c>
    </row>
    <row r="287" spans="1:9" x14ac:dyDescent="0.3">
      <c r="A287" t="str">
        <f t="shared" si="45"/>
        <v>NODE_31</v>
      </c>
      <c r="B287">
        <f t="shared" si="43"/>
        <v>46</v>
      </c>
      <c r="C287" t="str">
        <f t="shared" si="48"/>
        <v>NODE_31_46</v>
      </c>
      <c r="E287" t="str">
        <f>VLOOKUP(F287,Overview!$A$1:$B$28,2,FALSE)</f>
        <v>ZhangFei</v>
      </c>
      <c r="F287" t="s">
        <v>8</v>
      </c>
      <c r="G287" s="3" t="s">
        <v>810</v>
      </c>
      <c r="I287" s="78" t="str">
        <f t="shared" si="50"/>
        <v>C_크읔..</v>
      </c>
    </row>
    <row r="288" spans="1:9" x14ac:dyDescent="0.3">
      <c r="A288" t="str">
        <f t="shared" si="45"/>
        <v>NODE_31</v>
      </c>
      <c r="B288">
        <f t="shared" si="43"/>
        <v>47</v>
      </c>
      <c r="C288" t="str">
        <f t="shared" si="48"/>
        <v>NODE_31_47</v>
      </c>
      <c r="E288" t="str">
        <f>VLOOKUP(F288,Overview!$A$1:$B$28,2,FALSE)</f>
        <v>GuanYu</v>
      </c>
      <c r="F288" t="s">
        <v>6</v>
      </c>
      <c r="G288" s="3" t="s">
        <v>811</v>
      </c>
      <c r="I288" s="78" t="str">
        <f t="shared" si="50"/>
        <v>C_이..이 버러지같은 것들이!!</v>
      </c>
    </row>
    <row r="289" spans="1:9" x14ac:dyDescent="0.3">
      <c r="A289" t="str">
        <f t="shared" si="45"/>
        <v>NODE_31</v>
      </c>
      <c r="B289">
        <f t="shared" si="43"/>
        <v>48</v>
      </c>
      <c r="C289" t="str">
        <f t="shared" si="48"/>
        <v>NODE_31_48</v>
      </c>
      <c r="E289" t="str">
        <f>VLOOKUP(F289,Overview!$A$1:$B$28,2,FALSE)</f>
        <v>GuanYu</v>
      </c>
      <c r="F289" t="s">
        <v>6</v>
      </c>
      <c r="G289" s="3" t="s">
        <v>812</v>
      </c>
      <c r="I289" s="78" t="str">
        <f t="shared" si="50"/>
        <v>C_마..막내야??</v>
      </c>
    </row>
    <row r="290" spans="1:9" x14ac:dyDescent="0.3">
      <c r="A290" t="str">
        <f t="shared" si="45"/>
        <v>NODE_31</v>
      </c>
      <c r="B290">
        <f t="shared" si="43"/>
        <v>49</v>
      </c>
      <c r="C290" t="str">
        <f t="shared" si="48"/>
        <v>NODE_31_49</v>
      </c>
      <c r="E290" t="str">
        <f>VLOOKUP(F290,Overview!$A$1:$B$28,2,FALSE)</f>
        <v>GuanYu</v>
      </c>
      <c r="F290" t="s">
        <v>6</v>
      </c>
      <c r="G290" s="3" t="s">
        <v>813</v>
      </c>
      <c r="I290" s="78" t="str">
        <f t="shared" si="50"/>
        <v>C_크윽.. 크아아아아ㅏㅏ</v>
      </c>
    </row>
    <row r="291" spans="1:9" x14ac:dyDescent="0.3">
      <c r="A291" t="str">
        <f t="shared" si="45"/>
        <v>NODE_31</v>
      </c>
      <c r="B291">
        <f t="shared" si="43"/>
        <v>50</v>
      </c>
      <c r="C291" t="str">
        <f t="shared" si="48"/>
        <v>NODE_31_50</v>
      </c>
      <c r="E291" t="str">
        <f>VLOOKUP(F291,Overview!$A$1:$B$28,2,FALSE)</f>
        <v>ZhaoYun</v>
      </c>
      <c r="F291" t="s">
        <v>10</v>
      </c>
      <c r="G291" s="3" t="s">
        <v>683</v>
      </c>
      <c r="I291" s="78" t="str">
        <f t="shared" si="50"/>
        <v>C_이..이런!!</v>
      </c>
    </row>
    <row r="292" spans="1:9" x14ac:dyDescent="0.3">
      <c r="A292" t="str">
        <f t="shared" si="45"/>
        <v>NODE_31</v>
      </c>
      <c r="B292">
        <f t="shared" si="43"/>
        <v>51</v>
      </c>
      <c r="C292" t="str">
        <f t="shared" si="48"/>
        <v>NODE_31_51</v>
      </c>
      <c r="E292" t="str">
        <f>VLOOKUP(F292,Overview!$A$1:$B$28,2,FALSE)</f>
        <v>ZhaoYun</v>
      </c>
      <c r="F292" t="s">
        <v>10</v>
      </c>
      <c r="G292" s="3" t="s">
        <v>826</v>
      </c>
      <c r="I292" s="78" t="str">
        <f t="shared" si="50"/>
        <v>C_크..큰일났다!!</v>
      </c>
    </row>
    <row r="293" spans="1:9" ht="33" x14ac:dyDescent="0.3">
      <c r="A293" t="str">
        <f t="shared" si="45"/>
        <v>NODE_31</v>
      </c>
      <c r="B293">
        <f t="shared" si="43"/>
        <v>52</v>
      </c>
      <c r="C293" t="str">
        <f t="shared" si="48"/>
        <v>NODE_31_52</v>
      </c>
      <c r="E293" t="str">
        <f>VLOOKUP(F293,Overview!$A$1:$B$28,2,FALSE)</f>
        <v>ZhaoYun</v>
      </c>
      <c r="F293" t="s">
        <v>10</v>
      </c>
      <c r="G293" s="3" t="s">
        <v>877</v>
      </c>
      <c r="I293" s="78" t="str">
        <f t="shared" si="50"/>
        <v>C_아수라가.. 현현한다..
어쩔 수 없이 최후의 수단을..</v>
      </c>
    </row>
    <row r="294" spans="1:9" x14ac:dyDescent="0.3">
      <c r="A294" t="str">
        <f>A293</f>
        <v>NODE_31</v>
      </c>
      <c r="B294">
        <f>B293+1</f>
        <v>53</v>
      </c>
      <c r="C294" t="str">
        <f t="shared" si="48"/>
        <v>NODE_31_53</v>
      </c>
      <c r="E294" t="str">
        <f>VLOOKUP(F294,Overview!$A$1:$B$28,2,FALSE)</f>
        <v>LiuBei</v>
      </c>
      <c r="F294" t="s">
        <v>4</v>
      </c>
      <c r="G294" s="3" t="s">
        <v>684</v>
      </c>
      <c r="I294" s="78" t="str">
        <f t="shared" si="50"/>
        <v>C_아으.. 바쁘다 바빠!!</v>
      </c>
    </row>
    <row r="295" spans="1:9" ht="33" x14ac:dyDescent="0.3">
      <c r="A295" t="str">
        <f t="shared" si="45"/>
        <v>NODE_31</v>
      </c>
      <c r="B295">
        <f t="shared" si="43"/>
        <v>54</v>
      </c>
      <c r="C295" t="str">
        <f t="shared" si="48"/>
        <v>NODE_31_54</v>
      </c>
      <c r="E295" t="str">
        <f>VLOOKUP(F295,Overview!$A$1:$B$28,2,FALSE)</f>
        <v>LiuBei</v>
      </c>
      <c r="F295" t="s">
        <v>4</v>
      </c>
      <c r="G295" s="3" t="s">
        <v>800</v>
      </c>
      <c r="I295" s="78" t="str">
        <f t="shared" si="50"/>
        <v>C_아깝군. 이대로만 갔어도 
좋은 흐름이었는데..</v>
      </c>
    </row>
    <row r="296" spans="1:9" ht="33" x14ac:dyDescent="0.3">
      <c r="A296" t="str">
        <f t="shared" si="45"/>
        <v>NODE_31</v>
      </c>
      <c r="B296">
        <f t="shared" si="43"/>
        <v>55</v>
      </c>
      <c r="C296" t="str">
        <f t="shared" si="48"/>
        <v>NODE_31_55</v>
      </c>
      <c r="E296" t="str">
        <f>VLOOKUP(F296,Overview!$A$1:$B$28,2,FALSE)</f>
        <v>LiuBei</v>
      </c>
      <c r="F296" t="s">
        <v>4</v>
      </c>
      <c r="G296" s="3" t="s">
        <v>827</v>
      </c>
      <c r="I296" s="78" t="str">
        <f t="shared" si="50"/>
        <v>C_범강, 장달.. 으으 저 두 놈은 어느
시간선에서든 문제를 일으키는군 - -+</v>
      </c>
    </row>
    <row r="297" spans="1:9" ht="33" x14ac:dyDescent="0.3">
      <c r="A297" t="str">
        <f t="shared" si="45"/>
        <v>NODE_31</v>
      </c>
      <c r="B297">
        <f t="shared" si="43"/>
        <v>56</v>
      </c>
      <c r="C297" t="str">
        <f t="shared" si="48"/>
        <v>NODE_31_56</v>
      </c>
      <c r="E297" t="str">
        <f>VLOOKUP(F297,Overview!$A$1:$B$28,2,FALSE)</f>
        <v>LiuBei</v>
      </c>
      <c r="F297" t="s">
        <v>4</v>
      </c>
      <c r="G297" s="3" t="s">
        <v>828</v>
      </c>
      <c r="I297" s="78" t="str">
        <f t="shared" si="50"/>
        <v>C_우선 아수라가 현현하는 건 막아야한다..
시간을 되돌릴 수 밖에..</v>
      </c>
    </row>
    <row r="298" spans="1:9" ht="33" x14ac:dyDescent="0.3">
      <c r="A298" t="str">
        <f t="shared" si="45"/>
        <v>NODE_31</v>
      </c>
      <c r="B298">
        <f t="shared" si="43"/>
        <v>57</v>
      </c>
      <c r="C298" t="str">
        <f t="shared" si="48"/>
        <v>NODE_31_57</v>
      </c>
      <c r="E298" t="str">
        <f>VLOOKUP(F298,Overview!$A$1:$B$28,2,FALSE)</f>
        <v>LiuBei</v>
      </c>
      <c r="F298" t="s">
        <v>4</v>
      </c>
      <c r="G298" s="3" t="s">
        <v>685</v>
      </c>
      <c r="I298" s="78" t="str">
        <f t="shared" si="50"/>
        <v>C_응?? 아수라를 한번
상대해보겠다고??</v>
      </c>
    </row>
    <row r="299" spans="1:9" ht="33" x14ac:dyDescent="0.3">
      <c r="A299" t="str">
        <f t="shared" si="45"/>
        <v>NODE_31</v>
      </c>
      <c r="B299">
        <f t="shared" si="43"/>
        <v>58</v>
      </c>
      <c r="C299" t="str">
        <f t="shared" si="48"/>
        <v>NODE_31_58</v>
      </c>
      <c r="E299" t="str">
        <f>VLOOKUP(F299,Overview!$A$1:$B$28,2,FALSE)</f>
        <v>LiuBei</v>
      </c>
      <c r="F299" t="s">
        <v>4</v>
      </c>
      <c r="G299" s="3" t="s">
        <v>686</v>
      </c>
      <c r="I299" s="78" t="str">
        <f t="shared" si="50"/>
        <v>C_아서라 아서. 아직은 안돼
더 강해지라고ㅋ</v>
      </c>
    </row>
    <row r="300" spans="1:9" x14ac:dyDescent="0.3">
      <c r="A300" t="str">
        <f t="shared" si="45"/>
        <v>NODE_31</v>
      </c>
      <c r="B300">
        <f t="shared" si="43"/>
        <v>59</v>
      </c>
      <c r="C300" t="str">
        <f t="shared" si="48"/>
        <v>NODE_31_59</v>
      </c>
      <c r="E300" t="str">
        <f>VLOOKUP(F300,Overview!$A$1:$B$28,2,FALSE)</f>
        <v>LiuBei</v>
      </c>
      <c r="F300" t="s">
        <v>4</v>
      </c>
      <c r="G300" s="3" t="s">
        <v>838</v>
      </c>
      <c r="I300" s="78" t="str">
        <f t="shared" ref="I300" si="51">"C_"&amp;G300</f>
        <v>C_자 그럼, 다음에 또 보자~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40" workbookViewId="0">
      <selection activeCell="G1" sqref="G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361</v>
      </c>
      <c r="B1" s="4" t="s">
        <v>123</v>
      </c>
      <c r="C1" s="4" t="s">
        <v>364</v>
      </c>
      <c r="D1" s="4" t="s">
        <v>3</v>
      </c>
      <c r="E1" s="31" t="s">
        <v>0</v>
      </c>
      <c r="F1" s="2" t="s">
        <v>1</v>
      </c>
      <c r="G1" s="77" t="s">
        <v>1233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1" t="s">
        <v>2</v>
      </c>
      <c r="F2" s="2" t="s">
        <v>2</v>
      </c>
      <c r="G2" s="77" t="s">
        <v>2</v>
      </c>
    </row>
    <row r="3" spans="1:7" x14ac:dyDescent="0.3">
      <c r="A3" s="27" t="s">
        <v>362</v>
      </c>
      <c r="B3" s="19" t="s">
        <v>300</v>
      </c>
      <c r="C3" s="19"/>
      <c r="D3" s="20" t="str">
        <f t="shared" ref="D3:D35" si="0">UPPER(B3)&amp;"_TITLE"</f>
        <v>NODE_1_TITLE</v>
      </c>
      <c r="E3" s="32" t="s">
        <v>334</v>
      </c>
      <c r="F3" s="21"/>
      <c r="G3" s="78" t="str">
        <f t="shared" ref="G3:G66" si="1">"C_"&amp;E3</f>
        <v>C_황천당립</v>
      </c>
    </row>
    <row r="4" spans="1:7" x14ac:dyDescent="0.3">
      <c r="A4" s="27" t="s">
        <v>362</v>
      </c>
      <c r="B4" s="19" t="s">
        <v>301</v>
      </c>
      <c r="C4" s="19"/>
      <c r="D4" s="20" t="str">
        <f t="shared" si="0"/>
        <v>NODE_2_TITLE</v>
      </c>
      <c r="E4" s="32" t="s">
        <v>335</v>
      </c>
      <c r="F4" s="21"/>
      <c r="G4" s="78" t="str">
        <f t="shared" si="1"/>
        <v>C_철벽</v>
      </c>
    </row>
    <row r="5" spans="1:7" x14ac:dyDescent="0.3">
      <c r="A5" s="27" t="s">
        <v>362</v>
      </c>
      <c r="B5" s="19" t="s">
        <v>302</v>
      </c>
      <c r="C5" s="19"/>
      <c r="D5" s="20" t="str">
        <f t="shared" si="0"/>
        <v>NODE_3_TITLE</v>
      </c>
      <c r="E5" s="32" t="s">
        <v>336</v>
      </c>
      <c r="F5" s="21"/>
      <c r="G5" s="78" t="str">
        <f t="shared" si="1"/>
        <v>C_호로관 전투</v>
      </c>
    </row>
    <row r="6" spans="1:7" x14ac:dyDescent="0.3">
      <c r="A6" s="27" t="s">
        <v>362</v>
      </c>
      <c r="B6" s="19" t="s">
        <v>303</v>
      </c>
      <c r="C6" s="19"/>
      <c r="D6" s="20" t="str">
        <f t="shared" si="0"/>
        <v>NODE_4_TITLE</v>
      </c>
      <c r="E6" s="32" t="s">
        <v>337</v>
      </c>
      <c r="F6" s="21"/>
      <c r="G6" s="78" t="str">
        <f t="shared" si="1"/>
        <v>C_호랑이의 몰락</v>
      </c>
    </row>
    <row r="7" spans="1:7" x14ac:dyDescent="0.3">
      <c r="A7" s="27" t="s">
        <v>362</v>
      </c>
      <c r="B7" s="19" t="s">
        <v>304</v>
      </c>
      <c r="C7" s="19"/>
      <c r="D7" s="20" t="str">
        <f t="shared" si="0"/>
        <v>NODE_5_TITLE</v>
      </c>
      <c r="E7" s="32" t="s">
        <v>338</v>
      </c>
      <c r="F7" s="21"/>
      <c r="G7" s="78" t="str">
        <f t="shared" si="1"/>
        <v>C_한실의 기둥</v>
      </c>
    </row>
    <row r="8" spans="1:7" x14ac:dyDescent="0.3">
      <c r="A8" s="27" t="s">
        <v>362</v>
      </c>
      <c r="B8" s="19" t="s">
        <v>305</v>
      </c>
      <c r="C8" s="19"/>
      <c r="D8" s="20" t="str">
        <f t="shared" si="0"/>
        <v>NODE_6_TITLE</v>
      </c>
      <c r="E8" s="32" t="s">
        <v>339</v>
      </c>
      <c r="F8" s="21"/>
      <c r="G8" s="78" t="str">
        <f t="shared" si="1"/>
        <v>C_서주학살</v>
      </c>
    </row>
    <row r="9" spans="1:7" x14ac:dyDescent="0.3">
      <c r="A9" s="27" t="s">
        <v>362</v>
      </c>
      <c r="B9" s="19" t="s">
        <v>306</v>
      </c>
      <c r="C9" s="19"/>
      <c r="D9" s="20" t="str">
        <f t="shared" si="0"/>
        <v>NODE_7_TITLE</v>
      </c>
      <c r="E9" s="32" t="s">
        <v>340</v>
      </c>
      <c r="F9" s="21"/>
      <c r="G9" s="78" t="str">
        <f t="shared" si="1"/>
        <v>C_서주구원</v>
      </c>
    </row>
    <row r="10" spans="1:7" x14ac:dyDescent="0.3">
      <c r="A10" s="27" t="s">
        <v>362</v>
      </c>
      <c r="B10" s="19" t="s">
        <v>307</v>
      </c>
      <c r="C10" s="19"/>
      <c r="D10" s="20" t="str">
        <f t="shared" si="0"/>
        <v>NODE_8_TITLE</v>
      </c>
      <c r="E10" s="32" t="s">
        <v>341</v>
      </c>
      <c r="F10" s="21"/>
      <c r="G10" s="78" t="str">
        <f t="shared" si="1"/>
        <v>C_담보가 된 옥</v>
      </c>
    </row>
    <row r="11" spans="1:7" x14ac:dyDescent="0.3">
      <c r="A11" s="27" t="s">
        <v>362</v>
      </c>
      <c r="B11" s="19" t="s">
        <v>308</v>
      </c>
      <c r="C11" s="19"/>
      <c r="D11" s="20" t="str">
        <f t="shared" si="0"/>
        <v>NODE_9_TITLE</v>
      </c>
      <c r="E11" s="32" t="s">
        <v>535</v>
      </c>
      <c r="F11" s="21"/>
      <c r="G11" s="78" t="str">
        <f t="shared" si="1"/>
        <v>C_미주랑</v>
      </c>
    </row>
    <row r="12" spans="1:7" x14ac:dyDescent="0.3">
      <c r="A12" s="27" t="s">
        <v>362</v>
      </c>
      <c r="B12" s="19" t="s">
        <v>309</v>
      </c>
      <c r="C12" s="19"/>
      <c r="D12" s="20" t="str">
        <f t="shared" si="0"/>
        <v>NODE_10_TITLE</v>
      </c>
      <c r="E12" s="32" t="s">
        <v>342</v>
      </c>
      <c r="F12" s="21"/>
      <c r="G12" s="78" t="str">
        <f t="shared" si="1"/>
        <v>C_칠척극</v>
      </c>
    </row>
    <row r="13" spans="1:7" x14ac:dyDescent="0.3">
      <c r="A13" s="27" t="s">
        <v>362</v>
      </c>
      <c r="B13" s="19" t="s">
        <v>310</v>
      </c>
      <c r="C13" s="19"/>
      <c r="D13" s="20" t="str">
        <f t="shared" si="0"/>
        <v>NODE_11_TITLE</v>
      </c>
      <c r="E13" s="32" t="s">
        <v>343</v>
      </c>
      <c r="F13" s="21"/>
      <c r="G13" s="78" t="str">
        <f t="shared" si="1"/>
        <v>C_헌제 옹립</v>
      </c>
    </row>
    <row r="14" spans="1:7" x14ac:dyDescent="0.3">
      <c r="A14" s="27" t="s">
        <v>362</v>
      </c>
      <c r="B14" s="19" t="s">
        <v>311</v>
      </c>
      <c r="C14" s="19"/>
      <c r="D14" s="20" t="str">
        <f t="shared" si="0"/>
        <v>NODE_12A_TITLE</v>
      </c>
      <c r="E14" s="32" t="s">
        <v>344</v>
      </c>
      <c r="F14" s="21"/>
      <c r="G14" s="78" t="str">
        <f t="shared" si="1"/>
        <v>C_백호 사냥 A</v>
      </c>
    </row>
    <row r="15" spans="1:7" x14ac:dyDescent="0.3">
      <c r="A15" s="27" t="s">
        <v>362</v>
      </c>
      <c r="B15" s="19" t="s">
        <v>312</v>
      </c>
      <c r="C15" s="19"/>
      <c r="D15" s="20" t="str">
        <f t="shared" si="0"/>
        <v>NODE_12B_TITLE</v>
      </c>
      <c r="E15" s="32" t="s">
        <v>345</v>
      </c>
      <c r="F15" s="21"/>
      <c r="G15" s="78" t="str">
        <f t="shared" si="1"/>
        <v>C_백호 사냥 B</v>
      </c>
    </row>
    <row r="16" spans="1:7" x14ac:dyDescent="0.3">
      <c r="A16" s="27" t="s">
        <v>362</v>
      </c>
      <c r="B16" s="19" t="s">
        <v>313</v>
      </c>
      <c r="C16" s="19"/>
      <c r="D16" s="20" t="str">
        <f t="shared" si="0"/>
        <v>NODE_13_TITLE</v>
      </c>
      <c r="E16" s="32" t="s">
        <v>379</v>
      </c>
      <c r="F16" s="21"/>
      <c r="G16" s="78" t="str">
        <f t="shared" si="1"/>
        <v>C_여포의 최후</v>
      </c>
    </row>
    <row r="17" spans="1:7" x14ac:dyDescent="0.3">
      <c r="A17" s="27" t="s">
        <v>362</v>
      </c>
      <c r="B17" s="19" t="s">
        <v>314</v>
      </c>
      <c r="C17" s="19"/>
      <c r="D17" s="20" t="str">
        <f t="shared" si="0"/>
        <v>NODE_14_TITLE</v>
      </c>
      <c r="E17" s="32" t="s">
        <v>346</v>
      </c>
      <c r="F17" s="21"/>
      <c r="G17" s="78" t="str">
        <f t="shared" si="1"/>
        <v>C_청매자주논영웅</v>
      </c>
    </row>
    <row r="18" spans="1:7" x14ac:dyDescent="0.3">
      <c r="A18" s="27" t="s">
        <v>362</v>
      </c>
      <c r="B18" s="19" t="s">
        <v>315</v>
      </c>
      <c r="C18" s="19"/>
      <c r="D18" s="20" t="str">
        <f t="shared" si="0"/>
        <v>NODE_15_TITLE</v>
      </c>
      <c r="E18" s="32" t="s">
        <v>347</v>
      </c>
      <c r="F18" s="21"/>
      <c r="G18" s="78" t="str">
        <f t="shared" si="1"/>
        <v>C_용의 산책</v>
      </c>
    </row>
    <row r="19" spans="1:7" x14ac:dyDescent="0.3">
      <c r="A19" s="27" t="s">
        <v>362</v>
      </c>
      <c r="B19" s="19" t="s">
        <v>316</v>
      </c>
      <c r="C19" s="19"/>
      <c r="D19" s="20" t="str">
        <f t="shared" si="0"/>
        <v>NODE_16_TITLE</v>
      </c>
      <c r="E19" s="32" t="s">
        <v>583</v>
      </c>
      <c r="F19" s="21"/>
      <c r="G19" s="78" t="str">
        <f t="shared" si="1"/>
        <v>C_무신</v>
      </c>
    </row>
    <row r="20" spans="1:7" x14ac:dyDescent="0.3">
      <c r="A20" s="27" t="s">
        <v>362</v>
      </c>
      <c r="B20" s="19" t="s">
        <v>317</v>
      </c>
      <c r="C20" s="19"/>
      <c r="D20" s="20" t="str">
        <f t="shared" si="0"/>
        <v>NODE_17_TITLE</v>
      </c>
      <c r="E20" s="32" t="s">
        <v>348</v>
      </c>
      <c r="F20" s="21"/>
      <c r="G20" s="78" t="str">
        <f t="shared" si="1"/>
        <v>C_복수의 칼날</v>
      </c>
    </row>
    <row r="21" spans="1:7" x14ac:dyDescent="0.3">
      <c r="A21" s="27" t="s">
        <v>362</v>
      </c>
      <c r="B21" s="19" t="s">
        <v>318</v>
      </c>
      <c r="C21" s="19"/>
      <c r="D21" s="20" t="str">
        <f t="shared" si="0"/>
        <v>NODE_18_TITLE</v>
      </c>
      <c r="E21" s="32" t="s">
        <v>349</v>
      </c>
      <c r="F21" s="21"/>
      <c r="G21" s="78" t="str">
        <f t="shared" si="1"/>
        <v>C_상산 조자룡</v>
      </c>
    </row>
    <row r="22" spans="1:7" x14ac:dyDescent="0.3">
      <c r="A22" s="27" t="s">
        <v>362</v>
      </c>
      <c r="B22" s="19" t="s">
        <v>319</v>
      </c>
      <c r="C22" s="19"/>
      <c r="D22" s="20" t="str">
        <f t="shared" si="0"/>
        <v>NODE_19A_TITLE</v>
      </c>
      <c r="E22" s="32" t="s">
        <v>350</v>
      </c>
      <c r="F22" s="21"/>
      <c r="G22" s="78" t="str">
        <f t="shared" si="1"/>
        <v>C_관도대전 A</v>
      </c>
    </row>
    <row r="23" spans="1:7" x14ac:dyDescent="0.3">
      <c r="A23" s="27" t="s">
        <v>362</v>
      </c>
      <c r="B23" s="19" t="s">
        <v>320</v>
      </c>
      <c r="C23" s="19"/>
      <c r="D23" s="20" t="str">
        <f t="shared" si="0"/>
        <v>NODE_19B_TITLE</v>
      </c>
      <c r="E23" s="32" t="s">
        <v>351</v>
      </c>
      <c r="F23" s="21"/>
      <c r="G23" s="78" t="str">
        <f t="shared" si="1"/>
        <v>C_관도대전 B</v>
      </c>
    </row>
    <row r="24" spans="1:7" x14ac:dyDescent="0.3">
      <c r="A24" s="27" t="s">
        <v>362</v>
      </c>
      <c r="B24" s="19" t="s">
        <v>321</v>
      </c>
      <c r="C24" s="19"/>
      <c r="D24" s="20" t="str">
        <f t="shared" si="0"/>
        <v>NODE_20_TITLE</v>
      </c>
      <c r="E24" s="32" t="s">
        <v>352</v>
      </c>
      <c r="F24" s="21"/>
      <c r="G24" s="78" t="str">
        <f t="shared" si="1"/>
        <v>C_와룡</v>
      </c>
    </row>
    <row r="25" spans="1:7" x14ac:dyDescent="0.3">
      <c r="A25" s="27" t="s">
        <v>362</v>
      </c>
      <c r="B25" s="19" t="s">
        <v>322</v>
      </c>
      <c r="C25" s="19"/>
      <c r="D25" s="20" t="str">
        <f t="shared" si="0"/>
        <v>NODE_21A_TITLE</v>
      </c>
      <c r="E25" s="32" t="s">
        <v>353</v>
      </c>
      <c r="F25" s="21"/>
      <c r="G25" s="78" t="str">
        <f t="shared" si="1"/>
        <v>C_상산의 기개 A</v>
      </c>
    </row>
    <row r="26" spans="1:7" x14ac:dyDescent="0.3">
      <c r="A26" s="27" t="s">
        <v>362</v>
      </c>
      <c r="B26" s="19" t="s">
        <v>323</v>
      </c>
      <c r="C26" s="19"/>
      <c r="D26" s="20" t="str">
        <f t="shared" si="0"/>
        <v>NODE_21B_TITLE</v>
      </c>
      <c r="E26" s="32" t="s">
        <v>354</v>
      </c>
      <c r="F26" s="21"/>
      <c r="G26" s="78" t="str">
        <f t="shared" si="1"/>
        <v>C_상산의 기개 B</v>
      </c>
    </row>
    <row r="27" spans="1:7" x14ac:dyDescent="0.3">
      <c r="A27" s="27" t="s">
        <v>362</v>
      </c>
      <c r="B27" s="19" t="s">
        <v>324</v>
      </c>
      <c r="C27" s="19"/>
      <c r="D27" s="20" t="str">
        <f t="shared" si="0"/>
        <v>NODE_22_TITLE</v>
      </c>
      <c r="E27" s="32" t="s">
        <v>355</v>
      </c>
      <c r="F27" s="21"/>
      <c r="G27" s="78" t="str">
        <f t="shared" si="1"/>
        <v>C_여인의 기개</v>
      </c>
    </row>
    <row r="28" spans="1:7" x14ac:dyDescent="0.3">
      <c r="A28" s="27" t="s">
        <v>362</v>
      </c>
      <c r="B28" s="19" t="s">
        <v>325</v>
      </c>
      <c r="C28" s="19"/>
      <c r="D28" s="20" t="str">
        <f t="shared" si="0"/>
        <v>NODE_23A_TITLE</v>
      </c>
      <c r="E28" s="32" t="s">
        <v>356</v>
      </c>
      <c r="F28" s="21"/>
      <c r="G28" s="78" t="str">
        <f t="shared" si="1"/>
        <v>C_손권의 결단 A</v>
      </c>
    </row>
    <row r="29" spans="1:7" x14ac:dyDescent="0.3">
      <c r="A29" s="27" t="s">
        <v>362</v>
      </c>
      <c r="B29" s="19" t="s">
        <v>326</v>
      </c>
      <c r="C29" s="19"/>
      <c r="D29" s="20" t="str">
        <f t="shared" si="0"/>
        <v>NODE_23B_TITLE</v>
      </c>
      <c r="E29" s="32" t="s">
        <v>357</v>
      </c>
      <c r="F29" s="21"/>
      <c r="G29" s="78" t="str">
        <f t="shared" si="1"/>
        <v>C_손권의 결단 B</v>
      </c>
    </row>
    <row r="30" spans="1:7" x14ac:dyDescent="0.3">
      <c r="A30" s="27" t="s">
        <v>362</v>
      </c>
      <c r="B30" s="19" t="s">
        <v>327</v>
      </c>
      <c r="C30" s="19"/>
      <c r="D30" s="20" t="str">
        <f t="shared" si="0"/>
        <v>NODE_24A_TITLE</v>
      </c>
      <c r="E30" s="32" t="s">
        <v>358</v>
      </c>
      <c r="F30" s="21"/>
      <c r="G30" s="78" t="str">
        <f t="shared" si="1"/>
        <v>C_강을 태운 불꽃 A</v>
      </c>
    </row>
    <row r="31" spans="1:7" x14ac:dyDescent="0.3">
      <c r="A31" s="27" t="s">
        <v>362</v>
      </c>
      <c r="B31" s="19" t="s">
        <v>328</v>
      </c>
      <c r="C31" s="19"/>
      <c r="D31" s="20" t="str">
        <f t="shared" si="0"/>
        <v>NODE_24B_TITLE</v>
      </c>
      <c r="E31" s="32" t="s">
        <v>359</v>
      </c>
      <c r="F31" s="21"/>
      <c r="G31" s="78" t="str">
        <f t="shared" si="1"/>
        <v>C_강을 태운 불꽃 B</v>
      </c>
    </row>
    <row r="32" spans="1:7" x14ac:dyDescent="0.3">
      <c r="A32" s="27" t="s">
        <v>362</v>
      </c>
      <c r="B32" s="19" t="s">
        <v>329</v>
      </c>
      <c r="C32" s="19"/>
      <c r="D32" s="20" t="str">
        <f t="shared" si="0"/>
        <v>NODE_25_TITLE</v>
      </c>
      <c r="E32" s="32" t="s">
        <v>360</v>
      </c>
      <c r="F32" s="21"/>
      <c r="G32" s="78" t="str">
        <f t="shared" si="1"/>
        <v>C_화용도의 갈림길</v>
      </c>
    </row>
    <row r="33" spans="1:7" x14ac:dyDescent="0.3">
      <c r="A33" s="27" t="s">
        <v>362</v>
      </c>
      <c r="B33" s="19" t="s">
        <v>330</v>
      </c>
      <c r="C33" s="19"/>
      <c r="D33" s="20" t="str">
        <f t="shared" si="0"/>
        <v>NODE_26_TITLE</v>
      </c>
      <c r="E33" s="32" t="s">
        <v>533</v>
      </c>
      <c r="F33" s="21"/>
      <c r="G33" s="78" t="str">
        <f t="shared" si="1"/>
        <v>C_노익장</v>
      </c>
    </row>
    <row r="34" spans="1:7" x14ac:dyDescent="0.3">
      <c r="A34" s="27" t="s">
        <v>362</v>
      </c>
      <c r="B34" s="19" t="s">
        <v>331</v>
      </c>
      <c r="C34" s="19"/>
      <c r="D34" s="20" t="str">
        <f t="shared" si="0"/>
        <v>NODE_27_TITLE</v>
      </c>
      <c r="E34" s="32" t="s">
        <v>691</v>
      </c>
      <c r="F34" s="21"/>
      <c r="G34" s="78" t="str">
        <f t="shared" si="1"/>
        <v>C_무너지는 마음</v>
      </c>
    </row>
    <row r="35" spans="1:7" x14ac:dyDescent="0.3">
      <c r="A35" s="27" t="s">
        <v>362</v>
      </c>
      <c r="B35" s="22" t="s">
        <v>332</v>
      </c>
      <c r="C35" s="22"/>
      <c r="D35" s="23" t="str">
        <f t="shared" si="0"/>
        <v>NODE_28_TITLE</v>
      </c>
      <c r="E35" s="33" t="s">
        <v>692</v>
      </c>
      <c r="F35" s="24"/>
      <c r="G35" s="78" t="str">
        <f t="shared" si="1"/>
        <v>C_전장으로</v>
      </c>
    </row>
    <row r="36" spans="1:7" x14ac:dyDescent="0.3">
      <c r="A36" s="21" t="s">
        <v>362</v>
      </c>
      <c r="B36" s="19" t="s">
        <v>333</v>
      </c>
      <c r="C36" s="19"/>
      <c r="D36" s="20" t="str">
        <f t="shared" ref="D36" si="2">UPPER(B36)&amp;"_TITLE"</f>
        <v>NODE_29_TITLE</v>
      </c>
      <c r="E36" s="32" t="s">
        <v>693</v>
      </c>
      <c r="F36" s="21"/>
      <c r="G36" s="78" t="str">
        <f t="shared" si="1"/>
        <v>C_악귀</v>
      </c>
    </row>
    <row r="37" spans="1:7" x14ac:dyDescent="0.3">
      <c r="A37" s="21" t="s">
        <v>362</v>
      </c>
      <c r="B37" s="19" t="s">
        <v>536</v>
      </c>
      <c r="C37" s="19"/>
      <c r="D37" s="20" t="str">
        <f t="shared" ref="D37:D40" si="3">UPPER(B37)&amp;"_TITLE"</f>
        <v>NODE_30A_TITLE</v>
      </c>
      <c r="E37" s="32" t="s">
        <v>46</v>
      </c>
      <c r="F37" s="32"/>
      <c r="G37" s="78" t="str">
        <f t="shared" si="1"/>
        <v>C_난세의 간웅</v>
      </c>
    </row>
    <row r="38" spans="1:7" x14ac:dyDescent="0.3">
      <c r="A38" s="21" t="s">
        <v>362</v>
      </c>
      <c r="B38" s="19" t="s">
        <v>537</v>
      </c>
      <c r="C38" s="19"/>
      <c r="D38" s="20" t="str">
        <f t="shared" si="3"/>
        <v>NODE_30B_TITLE</v>
      </c>
      <c r="E38" s="32" t="s">
        <v>527</v>
      </c>
      <c r="F38" s="21"/>
      <c r="G38" s="78" t="str">
        <f t="shared" si="1"/>
        <v>C_도원결의</v>
      </c>
    </row>
    <row r="39" spans="1:7" x14ac:dyDescent="0.3">
      <c r="A39" s="21" t="s">
        <v>362</v>
      </c>
      <c r="B39" s="19" t="s">
        <v>538</v>
      </c>
      <c r="C39" s="19"/>
      <c r="D39" s="20" t="str">
        <f t="shared" si="3"/>
        <v>NODE_30C_TITLE</v>
      </c>
      <c r="E39" s="32" t="s">
        <v>530</v>
      </c>
      <c r="F39" s="21"/>
      <c r="G39" s="78" t="str">
        <f t="shared" si="1"/>
        <v>C_강동의 호랑이</v>
      </c>
    </row>
    <row r="40" spans="1:7" x14ac:dyDescent="0.3">
      <c r="A40" s="21" t="s">
        <v>362</v>
      </c>
      <c r="B40" s="19" t="s">
        <v>690</v>
      </c>
      <c r="C40" s="19"/>
      <c r="D40" s="20" t="str">
        <f t="shared" si="3"/>
        <v>NODE_31_TITLE</v>
      </c>
      <c r="E40" s="28" t="s">
        <v>694</v>
      </c>
      <c r="F40" s="21"/>
      <c r="G40" s="78" t="str">
        <f t="shared" si="1"/>
        <v>C_최종장</v>
      </c>
    </row>
    <row r="41" spans="1:7" x14ac:dyDescent="0.3">
      <c r="A41" s="27" t="s">
        <v>367</v>
      </c>
      <c r="B41" s="19" t="s">
        <v>300</v>
      </c>
      <c r="C41" s="19"/>
      <c r="D41" s="20" t="str">
        <f t="shared" ref="D41" si="4">UPPER(B41)&amp;"_DESC"</f>
        <v>NODE_1_DESC</v>
      </c>
      <c r="E41" s="28" t="s">
        <v>384</v>
      </c>
      <c r="F41" s="21"/>
      <c r="G41" s="78" t="str">
        <f t="shared" si="1"/>
        <v>C_"천하를 뒤덮은 거대한 광기와 혼란"</v>
      </c>
    </row>
    <row r="42" spans="1:7" x14ac:dyDescent="0.3">
      <c r="A42" s="27" t="s">
        <v>367</v>
      </c>
      <c r="B42" s="19" t="s">
        <v>301</v>
      </c>
      <c r="C42" s="19"/>
      <c r="D42" s="20" t="str">
        <f t="shared" ref="D42:D73" si="5">UPPER(B42)&amp;"_DESC"</f>
        <v>NODE_2_DESC</v>
      </c>
      <c r="E42" s="32" t="s">
        <v>370</v>
      </c>
      <c r="F42" s="21"/>
      <c r="G42" s="78" t="str">
        <f t="shared" si="1"/>
        <v>C_"뚫리지 않는 방패"</v>
      </c>
    </row>
    <row r="43" spans="1:7" x14ac:dyDescent="0.3">
      <c r="A43" s="27" t="s">
        <v>367</v>
      </c>
      <c r="B43" s="19" t="s">
        <v>302</v>
      </c>
      <c r="C43" s="19"/>
      <c r="D43" s="20" t="str">
        <f t="shared" si="5"/>
        <v>NODE_3_DESC</v>
      </c>
      <c r="E43" s="28" t="s">
        <v>385</v>
      </c>
      <c r="F43" s="21"/>
      <c r="G43" s="78" t="str">
        <f t="shared" si="1"/>
        <v>C_"절대적 공포가 선사한 압도적인 무력감"</v>
      </c>
    </row>
    <row r="44" spans="1:7" x14ac:dyDescent="0.3">
      <c r="A44" s="27" t="s">
        <v>367</v>
      </c>
      <c r="B44" s="19" t="s">
        <v>303</v>
      </c>
      <c r="C44" s="19"/>
      <c r="D44" s="20" t="str">
        <f t="shared" si="5"/>
        <v>NODE_4_DESC</v>
      </c>
      <c r="E44" s="32" t="s">
        <v>371</v>
      </c>
      <c r="F44" s="21"/>
      <c r="G44" s="78" t="str">
        <f t="shared" si="1"/>
        <v>C_"무너지는 강동의 호랑이"</v>
      </c>
    </row>
    <row r="45" spans="1:7" x14ac:dyDescent="0.3">
      <c r="A45" s="27" t="s">
        <v>367</v>
      </c>
      <c r="B45" s="19" t="s">
        <v>304</v>
      </c>
      <c r="C45" s="19"/>
      <c r="D45" s="20" t="str">
        <f t="shared" si="5"/>
        <v>NODE_5_DESC</v>
      </c>
      <c r="E45" s="32" t="s">
        <v>372</v>
      </c>
      <c r="F45" s="21"/>
      <c r="G45" s="78" t="str">
        <f t="shared" si="1"/>
        <v>C_"나의 장자방이로다"</v>
      </c>
    </row>
    <row r="46" spans="1:7" x14ac:dyDescent="0.3">
      <c r="A46" s="27" t="s">
        <v>367</v>
      </c>
      <c r="B46" s="19" t="s">
        <v>305</v>
      </c>
      <c r="C46" s="19"/>
      <c r="D46" s="20" t="str">
        <f t="shared" si="5"/>
        <v>NODE_6_DESC</v>
      </c>
      <c r="E46" s="32" t="s">
        <v>375</v>
      </c>
      <c r="F46" s="21"/>
      <c r="G46" s="78" t="str">
        <f t="shared" si="1"/>
        <v>C_"붉은 피로 물들이다"</v>
      </c>
    </row>
    <row r="47" spans="1:7" x14ac:dyDescent="0.3">
      <c r="A47" s="27" t="s">
        <v>367</v>
      </c>
      <c r="B47" s="19" t="s">
        <v>306</v>
      </c>
      <c r="C47" s="19"/>
      <c r="D47" s="20" t="str">
        <f t="shared" si="5"/>
        <v>NODE_7_DESC</v>
      </c>
      <c r="E47" s="32" t="s">
        <v>393</v>
      </c>
      <c r="F47" s="21"/>
      <c r="G47" s="78" t="str">
        <f t="shared" si="1"/>
        <v>C_"거대한 폭력에 맞선 신념"</v>
      </c>
    </row>
    <row r="48" spans="1:7" x14ac:dyDescent="0.3">
      <c r="A48" s="27" t="s">
        <v>367</v>
      </c>
      <c r="B48" s="19" t="s">
        <v>307</v>
      </c>
      <c r="C48" s="19"/>
      <c r="D48" s="20" t="str">
        <f t="shared" si="5"/>
        <v>NODE_8_DESC</v>
      </c>
      <c r="E48" s="32" t="s">
        <v>368</v>
      </c>
      <c r="F48" s="21"/>
      <c r="G48" s="78" t="str">
        <f t="shared" si="1"/>
        <v>C_"강동의 소패왕 날개를 펴다"</v>
      </c>
    </row>
    <row r="49" spans="1:7" x14ac:dyDescent="0.3">
      <c r="A49" s="27" t="s">
        <v>367</v>
      </c>
      <c r="B49" s="19" t="s">
        <v>308</v>
      </c>
      <c r="C49" s="19"/>
      <c r="D49" s="20" t="str">
        <f t="shared" si="5"/>
        <v>NODE_9_DESC</v>
      </c>
      <c r="E49" s="32" t="s">
        <v>373</v>
      </c>
      <c r="F49" s="21"/>
      <c r="G49" s="78" t="str">
        <f t="shared" si="1"/>
        <v>C_"천하보다 뜨거운 두 영웅의 의리"</v>
      </c>
    </row>
    <row r="50" spans="1:7" x14ac:dyDescent="0.3">
      <c r="A50" s="27" t="s">
        <v>367</v>
      </c>
      <c r="B50" s="19" t="s">
        <v>309</v>
      </c>
      <c r="C50" s="19"/>
      <c r="D50" s="20" t="str">
        <f t="shared" si="5"/>
        <v>NODE_10_DESC</v>
      </c>
      <c r="E50" s="32" t="s">
        <v>374</v>
      </c>
      <c r="F50" s="21"/>
      <c r="G50" s="78" t="str">
        <f t="shared" si="1"/>
        <v>C_"주군을 찾는 전사의 눈"</v>
      </c>
    </row>
    <row r="51" spans="1:7" x14ac:dyDescent="0.3">
      <c r="A51" s="27" t="s">
        <v>367</v>
      </c>
      <c r="B51" s="19" t="s">
        <v>310</v>
      </c>
      <c r="C51" s="19"/>
      <c r="D51" s="20" t="str">
        <f t="shared" si="5"/>
        <v>NODE_11_DESC</v>
      </c>
      <c r="E51" s="32" t="s">
        <v>376</v>
      </c>
      <c r="F51" s="21"/>
      <c r="G51" s="78" t="str">
        <f t="shared" si="1"/>
        <v>C_"처절한 피난길의 끝은 난세의 영웅"</v>
      </c>
    </row>
    <row r="52" spans="1:7" x14ac:dyDescent="0.3">
      <c r="A52" s="27" t="s">
        <v>367</v>
      </c>
      <c r="B52" s="19" t="s">
        <v>311</v>
      </c>
      <c r="C52" s="19"/>
      <c r="D52" s="20" t="str">
        <f t="shared" si="5"/>
        <v>NODE_12A_DESC</v>
      </c>
      <c r="E52" s="32" t="s">
        <v>377</v>
      </c>
      <c r="F52" s="21"/>
      <c r="G52" s="78" t="str">
        <f t="shared" si="1"/>
        <v>C_"소패왕의 자비 없는 진격"</v>
      </c>
    </row>
    <row r="53" spans="1:7" x14ac:dyDescent="0.3">
      <c r="A53" s="27" t="s">
        <v>367</v>
      </c>
      <c r="B53" s="19" t="s">
        <v>312</v>
      </c>
      <c r="C53" s="19"/>
      <c r="D53" s="20" t="str">
        <f t="shared" si="5"/>
        <v>NODE_12B_DESC</v>
      </c>
      <c r="E53" s="32" t="s">
        <v>378</v>
      </c>
      <c r="F53" s="21"/>
      <c r="G53" s="78" t="str">
        <f t="shared" si="1"/>
        <v>C_"무릎 꿇은 동오의 덕왕"</v>
      </c>
    </row>
    <row r="54" spans="1:7" x14ac:dyDescent="0.3">
      <c r="A54" s="27" t="s">
        <v>367</v>
      </c>
      <c r="B54" s="19" t="s">
        <v>313</v>
      </c>
      <c r="C54" s="19"/>
      <c r="D54" s="20" t="str">
        <f t="shared" si="5"/>
        <v>NODE_13_DESC</v>
      </c>
      <c r="E54" s="32" t="s">
        <v>386</v>
      </c>
      <c r="F54" s="21"/>
      <c r="G54" s="78" t="str">
        <f t="shared" si="1"/>
        <v>C_"무너진 무신의 그늘 아래 꺾이지 않는 기개"</v>
      </c>
    </row>
    <row r="55" spans="1:7" x14ac:dyDescent="0.3">
      <c r="A55" s="27" t="s">
        <v>367</v>
      </c>
      <c r="B55" s="19" t="s">
        <v>314</v>
      </c>
      <c r="C55" s="19"/>
      <c r="D55" s="20" t="str">
        <f t="shared" si="5"/>
        <v>NODE_14_DESC</v>
      </c>
      <c r="E55" s="32" t="s">
        <v>369</v>
      </c>
      <c r="F55" s="21"/>
      <c r="G55" s="78" t="str">
        <f t="shared" si="1"/>
        <v>C_"천하의 영웅은 그대와 나뿐이오"</v>
      </c>
    </row>
    <row r="56" spans="1:7" x14ac:dyDescent="0.3">
      <c r="A56" s="27" t="s">
        <v>367</v>
      </c>
      <c r="B56" s="19" t="s">
        <v>315</v>
      </c>
      <c r="C56" s="19"/>
      <c r="D56" s="20" t="str">
        <f t="shared" si="5"/>
        <v>NODE_15_DESC</v>
      </c>
      <c r="E56" s="32" t="s">
        <v>380</v>
      </c>
      <c r="F56" s="21"/>
      <c r="G56" s="78" t="str">
        <f t="shared" si="1"/>
        <v>C_"잠룡, 난세의 영웅을 만나다"</v>
      </c>
    </row>
    <row r="57" spans="1:7" x14ac:dyDescent="0.3">
      <c r="A57" s="27" t="s">
        <v>367</v>
      </c>
      <c r="B57" s="19" t="s">
        <v>316</v>
      </c>
      <c r="C57" s="19"/>
      <c r="D57" s="20" t="str">
        <f t="shared" si="5"/>
        <v>NODE_16_DESC</v>
      </c>
      <c r="E57" s="32" t="s">
        <v>381</v>
      </c>
      <c r="F57" s="21"/>
      <c r="G57" s="78" t="str">
        <f t="shared" si="1"/>
        <v>C_"그에겐 그저 당연한 승리"</v>
      </c>
    </row>
    <row r="58" spans="1:7" x14ac:dyDescent="0.3">
      <c r="A58" s="27" t="s">
        <v>367</v>
      </c>
      <c r="B58" s="19" t="s">
        <v>317</v>
      </c>
      <c r="C58" s="19"/>
      <c r="D58" s="20" t="str">
        <f t="shared" si="5"/>
        <v>NODE_17_DESC</v>
      </c>
      <c r="E58" s="32" t="s">
        <v>387</v>
      </c>
      <c r="F58" s="21"/>
      <c r="G58" s="78" t="str">
        <f t="shared" si="1"/>
        <v>C_"죽음의 문턱에서"</v>
      </c>
    </row>
    <row r="59" spans="1:7" x14ac:dyDescent="0.3">
      <c r="A59" s="27" t="s">
        <v>367</v>
      </c>
      <c r="B59" s="19" t="s">
        <v>318</v>
      </c>
      <c r="C59" s="19"/>
      <c r="D59" s="20" t="str">
        <f t="shared" si="5"/>
        <v>NODE_18_DESC</v>
      </c>
      <c r="E59" s="32" t="s">
        <v>388</v>
      </c>
      <c r="F59" s="21"/>
      <c r="G59" s="78" t="str">
        <f t="shared" si="1"/>
        <v>C_"길 잃은 명장, 인의의 깃발 아래로"</v>
      </c>
    </row>
    <row r="60" spans="1:7" x14ac:dyDescent="0.3">
      <c r="A60" s="27" t="s">
        <v>367</v>
      </c>
      <c r="B60" s="19" t="s">
        <v>319</v>
      </c>
      <c r="C60" s="19"/>
      <c r="D60" s="20" t="str">
        <f t="shared" si="5"/>
        <v>NODE_19A_DESC</v>
      </c>
      <c r="E60" s="32" t="s">
        <v>389</v>
      </c>
      <c r="F60" s="21"/>
      <c r="G60" s="78" t="str">
        <f t="shared" si="1"/>
        <v>C_"수십만 대군에 맞선 결단"</v>
      </c>
    </row>
    <row r="61" spans="1:7" x14ac:dyDescent="0.3">
      <c r="A61" s="27" t="s">
        <v>367</v>
      </c>
      <c r="B61" s="19" t="s">
        <v>320</v>
      </c>
      <c r="C61" s="19"/>
      <c r="D61" s="20" t="str">
        <f t="shared" si="5"/>
        <v>NODE_19B_DESC</v>
      </c>
      <c r="E61" s="32" t="s">
        <v>390</v>
      </c>
      <c r="F61" s="21"/>
      <c r="G61" s="78" t="str">
        <f t="shared" si="1"/>
        <v>C_"귀신 같은 지략, 빛을 잃다"</v>
      </c>
    </row>
    <row r="62" spans="1:7" x14ac:dyDescent="0.3">
      <c r="A62" s="27" t="s">
        <v>367</v>
      </c>
      <c r="B62" s="19" t="s">
        <v>321</v>
      </c>
      <c r="C62" s="19"/>
      <c r="D62" s="20" t="str">
        <f t="shared" si="5"/>
        <v>NODE_20_DESC</v>
      </c>
      <c r="E62" s="32" t="s">
        <v>391</v>
      </c>
      <c r="F62" s="21"/>
      <c r="G62" s="78" t="str">
        <f t="shared" si="1"/>
        <v>C_"와룡 일어나다"</v>
      </c>
    </row>
    <row r="63" spans="1:7" x14ac:dyDescent="0.3">
      <c r="A63" s="27" t="s">
        <v>367</v>
      </c>
      <c r="B63" s="19" t="s">
        <v>322</v>
      </c>
      <c r="C63" s="19"/>
      <c r="D63" s="20" t="str">
        <f t="shared" si="5"/>
        <v>NODE_21A_DESC</v>
      </c>
      <c r="E63" s="32" t="s">
        <v>392</v>
      </c>
      <c r="F63" s="21"/>
      <c r="G63" s="78" t="str">
        <f t="shared" si="1"/>
        <v>C_"사선을 넘나드는 창"</v>
      </c>
    </row>
    <row r="64" spans="1:7" x14ac:dyDescent="0.3">
      <c r="A64" s="27" t="s">
        <v>367</v>
      </c>
      <c r="B64" s="19" t="s">
        <v>323</v>
      </c>
      <c r="C64" s="19"/>
      <c r="D64" s="20" t="str">
        <f t="shared" si="5"/>
        <v>NODE_21B_DESC</v>
      </c>
      <c r="E64" s="32" t="s">
        <v>394</v>
      </c>
      <c r="F64" s="21"/>
      <c r="G64" s="78" t="str">
        <f t="shared" si="1"/>
        <v>C_"두 영웅이 열어젖힌 장판파의 혈로"</v>
      </c>
    </row>
    <row r="65" spans="1:7" x14ac:dyDescent="0.3">
      <c r="A65" s="27" t="s">
        <v>367</v>
      </c>
      <c r="B65" s="19" t="s">
        <v>324</v>
      </c>
      <c r="C65" s="19"/>
      <c r="D65" s="20" t="str">
        <f t="shared" si="5"/>
        <v>NODE_22_DESC</v>
      </c>
      <c r="E65" s="32" t="s">
        <v>395</v>
      </c>
      <c r="F65" s="21"/>
      <c r="G65" s="78" t="str">
        <f t="shared" si="1"/>
        <v>C_"사선에서 눈 뜬 여인"</v>
      </c>
    </row>
    <row r="66" spans="1:7" x14ac:dyDescent="0.3">
      <c r="A66" s="27" t="s">
        <v>367</v>
      </c>
      <c r="B66" s="19" t="s">
        <v>325</v>
      </c>
      <c r="C66" s="19"/>
      <c r="D66" s="20" t="str">
        <f t="shared" si="5"/>
        <v>NODE_23A_DESC</v>
      </c>
      <c r="E66" s="32" t="s">
        <v>396</v>
      </c>
      <c r="F66" s="21"/>
      <c r="G66" s="78" t="str">
        <f t="shared" si="1"/>
        <v>C_"강동의 젊은 호랑이가 보검을 뽑아들다"</v>
      </c>
    </row>
    <row r="67" spans="1:7" x14ac:dyDescent="0.3">
      <c r="A67" s="27" t="s">
        <v>367</v>
      </c>
      <c r="B67" s="19" t="s">
        <v>326</v>
      </c>
      <c r="C67" s="19"/>
      <c r="D67" s="20" t="str">
        <f t="shared" si="5"/>
        <v>NODE_23B_DESC</v>
      </c>
      <c r="E67" s="32" t="s">
        <v>397</v>
      </c>
      <c r="F67" s="21"/>
      <c r="G67" s="78" t="str">
        <f t="shared" ref="G67:G77" si="6">"C_"&amp;E67</f>
        <v>C_"영웅들의 기개가 한 곳에 모이다"</v>
      </c>
    </row>
    <row r="68" spans="1:7" x14ac:dyDescent="0.3">
      <c r="A68" s="27" t="s">
        <v>367</v>
      </c>
      <c r="B68" s="19" t="s">
        <v>327</v>
      </c>
      <c r="C68" s="19"/>
      <c r="D68" s="20" t="str">
        <f t="shared" si="5"/>
        <v>NODE_24A_DESC</v>
      </c>
      <c r="E68" s="32" t="s">
        <v>398</v>
      </c>
      <c r="F68" s="21"/>
      <c r="G68" s="78" t="str">
        <f t="shared" si="6"/>
        <v>C_"천하통일의 꿈을 삼킨 적벽의 붉은 불길"</v>
      </c>
    </row>
    <row r="69" spans="1:7" x14ac:dyDescent="0.3">
      <c r="A69" s="27" t="s">
        <v>367</v>
      </c>
      <c r="B69" s="19" t="s">
        <v>328</v>
      </c>
      <c r="C69" s="19"/>
      <c r="D69" s="20" t="str">
        <f t="shared" si="5"/>
        <v>NODE_24B_DESC</v>
      </c>
      <c r="E69" s="32" t="s">
        <v>399</v>
      </c>
      <c r="F69" s="21"/>
      <c r="G69" s="78" t="str">
        <f t="shared" si="6"/>
        <v>C_"귀재의 눈에는 그저 불장난일뿐"</v>
      </c>
    </row>
    <row r="70" spans="1:7" x14ac:dyDescent="0.3">
      <c r="A70" s="27" t="s">
        <v>367</v>
      </c>
      <c r="B70" s="19" t="s">
        <v>329</v>
      </c>
      <c r="C70" s="19"/>
      <c r="D70" s="20" t="str">
        <f t="shared" si="5"/>
        <v>NODE_25_DESC</v>
      </c>
      <c r="E70" s="32" t="s">
        <v>532</v>
      </c>
      <c r="F70" s="21"/>
      <c r="G70" s="78" t="str">
        <f t="shared" si="6"/>
        <v>C_"의와 의의 충돌"</v>
      </c>
    </row>
    <row r="71" spans="1:7" x14ac:dyDescent="0.3">
      <c r="A71" s="27" t="s">
        <v>367</v>
      </c>
      <c r="B71" s="19" t="s">
        <v>330</v>
      </c>
      <c r="C71" s="19"/>
      <c r="D71" s="20" t="str">
        <f t="shared" si="5"/>
        <v>NODE_26_DESC</v>
      </c>
      <c r="E71" s="32" t="s">
        <v>534</v>
      </c>
      <c r="F71" s="21"/>
      <c r="G71" s="78" t="str">
        <f t="shared" si="6"/>
        <v>C_"세월을 거스른 백발의 활시위"</v>
      </c>
    </row>
    <row r="72" spans="1:7" x14ac:dyDescent="0.3">
      <c r="A72" s="27" t="s">
        <v>367</v>
      </c>
      <c r="B72" s="19" t="s">
        <v>331</v>
      </c>
      <c r="C72" s="19"/>
      <c r="D72" s="20" t="str">
        <f t="shared" si="5"/>
        <v>NODE_27_DESC</v>
      </c>
      <c r="E72" s="32" t="s">
        <v>695</v>
      </c>
      <c r="F72" s="21"/>
      <c r="G72" s="78" t="str">
        <f t="shared" si="6"/>
        <v>C_"도원결의의 맹세는.."</v>
      </c>
    </row>
    <row r="73" spans="1:7" x14ac:dyDescent="0.3">
      <c r="A73" s="27" t="s">
        <v>367</v>
      </c>
      <c r="B73" s="22" t="s">
        <v>332</v>
      </c>
      <c r="C73" s="22"/>
      <c r="D73" s="20" t="str">
        <f t="shared" si="5"/>
        <v>NODE_28_DESC</v>
      </c>
      <c r="E73" s="32" t="s">
        <v>696</v>
      </c>
      <c r="F73" s="24"/>
      <c r="G73" s="78" t="str">
        <f t="shared" si="6"/>
        <v>C_"전장에서 씻는 죄책감"</v>
      </c>
    </row>
    <row r="74" spans="1:7" x14ac:dyDescent="0.3">
      <c r="A74" s="27" t="s">
        <v>367</v>
      </c>
      <c r="B74" s="19" t="s">
        <v>333</v>
      </c>
      <c r="C74" s="19"/>
      <c r="D74" s="20" t="str">
        <f>UPPER(B74)&amp;"_DESC"</f>
        <v>NODE_29_DESC</v>
      </c>
      <c r="E74" s="32" t="s">
        <v>740</v>
      </c>
      <c r="F74" s="21"/>
      <c r="G74" s="78" t="str">
        <f t="shared" si="6"/>
        <v>C_"진정 무신은 전장의 귀신이 되려하는가"</v>
      </c>
    </row>
    <row r="75" spans="1:7" x14ac:dyDescent="0.3">
      <c r="A75" s="27" t="s">
        <v>367</v>
      </c>
      <c r="B75" s="19" t="s">
        <v>536</v>
      </c>
      <c r="C75" s="19"/>
      <c r="D75" s="20" t="str">
        <f t="shared" ref="D75:D76" si="7">UPPER(B75)&amp;"_DESC"</f>
        <v>NODE_30A_DESC</v>
      </c>
      <c r="E75" s="32" t="s">
        <v>528</v>
      </c>
      <c r="F75" s="32"/>
      <c r="G75" s="78" t="str">
        <f t="shared" si="6"/>
        <v>C_"오랜 친우들과 첫 발을 내딛다"</v>
      </c>
    </row>
    <row r="76" spans="1:7" x14ac:dyDescent="0.3">
      <c r="A76" s="27" t="s">
        <v>367</v>
      </c>
      <c r="B76" s="19" t="s">
        <v>537</v>
      </c>
      <c r="C76" s="22"/>
      <c r="D76" s="20" t="str">
        <f t="shared" si="7"/>
        <v>NODE_30B_DESC</v>
      </c>
      <c r="E76" s="32" t="s">
        <v>529</v>
      </c>
      <c r="F76" s="24"/>
      <c r="G76" s="78" t="str">
        <f t="shared" si="6"/>
        <v>C_"술잔 아래 의리를 다지다"</v>
      </c>
    </row>
    <row r="77" spans="1:7" x14ac:dyDescent="0.3">
      <c r="A77" s="27" t="s">
        <v>367</v>
      </c>
      <c r="B77" s="19" t="s">
        <v>538</v>
      </c>
      <c r="C77" s="19"/>
      <c r="D77" s="20" t="str">
        <f>UPPER(B77)&amp;"_DESC"</f>
        <v>NODE_30C_DESC</v>
      </c>
      <c r="E77" s="32" t="s">
        <v>531</v>
      </c>
      <c r="F77" s="21"/>
      <c r="G77" s="78" t="str">
        <f t="shared" si="6"/>
        <v>C_"맹장을 이끌고 천하로 포효하다"</v>
      </c>
    </row>
    <row r="78" spans="1:7" x14ac:dyDescent="0.3">
      <c r="A78" s="27" t="s">
        <v>367</v>
      </c>
      <c r="B78" s="19" t="s">
        <v>690</v>
      </c>
      <c r="C78" s="19"/>
      <c r="D78" s="20" t="str">
        <f>UPPER(B78)&amp;"_DESC"</f>
        <v>NODE_31_DESC</v>
      </c>
      <c r="E78" s="32" t="s">
        <v>697</v>
      </c>
      <c r="F78" s="21"/>
      <c r="G78" s="78" t="str">
        <f t="shared" ref="G78" si="8">"C_"&amp;E78</f>
        <v>C_"무신은 무신을 위하여"</v>
      </c>
    </row>
    <row r="79" spans="1:7" x14ac:dyDescent="0.2">
      <c r="A79" s="21" t="s">
        <v>363</v>
      </c>
      <c r="B79" s="25" t="s">
        <v>300</v>
      </c>
      <c r="C79" s="26">
        <v>1</v>
      </c>
      <c r="D79" s="20" t="str">
        <f t="shared" ref="D79:D101" si="9">UPPER(B79)&amp;"_CHOICE_"&amp;C79</f>
        <v>NODE_1_CHOICE_1</v>
      </c>
      <c r="E79" s="29"/>
      <c r="F79" s="21"/>
    </row>
    <row r="80" spans="1:7" x14ac:dyDescent="0.2">
      <c r="A80" s="21" t="s">
        <v>363</v>
      </c>
      <c r="B80" s="25" t="s">
        <v>300</v>
      </c>
      <c r="C80" s="26">
        <v>2</v>
      </c>
      <c r="D80" s="20" t="str">
        <f t="shared" si="9"/>
        <v>NODE_1_CHOICE_2</v>
      </c>
      <c r="E80" s="29"/>
      <c r="F80" s="21"/>
    </row>
    <row r="81" spans="1:7" x14ac:dyDescent="0.2">
      <c r="A81" s="21" t="s">
        <v>363</v>
      </c>
      <c r="B81" s="25" t="s">
        <v>304</v>
      </c>
      <c r="C81" s="26">
        <v>1</v>
      </c>
      <c r="D81" s="20" t="str">
        <f t="shared" si="9"/>
        <v>NODE_5_CHOICE_1</v>
      </c>
      <c r="E81" s="29"/>
      <c r="F81" s="21"/>
    </row>
    <row r="82" spans="1:7" x14ac:dyDescent="0.2">
      <c r="A82" s="21" t="s">
        <v>363</v>
      </c>
      <c r="B82" s="25" t="s">
        <v>304</v>
      </c>
      <c r="C82" s="26">
        <v>2</v>
      </c>
      <c r="D82" s="20" t="str">
        <f t="shared" si="9"/>
        <v>NODE_5_CHOICE_2</v>
      </c>
      <c r="E82" s="29"/>
      <c r="F82" s="21"/>
    </row>
    <row r="83" spans="1:7" x14ac:dyDescent="0.2">
      <c r="A83" s="21" t="s">
        <v>363</v>
      </c>
      <c r="B83" s="25" t="s">
        <v>305</v>
      </c>
      <c r="C83" s="26">
        <v>1</v>
      </c>
      <c r="D83" s="20" t="str">
        <f t="shared" si="9"/>
        <v>NODE_6_CHOICE_1</v>
      </c>
      <c r="E83" s="29"/>
      <c r="F83" s="21"/>
    </row>
    <row r="84" spans="1:7" x14ac:dyDescent="0.2">
      <c r="A84" s="21" t="s">
        <v>363</v>
      </c>
      <c r="B84" s="25" t="s">
        <v>305</v>
      </c>
      <c r="C84" s="26">
        <v>2</v>
      </c>
      <c r="D84" s="20" t="str">
        <f t="shared" si="9"/>
        <v>NODE_6_CHOICE_2</v>
      </c>
      <c r="E84" s="29"/>
      <c r="F84" s="21"/>
    </row>
    <row r="85" spans="1:7" x14ac:dyDescent="0.2">
      <c r="A85" s="21" t="s">
        <v>363</v>
      </c>
      <c r="B85" s="25" t="s">
        <v>306</v>
      </c>
      <c r="C85" s="26">
        <v>1</v>
      </c>
      <c r="D85" s="20" t="str">
        <f t="shared" si="9"/>
        <v>NODE_7_CHOICE_1</v>
      </c>
      <c r="E85" s="29"/>
      <c r="F85" s="21"/>
    </row>
    <row r="86" spans="1:7" x14ac:dyDescent="0.2">
      <c r="A86" s="21" t="s">
        <v>363</v>
      </c>
      <c r="B86" s="25" t="s">
        <v>306</v>
      </c>
      <c r="C86" s="26">
        <v>2</v>
      </c>
      <c r="D86" s="20" t="str">
        <f t="shared" si="9"/>
        <v>NODE_7_CHOICE_2</v>
      </c>
      <c r="E86" s="29"/>
      <c r="F86" s="21"/>
    </row>
    <row r="87" spans="1:7" x14ac:dyDescent="0.2">
      <c r="A87" s="21" t="s">
        <v>363</v>
      </c>
      <c r="B87" s="25" t="s">
        <v>309</v>
      </c>
      <c r="C87" s="26">
        <v>1</v>
      </c>
      <c r="D87" s="20" t="str">
        <f t="shared" si="9"/>
        <v>NODE_10_CHOICE_1</v>
      </c>
      <c r="E87" s="29"/>
      <c r="F87" s="21"/>
    </row>
    <row r="88" spans="1:7" x14ac:dyDescent="0.2">
      <c r="A88" s="21" t="s">
        <v>363</v>
      </c>
      <c r="B88" s="25" t="s">
        <v>309</v>
      </c>
      <c r="C88" s="26">
        <v>2</v>
      </c>
      <c r="D88" s="20" t="str">
        <f t="shared" si="9"/>
        <v>NODE_10_CHOICE_2</v>
      </c>
      <c r="E88" s="29"/>
      <c r="F88" s="21"/>
    </row>
    <row r="89" spans="1:7" x14ac:dyDescent="0.2">
      <c r="A89" s="21" t="s">
        <v>363</v>
      </c>
      <c r="B89" s="25" t="s">
        <v>312</v>
      </c>
      <c r="C89" s="26">
        <v>1</v>
      </c>
      <c r="D89" s="20" t="str">
        <f t="shared" si="9"/>
        <v>NODE_12B_CHOICE_1</v>
      </c>
      <c r="E89" s="29"/>
      <c r="F89" s="21"/>
    </row>
    <row r="90" spans="1:7" x14ac:dyDescent="0.2">
      <c r="A90" s="21" t="s">
        <v>363</v>
      </c>
      <c r="B90" s="25" t="s">
        <v>312</v>
      </c>
      <c r="C90" s="26">
        <v>2</v>
      </c>
      <c r="D90" s="20" t="str">
        <f t="shared" si="9"/>
        <v>NODE_12B_CHOICE_2</v>
      </c>
      <c r="E90" s="29"/>
      <c r="F90" s="21"/>
    </row>
    <row r="91" spans="1:7" x14ac:dyDescent="0.2">
      <c r="A91" s="21" t="s">
        <v>363</v>
      </c>
      <c r="B91" s="25" t="s">
        <v>314</v>
      </c>
      <c r="C91" s="26">
        <v>1</v>
      </c>
      <c r="D91" s="20" t="str">
        <f t="shared" si="9"/>
        <v>NODE_14_CHOICE_1</v>
      </c>
      <c r="E91" s="29"/>
      <c r="F91" s="21"/>
    </row>
    <row r="92" spans="1:7" x14ac:dyDescent="0.2">
      <c r="A92" s="21" t="s">
        <v>363</v>
      </c>
      <c r="B92" s="25" t="s">
        <v>314</v>
      </c>
      <c r="C92" s="26">
        <v>2</v>
      </c>
      <c r="D92" s="20" t="str">
        <f t="shared" si="9"/>
        <v>NODE_14_CHOICE_2</v>
      </c>
      <c r="E92" s="29"/>
      <c r="F92" s="21"/>
    </row>
    <row r="93" spans="1:7" x14ac:dyDescent="0.2">
      <c r="A93" s="21" t="s">
        <v>363</v>
      </c>
      <c r="B93" s="25" t="s">
        <v>315</v>
      </c>
      <c r="C93" s="26">
        <v>1</v>
      </c>
      <c r="D93" s="20" t="str">
        <f t="shared" si="9"/>
        <v>NODE_15_CHOICE_1</v>
      </c>
      <c r="E93" s="29"/>
      <c r="F93" s="21"/>
    </row>
    <row r="94" spans="1:7" x14ac:dyDescent="0.2">
      <c r="A94" s="21" t="s">
        <v>363</v>
      </c>
      <c r="B94" s="25" t="s">
        <v>315</v>
      </c>
      <c r="C94" s="26">
        <v>2</v>
      </c>
      <c r="D94" s="20" t="str">
        <f t="shared" si="9"/>
        <v>NODE_15_CHOICE_2</v>
      </c>
      <c r="E94" s="29"/>
      <c r="F94" s="21"/>
    </row>
    <row r="95" spans="1:7" ht="33" x14ac:dyDescent="0.2">
      <c r="A95" s="21" t="s">
        <v>363</v>
      </c>
      <c r="B95" s="25" t="s">
        <v>316</v>
      </c>
      <c r="C95" s="26">
        <v>1</v>
      </c>
      <c r="D95" s="20" t="str">
        <f t="shared" si="9"/>
        <v>NODE_16_CHOICE_1</v>
      </c>
      <c r="E95" s="36" t="s">
        <v>606</v>
      </c>
      <c r="F95" s="21"/>
      <c r="G95" s="78" t="str">
        <f t="shared" ref="G95:G96" si="10">"C_"&amp;E95</f>
        <v>C_이 정도면 빚은 갚은거겠지.
이제 돌아가볼까?</v>
      </c>
    </row>
    <row r="96" spans="1:7" ht="33" x14ac:dyDescent="0.2">
      <c r="A96" s="21" t="s">
        <v>363</v>
      </c>
      <c r="B96" s="25" t="s">
        <v>316</v>
      </c>
      <c r="C96" s="26">
        <v>2</v>
      </c>
      <c r="D96" s="20" t="str">
        <f t="shared" si="9"/>
        <v>NODE_16_CHOICE_2</v>
      </c>
      <c r="E96" s="36" t="s">
        <v>607</v>
      </c>
      <c r="F96" s="21"/>
      <c r="G96" s="78" t="str">
        <f t="shared" si="10"/>
        <v>C_애꾸놈의 기를 확실히 꺽어주지.
이 자의 목을 걸어두고 함성을 질러라!!</v>
      </c>
    </row>
    <row r="97" spans="1:7" x14ac:dyDescent="0.2">
      <c r="A97" s="21" t="s">
        <v>363</v>
      </c>
      <c r="B97" s="25" t="s">
        <v>320</v>
      </c>
      <c r="C97" s="26">
        <v>1</v>
      </c>
      <c r="D97" s="20" t="str">
        <f t="shared" si="9"/>
        <v>NODE_19B_CHOICE_1</v>
      </c>
      <c r="E97" s="29"/>
      <c r="F97" s="21"/>
    </row>
    <row r="98" spans="1:7" x14ac:dyDescent="0.2">
      <c r="A98" s="21" t="s">
        <v>363</v>
      </c>
      <c r="B98" s="25" t="s">
        <v>320</v>
      </c>
      <c r="C98" s="26">
        <v>2</v>
      </c>
      <c r="D98" s="20" t="str">
        <f t="shared" si="9"/>
        <v>NODE_19B_CHOICE_2</v>
      </c>
      <c r="E98" s="29"/>
      <c r="F98" s="21"/>
    </row>
    <row r="99" spans="1:7" x14ac:dyDescent="0.2">
      <c r="A99" s="21" t="s">
        <v>363</v>
      </c>
      <c r="B99" s="25" t="s">
        <v>323</v>
      </c>
      <c r="C99" s="26">
        <v>1</v>
      </c>
      <c r="D99" s="20" t="str">
        <f t="shared" si="9"/>
        <v>NODE_21B_CHOICE_1</v>
      </c>
      <c r="E99" s="29"/>
      <c r="F99" s="21"/>
    </row>
    <row r="100" spans="1:7" x14ac:dyDescent="0.2">
      <c r="A100" s="21" t="s">
        <v>363</v>
      </c>
      <c r="B100" s="25" t="s">
        <v>323</v>
      </c>
      <c r="C100" s="26">
        <v>2</v>
      </c>
      <c r="D100" s="20" t="str">
        <f t="shared" si="9"/>
        <v>NODE_21B_CHOICE_2</v>
      </c>
      <c r="E100" s="29"/>
      <c r="F100" s="21"/>
    </row>
    <row r="101" spans="1:7" x14ac:dyDescent="0.2">
      <c r="A101" s="21" t="s">
        <v>363</v>
      </c>
      <c r="B101" s="25" t="s">
        <v>329</v>
      </c>
      <c r="C101" s="26">
        <v>1</v>
      </c>
      <c r="D101" s="20" t="str">
        <f t="shared" si="9"/>
        <v>NODE_25_CHOICE_1</v>
      </c>
      <c r="E101" s="29"/>
      <c r="F101" s="21"/>
    </row>
    <row r="102" spans="1:7" x14ac:dyDescent="0.2">
      <c r="A102" s="21" t="s">
        <v>363</v>
      </c>
      <c r="B102" s="25" t="s">
        <v>329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7" x14ac:dyDescent="0.2">
      <c r="A103" s="21" t="s">
        <v>365</v>
      </c>
      <c r="B103" s="25" t="s">
        <v>300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11">"선택"&amp;C103</f>
        <v>선택1</v>
      </c>
      <c r="F103" s="21"/>
      <c r="G103" s="78" t="str">
        <f t="shared" ref="G103:G126" si="12">"C_"&amp;E103</f>
        <v>C_선택1</v>
      </c>
    </row>
    <row r="104" spans="1:7" x14ac:dyDescent="0.2">
      <c r="A104" s="21" t="s">
        <v>365</v>
      </c>
      <c r="B104" s="25" t="s">
        <v>300</v>
      </c>
      <c r="C104" s="26">
        <v>2</v>
      </c>
      <c r="D104" s="20" t="str">
        <f t="shared" ref="D104:D126" si="13">UPPER(B104)&amp;"_CHOICE_"&amp;C104&amp;"_DESC"</f>
        <v>NODE_1_CHOICE_2_DESC</v>
      </c>
      <c r="E104" s="29" t="str">
        <f t="shared" si="11"/>
        <v>선택2</v>
      </c>
      <c r="F104" s="21"/>
      <c r="G104" s="78" t="str">
        <f t="shared" si="12"/>
        <v>C_선택2</v>
      </c>
    </row>
    <row r="105" spans="1:7" x14ac:dyDescent="0.2">
      <c r="A105" s="21" t="s">
        <v>365</v>
      </c>
      <c r="B105" s="25" t="s">
        <v>400</v>
      </c>
      <c r="C105" s="26">
        <v>1</v>
      </c>
      <c r="D105" s="20" t="str">
        <f t="shared" si="13"/>
        <v>NODE_5_CHOICE_1_DESC</v>
      </c>
      <c r="E105" s="29" t="str">
        <f t="shared" si="11"/>
        <v>선택1</v>
      </c>
      <c r="F105" s="21"/>
      <c r="G105" s="78" t="str">
        <f t="shared" si="12"/>
        <v>C_선택1</v>
      </c>
    </row>
    <row r="106" spans="1:7" x14ac:dyDescent="0.2">
      <c r="A106" s="21" t="s">
        <v>365</v>
      </c>
      <c r="B106" s="25" t="s">
        <v>400</v>
      </c>
      <c r="C106" s="26">
        <v>2</v>
      </c>
      <c r="D106" s="20" t="str">
        <f t="shared" si="13"/>
        <v>NODE_5_CHOICE_2_DESC</v>
      </c>
      <c r="E106" s="29" t="str">
        <f t="shared" si="11"/>
        <v>선택2</v>
      </c>
      <c r="F106" s="21"/>
      <c r="G106" s="78" t="str">
        <f t="shared" si="12"/>
        <v>C_선택2</v>
      </c>
    </row>
    <row r="107" spans="1:7" x14ac:dyDescent="0.2">
      <c r="A107" s="21" t="s">
        <v>365</v>
      </c>
      <c r="B107" s="25" t="s">
        <v>305</v>
      </c>
      <c r="C107" s="26">
        <v>1</v>
      </c>
      <c r="D107" s="20" t="str">
        <f t="shared" si="13"/>
        <v>NODE_6_CHOICE_1_DESC</v>
      </c>
      <c r="E107" s="29" t="str">
        <f t="shared" si="11"/>
        <v>선택1</v>
      </c>
      <c r="F107" s="21"/>
      <c r="G107" s="78" t="str">
        <f t="shared" si="12"/>
        <v>C_선택1</v>
      </c>
    </row>
    <row r="108" spans="1:7" x14ac:dyDescent="0.2">
      <c r="A108" s="21" t="s">
        <v>365</v>
      </c>
      <c r="B108" s="25" t="s">
        <v>305</v>
      </c>
      <c r="C108" s="26">
        <v>2</v>
      </c>
      <c r="D108" s="20" t="str">
        <f t="shared" si="13"/>
        <v>NODE_6_CHOICE_2_DESC</v>
      </c>
      <c r="E108" s="29" t="str">
        <f t="shared" si="11"/>
        <v>선택2</v>
      </c>
      <c r="F108" s="21"/>
      <c r="G108" s="78" t="str">
        <f t="shared" si="12"/>
        <v>C_선택2</v>
      </c>
    </row>
    <row r="109" spans="1:7" x14ac:dyDescent="0.2">
      <c r="A109" s="21" t="s">
        <v>365</v>
      </c>
      <c r="B109" s="25" t="s">
        <v>306</v>
      </c>
      <c r="C109" s="26">
        <v>1</v>
      </c>
      <c r="D109" s="20" t="str">
        <f t="shared" si="13"/>
        <v>NODE_7_CHOICE_1_DESC</v>
      </c>
      <c r="E109" s="29" t="str">
        <f t="shared" si="11"/>
        <v>선택1</v>
      </c>
      <c r="F109" s="21"/>
      <c r="G109" s="78" t="str">
        <f t="shared" si="12"/>
        <v>C_선택1</v>
      </c>
    </row>
    <row r="110" spans="1:7" x14ac:dyDescent="0.2">
      <c r="A110" s="21" t="s">
        <v>365</v>
      </c>
      <c r="B110" s="25" t="s">
        <v>306</v>
      </c>
      <c r="C110" s="26">
        <v>2</v>
      </c>
      <c r="D110" s="20" t="str">
        <f t="shared" si="13"/>
        <v>NODE_7_CHOICE_2_DESC</v>
      </c>
      <c r="E110" s="29" t="str">
        <f t="shared" si="11"/>
        <v>선택2</v>
      </c>
      <c r="F110" s="21"/>
      <c r="G110" s="78" t="str">
        <f t="shared" si="12"/>
        <v>C_선택2</v>
      </c>
    </row>
    <row r="111" spans="1:7" x14ac:dyDescent="0.2">
      <c r="A111" s="21" t="s">
        <v>365</v>
      </c>
      <c r="B111" s="25" t="s">
        <v>309</v>
      </c>
      <c r="C111" s="26">
        <v>1</v>
      </c>
      <c r="D111" s="20" t="str">
        <f t="shared" si="13"/>
        <v>NODE_10_CHOICE_1_DESC</v>
      </c>
      <c r="E111" s="29" t="str">
        <f t="shared" si="11"/>
        <v>선택1</v>
      </c>
      <c r="F111" s="21"/>
      <c r="G111" s="78" t="str">
        <f t="shared" si="12"/>
        <v>C_선택1</v>
      </c>
    </row>
    <row r="112" spans="1:7" x14ac:dyDescent="0.2">
      <c r="A112" s="21" t="s">
        <v>365</v>
      </c>
      <c r="B112" s="25" t="s">
        <v>309</v>
      </c>
      <c r="C112" s="26">
        <v>2</v>
      </c>
      <c r="D112" s="20" t="str">
        <f t="shared" si="13"/>
        <v>NODE_10_CHOICE_2_DESC</v>
      </c>
      <c r="E112" s="29" t="str">
        <f t="shared" si="11"/>
        <v>선택2</v>
      </c>
      <c r="F112" s="21"/>
      <c r="G112" s="78" t="str">
        <f t="shared" si="12"/>
        <v>C_선택2</v>
      </c>
    </row>
    <row r="113" spans="1:7" x14ac:dyDescent="0.2">
      <c r="A113" s="21" t="s">
        <v>365</v>
      </c>
      <c r="B113" s="25" t="s">
        <v>312</v>
      </c>
      <c r="C113" s="26">
        <v>1</v>
      </c>
      <c r="D113" s="20" t="str">
        <f t="shared" si="13"/>
        <v>NODE_12B_CHOICE_1_DESC</v>
      </c>
      <c r="E113" s="29" t="str">
        <f t="shared" si="11"/>
        <v>선택1</v>
      </c>
      <c r="F113" s="21"/>
      <c r="G113" s="78" t="str">
        <f t="shared" si="12"/>
        <v>C_선택1</v>
      </c>
    </row>
    <row r="114" spans="1:7" x14ac:dyDescent="0.2">
      <c r="A114" s="21" t="s">
        <v>365</v>
      </c>
      <c r="B114" s="25" t="s">
        <v>312</v>
      </c>
      <c r="C114" s="26">
        <v>2</v>
      </c>
      <c r="D114" s="20" t="str">
        <f t="shared" si="13"/>
        <v>NODE_12B_CHOICE_2_DESC</v>
      </c>
      <c r="E114" s="29" t="str">
        <f t="shared" si="11"/>
        <v>선택2</v>
      </c>
      <c r="F114" s="21"/>
      <c r="G114" s="78" t="str">
        <f t="shared" si="12"/>
        <v>C_선택2</v>
      </c>
    </row>
    <row r="115" spans="1:7" x14ac:dyDescent="0.2">
      <c r="A115" s="21" t="s">
        <v>365</v>
      </c>
      <c r="B115" s="25" t="s">
        <v>314</v>
      </c>
      <c r="C115" s="26">
        <v>1</v>
      </c>
      <c r="D115" s="20" t="str">
        <f t="shared" si="13"/>
        <v>NODE_14_CHOICE_1_DESC</v>
      </c>
      <c r="E115" s="29" t="str">
        <f t="shared" si="11"/>
        <v>선택1</v>
      </c>
      <c r="F115" s="21"/>
      <c r="G115" s="78" t="str">
        <f t="shared" si="12"/>
        <v>C_선택1</v>
      </c>
    </row>
    <row r="116" spans="1:7" x14ac:dyDescent="0.2">
      <c r="A116" s="21" t="s">
        <v>365</v>
      </c>
      <c r="B116" s="25" t="s">
        <v>314</v>
      </c>
      <c r="C116" s="26">
        <v>2</v>
      </c>
      <c r="D116" s="20" t="str">
        <f t="shared" si="13"/>
        <v>NODE_14_CHOICE_2_DESC</v>
      </c>
      <c r="E116" s="29" t="str">
        <f t="shared" si="11"/>
        <v>선택2</v>
      </c>
      <c r="F116" s="21"/>
      <c r="G116" s="78" t="str">
        <f t="shared" si="12"/>
        <v>C_선택2</v>
      </c>
    </row>
    <row r="117" spans="1:7" x14ac:dyDescent="0.2">
      <c r="A117" s="21" t="s">
        <v>365</v>
      </c>
      <c r="B117" s="25" t="s">
        <v>315</v>
      </c>
      <c r="C117" s="26">
        <v>1</v>
      </c>
      <c r="D117" s="20" t="str">
        <f t="shared" si="13"/>
        <v>NODE_15_CHOICE_1_DESC</v>
      </c>
      <c r="E117" s="29" t="str">
        <f t="shared" si="11"/>
        <v>선택1</v>
      </c>
      <c r="F117" s="21"/>
      <c r="G117" s="78" t="str">
        <f t="shared" si="12"/>
        <v>C_선택1</v>
      </c>
    </row>
    <row r="118" spans="1:7" x14ac:dyDescent="0.2">
      <c r="A118" s="21" t="s">
        <v>365</v>
      </c>
      <c r="B118" s="25" t="s">
        <v>315</v>
      </c>
      <c r="C118" s="26">
        <v>2</v>
      </c>
      <c r="D118" s="20" t="str">
        <f t="shared" si="13"/>
        <v>NODE_15_CHOICE_2_DESC</v>
      </c>
      <c r="E118" s="29" t="str">
        <f t="shared" si="11"/>
        <v>선택2</v>
      </c>
      <c r="F118" s="21"/>
      <c r="G118" s="78" t="str">
        <f t="shared" si="12"/>
        <v>C_선택2</v>
      </c>
    </row>
    <row r="119" spans="1:7" x14ac:dyDescent="0.2">
      <c r="A119" s="21" t="s">
        <v>365</v>
      </c>
      <c r="B119" s="25" t="s">
        <v>316</v>
      </c>
      <c r="C119" s="26">
        <v>1</v>
      </c>
      <c r="D119" s="20" t="str">
        <f t="shared" si="13"/>
        <v>NODE_16_CHOICE_1_DESC</v>
      </c>
      <c r="E119" s="29" t="s">
        <v>841</v>
      </c>
      <c r="F119" s="21"/>
      <c r="G119" s="78" t="str">
        <f t="shared" si="12"/>
        <v>C_눈에 띄는 건 싫군</v>
      </c>
    </row>
    <row r="120" spans="1:7" x14ac:dyDescent="0.2">
      <c r="A120" s="21" t="s">
        <v>365</v>
      </c>
      <c r="B120" s="25" t="s">
        <v>316</v>
      </c>
      <c r="C120" s="26">
        <v>2</v>
      </c>
      <c r="D120" s="20" t="str">
        <f t="shared" si="13"/>
        <v>NODE_16_CHOICE_2_DESC</v>
      </c>
      <c r="E120" s="29" t="s">
        <v>842</v>
      </c>
      <c r="F120" s="21"/>
      <c r="G120" s="78" t="str">
        <f t="shared" si="12"/>
        <v>C_문추의 목을 높이 들어라</v>
      </c>
    </row>
    <row r="121" spans="1:7" x14ac:dyDescent="0.2">
      <c r="A121" s="21" t="s">
        <v>365</v>
      </c>
      <c r="B121" s="25" t="s">
        <v>320</v>
      </c>
      <c r="C121" s="26">
        <v>1</v>
      </c>
      <c r="D121" s="20" t="str">
        <f t="shared" si="13"/>
        <v>NODE_19B_CHOICE_1_DESC</v>
      </c>
      <c r="E121" s="29" t="str">
        <f t="shared" si="11"/>
        <v>선택1</v>
      </c>
      <c r="F121" s="21"/>
      <c r="G121" s="78" t="str">
        <f t="shared" si="12"/>
        <v>C_선택1</v>
      </c>
    </row>
    <row r="122" spans="1:7" x14ac:dyDescent="0.2">
      <c r="A122" s="21" t="s">
        <v>365</v>
      </c>
      <c r="B122" s="25" t="s">
        <v>320</v>
      </c>
      <c r="C122" s="26">
        <v>2</v>
      </c>
      <c r="D122" s="20" t="str">
        <f t="shared" si="13"/>
        <v>NODE_19B_CHOICE_2_DESC</v>
      </c>
      <c r="E122" s="29" t="str">
        <f t="shared" si="11"/>
        <v>선택2</v>
      </c>
      <c r="F122" s="21"/>
      <c r="G122" s="78" t="str">
        <f t="shared" si="12"/>
        <v>C_선택2</v>
      </c>
    </row>
    <row r="123" spans="1:7" x14ac:dyDescent="0.2">
      <c r="A123" s="21" t="s">
        <v>365</v>
      </c>
      <c r="B123" s="25" t="s">
        <v>323</v>
      </c>
      <c r="C123" s="26">
        <v>1</v>
      </c>
      <c r="D123" s="20" t="str">
        <f t="shared" si="13"/>
        <v>NODE_21B_CHOICE_1_DESC</v>
      </c>
      <c r="E123" s="29" t="str">
        <f t="shared" si="11"/>
        <v>선택1</v>
      </c>
      <c r="F123" s="21"/>
      <c r="G123" s="78" t="str">
        <f t="shared" si="12"/>
        <v>C_선택1</v>
      </c>
    </row>
    <row r="124" spans="1:7" x14ac:dyDescent="0.2">
      <c r="A124" s="21" t="s">
        <v>365</v>
      </c>
      <c r="B124" s="25" t="s">
        <v>323</v>
      </c>
      <c r="C124" s="26">
        <v>2</v>
      </c>
      <c r="D124" s="20" t="str">
        <f t="shared" si="13"/>
        <v>NODE_21B_CHOICE_2_DESC</v>
      </c>
      <c r="E124" s="29" t="str">
        <f t="shared" si="11"/>
        <v>선택2</v>
      </c>
      <c r="F124" s="21"/>
      <c r="G124" s="78" t="str">
        <f t="shared" si="12"/>
        <v>C_선택2</v>
      </c>
    </row>
    <row r="125" spans="1:7" x14ac:dyDescent="0.2">
      <c r="A125" s="21" t="s">
        <v>365</v>
      </c>
      <c r="B125" s="25" t="s">
        <v>329</v>
      </c>
      <c r="C125" s="26">
        <v>1</v>
      </c>
      <c r="D125" s="20" t="str">
        <f t="shared" si="13"/>
        <v>NODE_25_CHOICE_1_DESC</v>
      </c>
      <c r="E125" s="29" t="str">
        <f t="shared" si="11"/>
        <v>선택1</v>
      </c>
      <c r="F125" s="21"/>
      <c r="G125" s="78" t="str">
        <f t="shared" si="12"/>
        <v>C_선택1</v>
      </c>
    </row>
    <row r="126" spans="1:7" x14ac:dyDescent="0.2">
      <c r="A126" s="21" t="s">
        <v>365</v>
      </c>
      <c r="B126" s="25" t="s">
        <v>329</v>
      </c>
      <c r="C126" s="26">
        <v>2</v>
      </c>
      <c r="D126" s="20" t="str">
        <f t="shared" si="13"/>
        <v>NODE_25_CHOICE_2_DESC</v>
      </c>
      <c r="E126" s="29" t="str">
        <f t="shared" si="11"/>
        <v>선택2</v>
      </c>
      <c r="F126" s="21"/>
      <c r="G126" s="78" t="str">
        <f t="shared" si="12"/>
        <v>C_선택2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8"/>
  <sheetViews>
    <sheetView workbookViewId="0">
      <selection activeCell="G3" sqref="G1:G3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45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44" t="s">
        <v>0</v>
      </c>
      <c r="F1" s="35" t="s">
        <v>1</v>
      </c>
      <c r="G1" s="77" t="s">
        <v>1233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44" t="s">
        <v>2</v>
      </c>
      <c r="F2" s="35" t="s">
        <v>2</v>
      </c>
      <c r="G2" s="77" t="s">
        <v>2</v>
      </c>
    </row>
    <row r="3" spans="1:7" x14ac:dyDescent="0.3">
      <c r="A3" s="21" t="s">
        <v>362</v>
      </c>
      <c r="B3" s="47" t="s">
        <v>848</v>
      </c>
      <c r="C3" s="21" t="s">
        <v>847</v>
      </c>
      <c r="D3" s="39" t="str">
        <f>B3&amp;"_"&amp;TEXT(C3,"0000")&amp;"_"&amp;A3</f>
        <v>GUIDE_MOVE_TITLE</v>
      </c>
      <c r="E3" s="47" t="s">
        <v>843</v>
      </c>
      <c r="F3" s="41"/>
      <c r="G3" s="78" t="str">
        <f t="shared" ref="G3:G27" si="0">"C_"&amp;E3</f>
        <v>C_이동하기</v>
      </c>
    </row>
    <row r="4" spans="1:7" x14ac:dyDescent="0.3">
      <c r="A4" s="21" t="str">
        <f>A3</f>
        <v>TITLE</v>
      </c>
      <c r="B4" s="50" t="str">
        <f>B3</f>
        <v>GUIDE</v>
      </c>
      <c r="C4" s="21" t="s">
        <v>869</v>
      </c>
      <c r="D4" s="39" t="str">
        <f t="shared" ref="D4:D9" si="1">B4&amp;"_"&amp;TEXT(C4,"0000")&amp;"_"&amp;A4</f>
        <v>GUIDE_NORMAL_ATTACK_TITLE</v>
      </c>
      <c r="E4" s="47" t="s">
        <v>844</v>
      </c>
      <c r="F4" s="41"/>
      <c r="G4" s="78" t="str">
        <f t="shared" si="0"/>
        <v>C_기본공격 하기</v>
      </c>
    </row>
    <row r="5" spans="1:7" x14ac:dyDescent="0.3">
      <c r="A5" s="21" t="str">
        <f t="shared" ref="A5:A18" si="2">A4</f>
        <v>TITLE</v>
      </c>
      <c r="B5" s="50" t="str">
        <f>B4</f>
        <v>GUIDE</v>
      </c>
      <c r="C5" s="21" t="s">
        <v>870</v>
      </c>
      <c r="D5" s="39" t="str">
        <f t="shared" si="1"/>
        <v>GUIDE_MAIN_SKILL_USE_TITLE</v>
      </c>
      <c r="E5" s="47" t="s">
        <v>845</v>
      </c>
      <c r="F5" s="41"/>
      <c r="G5" s="78" t="str">
        <f t="shared" si="0"/>
        <v>C_스킬 사용하기</v>
      </c>
    </row>
    <row r="6" spans="1:7" x14ac:dyDescent="0.3">
      <c r="A6" s="21" t="str">
        <f t="shared" si="2"/>
        <v>TITLE</v>
      </c>
      <c r="B6" s="50" t="str">
        <f>B5</f>
        <v>GUIDE</v>
      </c>
      <c r="C6" s="21" t="s">
        <v>871</v>
      </c>
      <c r="D6" s="39" t="str">
        <f t="shared" si="1"/>
        <v>GUIDE_DASH_USE_TITLE</v>
      </c>
      <c r="E6" s="47" t="s">
        <v>846</v>
      </c>
      <c r="F6" s="41"/>
      <c r="G6" s="78" t="str">
        <f t="shared" si="0"/>
        <v>C_대쉬 사용하기</v>
      </c>
    </row>
    <row r="7" spans="1:7" x14ac:dyDescent="0.3">
      <c r="A7" s="21" t="str">
        <f t="shared" si="2"/>
        <v>TITLE</v>
      </c>
      <c r="B7" s="50" t="str">
        <f>B6</f>
        <v>GUIDE</v>
      </c>
      <c r="C7" s="21" t="s">
        <v>872</v>
      </c>
      <c r="D7" s="39" t="str">
        <f t="shared" si="1"/>
        <v>GUIDE_STORYMODE_PLAY_TITLE</v>
      </c>
      <c r="E7" s="55" t="s">
        <v>874</v>
      </c>
      <c r="F7" s="41"/>
      <c r="G7" s="78" t="str">
        <f t="shared" si="0"/>
        <v>C_스토리모드 클리어</v>
      </c>
    </row>
    <row r="8" spans="1:7" x14ac:dyDescent="0.3">
      <c r="A8" s="21" t="str">
        <f t="shared" si="2"/>
        <v>TITLE</v>
      </c>
      <c r="B8" s="50" t="str">
        <f>B7</f>
        <v>GUIDE</v>
      </c>
      <c r="C8" s="21" t="s">
        <v>873</v>
      </c>
      <c r="D8" s="39" t="str">
        <f t="shared" si="1"/>
        <v>GUIDE_CHARACTER_DEPLOY_TITLE</v>
      </c>
      <c r="E8" s="54" t="s">
        <v>849</v>
      </c>
      <c r="F8" s="41"/>
      <c r="G8" s="78" t="str">
        <f t="shared" si="0"/>
        <v>C_장수 배치하기</v>
      </c>
    </row>
    <row r="9" spans="1:7" x14ac:dyDescent="0.3">
      <c r="A9" s="21" t="str">
        <f t="shared" si="2"/>
        <v>TITLE</v>
      </c>
      <c r="B9" s="50" t="str">
        <f>B8</f>
        <v>GUIDE</v>
      </c>
      <c r="C9" s="27" t="s">
        <v>858</v>
      </c>
      <c r="D9" s="39" t="str">
        <f t="shared" si="1"/>
        <v>GUIDE_DAILY_DUNGEON_PLAY_TITLE</v>
      </c>
      <c r="E9" s="47" t="s">
        <v>876</v>
      </c>
      <c r="F9" s="41"/>
      <c r="G9" s="78" t="str">
        <f t="shared" si="0"/>
        <v>C_요일 던전 클리어</v>
      </c>
    </row>
    <row r="10" spans="1:7" x14ac:dyDescent="0.3">
      <c r="A10" s="21" t="str">
        <f t="shared" si="2"/>
        <v>TITLE</v>
      </c>
      <c r="B10" s="47" t="s">
        <v>850</v>
      </c>
      <c r="C10" s="27" t="s">
        <v>851</v>
      </c>
      <c r="D10" s="39" t="str">
        <f t="shared" ref="D10:D18" si="3">B10&amp;"_"&amp;TEXT(C10,"0000")&amp;"_"&amp;A10</f>
        <v>REPEAT_ENEMY_KILL_TITLE</v>
      </c>
      <c r="E10" s="47" t="s">
        <v>860</v>
      </c>
      <c r="F10" s="41"/>
      <c r="G10" s="78" t="str">
        <f t="shared" si="0"/>
        <v>C_적 처치하기</v>
      </c>
    </row>
    <row r="11" spans="1:7" x14ac:dyDescent="0.3">
      <c r="A11" s="21" t="str">
        <f t="shared" si="2"/>
        <v>TITLE</v>
      </c>
      <c r="B11" s="47" t="s">
        <v>850</v>
      </c>
      <c r="C11" s="27" t="s">
        <v>852</v>
      </c>
      <c r="D11" s="39" t="str">
        <f t="shared" si="3"/>
        <v>REPEAT_TOURNAMENT_PLAY_TITLE</v>
      </c>
      <c r="E11" s="47" t="s">
        <v>861</v>
      </c>
      <c r="F11" s="41"/>
      <c r="G11" s="78" t="str">
        <f t="shared" si="0"/>
        <v>C_토너먼트 참여하기</v>
      </c>
    </row>
    <row r="12" spans="1:7" x14ac:dyDescent="0.3">
      <c r="A12" s="21" t="str">
        <f t="shared" si="2"/>
        <v>TITLE</v>
      </c>
      <c r="B12" s="47" t="s">
        <v>850</v>
      </c>
      <c r="C12" s="27" t="s">
        <v>853</v>
      </c>
      <c r="D12" s="39" t="str">
        <f t="shared" si="3"/>
        <v>REPEAT_RAID_PLAY_TITLE</v>
      </c>
      <c r="E12" s="47" t="s">
        <v>862</v>
      </c>
      <c r="F12" s="41"/>
      <c r="G12" s="78" t="str">
        <f t="shared" si="0"/>
        <v>C_레이드 참여하기</v>
      </c>
    </row>
    <row r="13" spans="1:7" x14ac:dyDescent="0.3">
      <c r="A13" s="21" t="str">
        <f t="shared" si="2"/>
        <v>TITLE</v>
      </c>
      <c r="B13" s="47" t="s">
        <v>850</v>
      </c>
      <c r="C13" s="27" t="s">
        <v>854</v>
      </c>
      <c r="D13" s="39" t="str">
        <f t="shared" si="3"/>
        <v>REPEAT_GACHA_PROGRESS_TITLE</v>
      </c>
      <c r="E13" s="47" t="s">
        <v>863</v>
      </c>
      <c r="F13" s="41"/>
      <c r="G13" s="78" t="str">
        <f t="shared" si="0"/>
        <v>C_장수 모집 진행하기</v>
      </c>
    </row>
    <row r="14" spans="1:7" x14ac:dyDescent="0.3">
      <c r="A14" s="21" t="str">
        <f t="shared" si="2"/>
        <v>TITLE</v>
      </c>
      <c r="B14" s="47" t="s">
        <v>850</v>
      </c>
      <c r="C14" s="27" t="s">
        <v>855</v>
      </c>
      <c r="D14" s="39" t="str">
        <f t="shared" si="3"/>
        <v>REPEAT_FARM_RICE_EARN_TITLE</v>
      </c>
      <c r="E14" s="47" t="s">
        <v>864</v>
      </c>
      <c r="F14" s="41"/>
      <c r="G14" s="78" t="str">
        <f t="shared" si="0"/>
        <v>C_군량 수확하기</v>
      </c>
    </row>
    <row r="15" spans="1:7" x14ac:dyDescent="0.3">
      <c r="A15" s="21" t="str">
        <f t="shared" si="2"/>
        <v>TITLE</v>
      </c>
      <c r="B15" s="47" t="s">
        <v>850</v>
      </c>
      <c r="C15" s="27" t="s">
        <v>856</v>
      </c>
      <c r="D15" s="39" t="str">
        <f t="shared" si="3"/>
        <v>REPEAT_MARKET_GOLD_EARN_TITLE</v>
      </c>
      <c r="E15" s="47" t="s">
        <v>865</v>
      </c>
      <c r="F15" s="41"/>
      <c r="G15" s="78" t="str">
        <f t="shared" si="0"/>
        <v>C_금화 수확하기</v>
      </c>
    </row>
    <row r="16" spans="1:7" x14ac:dyDescent="0.3">
      <c r="A16" s="21" t="str">
        <f t="shared" si="2"/>
        <v>TITLE</v>
      </c>
      <c r="B16" s="47" t="s">
        <v>850</v>
      </c>
      <c r="C16" s="27" t="s">
        <v>857</v>
      </c>
      <c r="D16" s="39" t="str">
        <f t="shared" si="3"/>
        <v>REPEAT_OFFICE_MISSION_PROGRESS_TITLE</v>
      </c>
      <c r="E16" s="47" t="s">
        <v>866</v>
      </c>
      <c r="F16" s="41"/>
      <c r="G16" s="78" t="str">
        <f t="shared" si="0"/>
        <v>C_관아 파견 보내기</v>
      </c>
    </row>
    <row r="17" spans="1:7" x14ac:dyDescent="0.3">
      <c r="A17" s="21" t="str">
        <f t="shared" si="2"/>
        <v>TITLE</v>
      </c>
      <c r="B17" s="47" t="s">
        <v>850</v>
      </c>
      <c r="C17" s="27" t="s">
        <v>858</v>
      </c>
      <c r="D17" s="39" t="str">
        <f t="shared" si="3"/>
        <v>REPEAT_DAILY_DUNGEON_PLAY_TITLE</v>
      </c>
      <c r="E17" s="47" t="s">
        <v>867</v>
      </c>
      <c r="F17" s="41"/>
      <c r="G17" s="78" t="str">
        <f t="shared" si="0"/>
        <v>C_요일던전 플레이하기</v>
      </c>
    </row>
    <row r="18" spans="1:7" x14ac:dyDescent="0.3">
      <c r="A18" s="21" t="str">
        <f t="shared" si="2"/>
        <v>TITLE</v>
      </c>
      <c r="B18" s="47" t="s">
        <v>850</v>
      </c>
      <c r="C18" s="27" t="s">
        <v>859</v>
      </c>
      <c r="D18" s="39" t="str">
        <f t="shared" si="3"/>
        <v>REPEAT_STAGE_BOSS_KILL_TITLE</v>
      </c>
      <c r="E18" s="47" t="s">
        <v>868</v>
      </c>
      <c r="F18" s="41"/>
      <c r="G18" s="78" t="str">
        <f t="shared" si="0"/>
        <v>C_스테이지 보스 처치</v>
      </c>
    </row>
    <row r="19" spans="1:7" x14ac:dyDescent="0.3">
      <c r="A19" s="21" t="s">
        <v>367</v>
      </c>
      <c r="B19" s="47" t="s">
        <v>848</v>
      </c>
      <c r="C19" s="21" t="s">
        <v>847</v>
      </c>
      <c r="D19" s="39" t="str">
        <f>B19&amp;"_"&amp;TEXT(C19,"0000")&amp;"_"&amp;A19</f>
        <v>GUIDE_MOVE_DESC</v>
      </c>
      <c r="E19" s="45" t="s">
        <v>1225</v>
      </c>
      <c r="F19" s="41"/>
      <c r="G19" s="78" t="str">
        <f t="shared" si="0"/>
        <v>C_[W,A,S,D]를 눌러\n이동해보자.</v>
      </c>
    </row>
    <row r="20" spans="1:7" x14ac:dyDescent="0.3">
      <c r="A20" s="49" t="s">
        <v>1222</v>
      </c>
      <c r="B20" s="47" t="s">
        <v>848</v>
      </c>
      <c r="C20" s="21" t="s">
        <v>847</v>
      </c>
      <c r="D20" s="39" t="str">
        <f>B20&amp;"_"&amp;TEXT(C20,"0000")&amp;"_"&amp;A20</f>
        <v>GUIDE_MOVE_DESC_MOBILE</v>
      </c>
      <c r="E20" s="45" t="s">
        <v>1226</v>
      </c>
      <c r="F20" s="41"/>
      <c r="G20" s="78" t="str">
        <f t="shared" si="0"/>
        <v>C_화면을 터치해 이동해보자.</v>
      </c>
    </row>
    <row r="21" spans="1:7" x14ac:dyDescent="0.3">
      <c r="A21" s="21" t="s">
        <v>367</v>
      </c>
      <c r="B21" s="50" t="str">
        <f>B19</f>
        <v>GUIDE</v>
      </c>
      <c r="C21" s="21" t="s">
        <v>869</v>
      </c>
      <c r="D21" s="39" t="str">
        <f t="shared" ref="D21:D22" si="4">B21&amp;"_"&amp;TEXT(C21,"0000")&amp;"_"&amp;A21</f>
        <v>GUIDE_NORMAL_ATTACK_DESC</v>
      </c>
      <c r="E21" s="45" t="s">
        <v>1227</v>
      </c>
      <c r="F21" s="41"/>
      <c r="G21" s="78" t="str">
        <f t="shared" si="0"/>
        <v>C_[X]키를 눌러 공격해보자.\n화면을 터치해도 가능해.</v>
      </c>
    </row>
    <row r="22" spans="1:7" x14ac:dyDescent="0.3">
      <c r="A22" s="49" t="s">
        <v>1222</v>
      </c>
      <c r="B22" s="50" t="str">
        <f>B21</f>
        <v>GUIDE</v>
      </c>
      <c r="C22" s="21" t="s">
        <v>869</v>
      </c>
      <c r="D22" s="39" t="str">
        <f t="shared" si="4"/>
        <v>GUIDE_NORMAL_ATTACK_DESC_MOBILE</v>
      </c>
      <c r="E22" s="45" t="s">
        <v>1228</v>
      </c>
      <c r="F22" s="41"/>
      <c r="G22" s="78" t="str">
        <f t="shared" si="0"/>
        <v>C_공격 버튼을 눌러보자.</v>
      </c>
    </row>
    <row r="23" spans="1:7" x14ac:dyDescent="0.3">
      <c r="A23" s="21" t="s">
        <v>367</v>
      </c>
      <c r="B23" s="50" t="str">
        <f>B22</f>
        <v>GUIDE</v>
      </c>
      <c r="C23" s="21" t="s">
        <v>870</v>
      </c>
      <c r="D23" s="39" t="str">
        <f t="shared" ref="D23:D38" si="5">B23&amp;"_"&amp;TEXT(C23,"0000")&amp;"_"&amp;A23</f>
        <v>GUIDE_MAIN_SKILL_USE_DESC</v>
      </c>
      <c r="E23" s="45" t="s">
        <v>1229</v>
      </c>
      <c r="F23" s="41"/>
      <c r="G23" s="78" t="str">
        <f t="shared" si="0"/>
        <v>C_[C]키를 누른 후 좌클릭해봐.\n버튼을 눌러서도 가능해.</v>
      </c>
    </row>
    <row r="24" spans="1:7" x14ac:dyDescent="0.3">
      <c r="A24" s="49" t="s">
        <v>1222</v>
      </c>
      <c r="B24" s="50" t="str">
        <f>B23</f>
        <v>GUIDE</v>
      </c>
      <c r="C24" s="21" t="s">
        <v>870</v>
      </c>
      <c r="D24" s="39" t="str">
        <f t="shared" ref="D24" si="6">B24&amp;"_"&amp;TEXT(C24,"0000")&amp;"_"&amp;A24</f>
        <v>GUIDE_MAIN_SKILL_USE_DESC_MOBILE</v>
      </c>
      <c r="E24" s="45" t="s">
        <v>1230</v>
      </c>
      <c r="F24" s="41"/>
      <c r="G24" s="78" t="str">
        <f t="shared" si="0"/>
        <v>C_스킬 버튼을 눌러보자.</v>
      </c>
    </row>
    <row r="25" spans="1:7" x14ac:dyDescent="0.3">
      <c r="A25" s="21" t="s">
        <v>367</v>
      </c>
      <c r="B25" s="50" t="str">
        <f>B23</f>
        <v>GUIDE</v>
      </c>
      <c r="C25" s="21" t="s">
        <v>871</v>
      </c>
      <c r="D25" s="39" t="str">
        <f t="shared" si="5"/>
        <v>GUIDE_DASH_USE_DESC</v>
      </c>
      <c r="E25" s="45" t="s">
        <v>1231</v>
      </c>
      <c r="F25" s="41"/>
      <c r="G25" s="78" t="str">
        <f t="shared" si="0"/>
        <v>C_[SpaceBar]키를 눌러보자.\n버튼을 눌러서도 가능해.</v>
      </c>
    </row>
    <row r="26" spans="1:7" x14ac:dyDescent="0.3">
      <c r="A26" s="49" t="s">
        <v>1222</v>
      </c>
      <c r="B26" s="50" t="str">
        <f>B24</f>
        <v>GUIDE</v>
      </c>
      <c r="C26" s="21" t="s">
        <v>871</v>
      </c>
      <c r="D26" s="39" t="str">
        <f t="shared" ref="D26" si="7">B26&amp;"_"&amp;TEXT(C26,"0000")&amp;"_"&amp;A26</f>
        <v>GUIDE_DASH_USE_DESC_MOBILE</v>
      </c>
      <c r="E26" s="45" t="s">
        <v>1232</v>
      </c>
      <c r="F26" s="41"/>
      <c r="G26" s="78" t="str">
        <f t="shared" si="0"/>
        <v>C_대쉬 버튼을 눌러보자.</v>
      </c>
    </row>
    <row r="27" spans="1:7" x14ac:dyDescent="0.3">
      <c r="A27" s="21" t="s">
        <v>367</v>
      </c>
      <c r="B27" s="50" t="str">
        <f>B25</f>
        <v>GUIDE</v>
      </c>
      <c r="C27" s="21" t="s">
        <v>872</v>
      </c>
      <c r="D27" s="39" t="str">
        <f t="shared" si="5"/>
        <v>GUIDE_STORYMODE_PLAY_DESC</v>
      </c>
      <c r="E27" s="45" t="s">
        <v>1223</v>
      </c>
      <c r="F27" s="41"/>
      <c r="G27" s="78" t="str">
        <f t="shared" si="0"/>
        <v>C_스토리 모드를 진행해서\n동료를 얻자!</v>
      </c>
    </row>
    <row r="28" spans="1:7" x14ac:dyDescent="0.3">
      <c r="A28" s="21" t="s">
        <v>367</v>
      </c>
      <c r="B28" s="50" t="str">
        <f>B27</f>
        <v>GUIDE</v>
      </c>
      <c r="C28" s="21" t="s">
        <v>873</v>
      </c>
      <c r="D28" s="39" t="str">
        <f t="shared" si="5"/>
        <v>GUIDE_CHARACTER_DEPLOY_DESC</v>
      </c>
      <c r="E28" s="45" t="s">
        <v>1224</v>
      </c>
      <c r="F28" s="41"/>
      <c r="G28" s="78" t="str">
        <f t="shared" ref="G28" si="8">"C_"&amp;E28</f>
        <v>C_얻은 장수를 배치하자!</v>
      </c>
    </row>
    <row r="29" spans="1:7" x14ac:dyDescent="0.3">
      <c r="A29" s="21" t="s">
        <v>367</v>
      </c>
      <c r="B29" s="50" t="str">
        <f>B28</f>
        <v>GUIDE</v>
      </c>
      <c r="C29" s="27" t="s">
        <v>858</v>
      </c>
      <c r="D29" s="39" t="str">
        <f t="shared" si="5"/>
        <v>GUIDE_DAILY_DUNGEON_PLAY_DESC</v>
      </c>
      <c r="F29" s="41"/>
    </row>
    <row r="30" spans="1:7" x14ac:dyDescent="0.3">
      <c r="A30" s="21" t="s">
        <v>367</v>
      </c>
      <c r="B30" s="47" t="s">
        <v>850</v>
      </c>
      <c r="C30" s="27" t="s">
        <v>851</v>
      </c>
      <c r="D30" s="39" t="str">
        <f t="shared" si="5"/>
        <v>REPEAT_ENEMY_KILL_DESC</v>
      </c>
      <c r="F30" s="41"/>
    </row>
    <row r="31" spans="1:7" x14ac:dyDescent="0.3">
      <c r="A31" s="21" t="s">
        <v>367</v>
      </c>
      <c r="B31" s="47" t="s">
        <v>850</v>
      </c>
      <c r="C31" s="27" t="s">
        <v>852</v>
      </c>
      <c r="D31" s="39" t="str">
        <f t="shared" si="5"/>
        <v>REPEAT_TOURNAMENT_PLAY_DESC</v>
      </c>
      <c r="F31" s="41"/>
    </row>
    <row r="32" spans="1:7" x14ac:dyDescent="0.3">
      <c r="A32" s="21" t="s">
        <v>367</v>
      </c>
      <c r="B32" s="47" t="s">
        <v>850</v>
      </c>
      <c r="C32" s="27" t="s">
        <v>853</v>
      </c>
      <c r="D32" s="39" t="str">
        <f t="shared" si="5"/>
        <v>REPEAT_RAID_PLAY_DESC</v>
      </c>
      <c r="F32" s="41"/>
    </row>
    <row r="33" spans="1:6" x14ac:dyDescent="0.3">
      <c r="A33" s="21" t="s">
        <v>367</v>
      </c>
      <c r="B33" s="47" t="s">
        <v>850</v>
      </c>
      <c r="C33" s="27" t="s">
        <v>854</v>
      </c>
      <c r="D33" s="39" t="str">
        <f t="shared" si="5"/>
        <v>REPEAT_GACHA_PROGRESS_DESC</v>
      </c>
      <c r="F33" s="41"/>
    </row>
    <row r="34" spans="1:6" x14ac:dyDescent="0.3">
      <c r="A34" s="21" t="s">
        <v>367</v>
      </c>
      <c r="B34" s="47" t="s">
        <v>850</v>
      </c>
      <c r="C34" s="27" t="s">
        <v>855</v>
      </c>
      <c r="D34" s="39" t="str">
        <f t="shared" si="5"/>
        <v>REPEAT_FARM_RICE_EARN_DESC</v>
      </c>
      <c r="F34" s="41"/>
    </row>
    <row r="35" spans="1:6" x14ac:dyDescent="0.3">
      <c r="A35" s="21" t="s">
        <v>367</v>
      </c>
      <c r="B35" s="47" t="s">
        <v>850</v>
      </c>
      <c r="C35" s="27" t="s">
        <v>856</v>
      </c>
      <c r="D35" s="39" t="str">
        <f t="shared" si="5"/>
        <v>REPEAT_MARKET_GOLD_EARN_DESC</v>
      </c>
      <c r="F35" s="41"/>
    </row>
    <row r="36" spans="1:6" x14ac:dyDescent="0.3">
      <c r="A36" s="21" t="s">
        <v>367</v>
      </c>
      <c r="B36" s="47" t="s">
        <v>850</v>
      </c>
      <c r="C36" s="27" t="s">
        <v>857</v>
      </c>
      <c r="D36" s="39" t="str">
        <f t="shared" si="5"/>
        <v>REPEAT_OFFICE_MISSION_PROGRESS_DESC</v>
      </c>
      <c r="F36" s="41"/>
    </row>
    <row r="37" spans="1:6" x14ac:dyDescent="0.3">
      <c r="A37" s="21" t="s">
        <v>367</v>
      </c>
      <c r="B37" s="47" t="s">
        <v>850</v>
      </c>
      <c r="C37" s="27" t="s">
        <v>858</v>
      </c>
      <c r="D37" s="39" t="str">
        <f t="shared" si="5"/>
        <v>REPEAT_DAILY_DUNGEON_PLAY_DESC</v>
      </c>
      <c r="F37" s="41"/>
    </row>
    <row r="38" spans="1:6" x14ac:dyDescent="0.3">
      <c r="A38" s="21" t="s">
        <v>367</v>
      </c>
      <c r="B38" s="47" t="s">
        <v>850</v>
      </c>
      <c r="C38" s="27" t="s">
        <v>859</v>
      </c>
      <c r="D38" s="39" t="str">
        <f t="shared" si="5"/>
        <v>REPEAT_STAGE_BOSS_KILL_DESC</v>
      </c>
      <c r="F38" s="42"/>
    </row>
    <row r="39" spans="1:6" x14ac:dyDescent="0.3">
      <c r="A39" s="21"/>
      <c r="B39" s="47"/>
      <c r="C39" s="19"/>
      <c r="D39" s="39"/>
      <c r="F39" s="43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F41" s="41"/>
    </row>
    <row r="42" spans="1:6" x14ac:dyDescent="0.3">
      <c r="A42" s="21"/>
      <c r="B42" s="47"/>
      <c r="C42" s="19"/>
      <c r="D42" s="39"/>
      <c r="E42" s="46"/>
      <c r="F42" s="41"/>
    </row>
    <row r="43" spans="1:6" x14ac:dyDescent="0.3">
      <c r="A43" s="21"/>
      <c r="B43" s="47"/>
      <c r="C43" s="19"/>
      <c r="D43" s="39"/>
      <c r="E43" s="46"/>
      <c r="F43" s="41"/>
    </row>
    <row r="44" spans="1:6" x14ac:dyDescent="0.3">
      <c r="A44" s="21"/>
      <c r="B44" s="47"/>
      <c r="C44" s="19"/>
      <c r="D44" s="39"/>
      <c r="F44" s="41"/>
    </row>
    <row r="45" spans="1:6" x14ac:dyDescent="0.3">
      <c r="A45" s="21"/>
      <c r="B45" s="47"/>
      <c r="C45" s="19"/>
      <c r="D45" s="39"/>
      <c r="E45" s="46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  <c r="G72" s="34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7"/>
      <c r="C74" s="19"/>
      <c r="D74" s="39"/>
      <c r="F74" s="41"/>
    </row>
    <row r="75" spans="1:7" x14ac:dyDescent="0.3">
      <c r="A75" s="21"/>
      <c r="B75" s="48"/>
      <c r="C75" s="22"/>
      <c r="D75" s="39"/>
      <c r="F75" s="42"/>
    </row>
    <row r="76" spans="1:7" x14ac:dyDescent="0.3">
      <c r="A76" s="21"/>
      <c r="B76" s="47"/>
      <c r="C76" s="19"/>
      <c r="D76" s="39"/>
      <c r="F76" s="41"/>
    </row>
    <row r="77" spans="1:7" x14ac:dyDescent="0.3">
      <c r="A77" s="21"/>
      <c r="B77" s="47"/>
      <c r="C77" s="19"/>
      <c r="D77" s="39"/>
      <c r="F77" s="43"/>
    </row>
    <row r="78" spans="1:7" x14ac:dyDescent="0.3">
      <c r="A78" s="21"/>
      <c r="B78" s="47"/>
      <c r="C78" s="22"/>
      <c r="D78" s="39"/>
      <c r="F78" s="42"/>
    </row>
    <row r="79" spans="1:7" x14ac:dyDescent="0.3">
      <c r="A79" s="21"/>
      <c r="B79" s="47"/>
      <c r="C79" s="19"/>
      <c r="D79" s="39"/>
      <c r="F79" s="41"/>
    </row>
    <row r="80" spans="1:7" x14ac:dyDescent="0.3">
      <c r="A80" s="21"/>
      <c r="B80" s="47"/>
      <c r="C80" s="19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F96" s="41"/>
    </row>
    <row r="97" spans="1:6" x14ac:dyDescent="0.2">
      <c r="A97" s="21"/>
      <c r="B97" s="25"/>
      <c r="C97" s="26"/>
      <c r="D97" s="39"/>
      <c r="E97" s="51"/>
      <c r="F97" s="41"/>
    </row>
    <row r="98" spans="1:6" x14ac:dyDescent="0.2">
      <c r="A98" s="21"/>
      <c r="B98" s="25"/>
      <c r="C98" s="26"/>
      <c r="D98" s="39"/>
      <c r="E98" s="51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  <row r="128" spans="1:6" x14ac:dyDescent="0.2">
      <c r="A128" s="21"/>
      <c r="B128" s="25"/>
      <c r="C128" s="26"/>
      <c r="D128" s="39"/>
      <c r="F128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6"/>
  <sheetViews>
    <sheetView workbookViewId="0">
      <selection activeCell="G18" sqref="G3:G18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29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31" t="s">
        <v>0</v>
      </c>
      <c r="F1" s="35" t="s">
        <v>1</v>
      </c>
      <c r="G1" s="77" t="s">
        <v>1233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31" t="s">
        <v>2</v>
      </c>
      <c r="F2" s="35" t="s">
        <v>2</v>
      </c>
      <c r="G2" s="77" t="s">
        <v>2</v>
      </c>
    </row>
    <row r="3" spans="1:7" x14ac:dyDescent="0.3">
      <c r="A3" s="21"/>
      <c r="B3" s="47"/>
      <c r="C3" s="21"/>
      <c r="D3" s="20" t="s">
        <v>1057</v>
      </c>
      <c r="E3" s="65" t="s">
        <v>1059</v>
      </c>
      <c r="F3" s="41"/>
      <c r="G3" s="78" t="str">
        <f t="shared" ref="G3:G17" si="0">"C_"&amp;E3</f>
        <v>C_일일 임무</v>
      </c>
    </row>
    <row r="4" spans="1:7" x14ac:dyDescent="0.3">
      <c r="A4" s="21"/>
      <c r="B4" s="50"/>
      <c r="C4" s="21"/>
      <c r="D4" s="20" t="s">
        <v>1058</v>
      </c>
      <c r="E4" s="65" t="s">
        <v>1060</v>
      </c>
      <c r="F4" s="41"/>
      <c r="G4" s="78" t="str">
        <f t="shared" si="0"/>
        <v>C_주간 임무</v>
      </c>
    </row>
    <row r="5" spans="1:7" x14ac:dyDescent="0.3">
      <c r="A5" s="21"/>
      <c r="B5" s="50"/>
      <c r="C5" s="56" t="s">
        <v>1066</v>
      </c>
      <c r="D5" s="20" t="str">
        <f t="shared" ref="D5:D16" si="1">UPPER(C5)&amp;"_NAME"</f>
        <v>LOGIN_NAME</v>
      </c>
      <c r="E5" s="66" t="s">
        <v>1079</v>
      </c>
      <c r="F5" s="41"/>
      <c r="G5" s="78" t="str">
        <f t="shared" si="0"/>
        <v>C_로그인</v>
      </c>
    </row>
    <row r="6" spans="1:7" x14ac:dyDescent="0.3">
      <c r="A6" s="21"/>
      <c r="B6" s="50"/>
      <c r="C6" s="56" t="s">
        <v>1067</v>
      </c>
      <c r="D6" s="20" t="str">
        <f t="shared" si="1"/>
        <v>ENEMY_KILL_NAME</v>
      </c>
      <c r="E6" s="66" t="s">
        <v>860</v>
      </c>
      <c r="F6" s="41"/>
      <c r="G6" s="78" t="str">
        <f t="shared" si="0"/>
        <v>C_적 처치하기</v>
      </c>
    </row>
    <row r="7" spans="1:7" x14ac:dyDescent="0.3">
      <c r="A7" s="21"/>
      <c r="B7" s="50"/>
      <c r="C7" s="56" t="s">
        <v>1068</v>
      </c>
      <c r="D7" s="20" t="str">
        <f t="shared" si="1"/>
        <v>TOURNAMENT_PLAY_NAME</v>
      </c>
      <c r="E7" s="66" t="s">
        <v>861</v>
      </c>
      <c r="F7" s="41"/>
      <c r="G7" s="78" t="str">
        <f t="shared" si="0"/>
        <v>C_토너먼트 참여하기</v>
      </c>
    </row>
    <row r="8" spans="1:7" x14ac:dyDescent="0.3">
      <c r="A8" s="21"/>
      <c r="B8" s="50"/>
      <c r="C8" s="56" t="s">
        <v>1069</v>
      </c>
      <c r="D8" s="20" t="str">
        <f t="shared" si="1"/>
        <v>RAID_PLAY_NAME</v>
      </c>
      <c r="E8" s="66" t="s">
        <v>862</v>
      </c>
      <c r="F8" s="41"/>
      <c r="G8" s="78" t="str">
        <f t="shared" si="0"/>
        <v>C_레이드 참여하기</v>
      </c>
    </row>
    <row r="9" spans="1:7" x14ac:dyDescent="0.3">
      <c r="A9" s="21"/>
      <c r="B9" s="50"/>
      <c r="C9" s="56" t="s">
        <v>1070</v>
      </c>
      <c r="D9" s="20" t="str">
        <f t="shared" si="1"/>
        <v>GACHA_PROCEED_NAME</v>
      </c>
      <c r="E9" s="66" t="s">
        <v>1080</v>
      </c>
      <c r="F9" s="41"/>
      <c r="G9" s="78" t="str">
        <f t="shared" si="0"/>
        <v>C_연회 진행하기</v>
      </c>
    </row>
    <row r="10" spans="1:7" x14ac:dyDescent="0.3">
      <c r="A10" s="21"/>
      <c r="B10" s="47"/>
      <c r="C10" s="56" t="s">
        <v>1071</v>
      </c>
      <c r="D10" s="20" t="str">
        <f t="shared" si="1"/>
        <v>RICE_CLAIM_NAME</v>
      </c>
      <c r="E10" s="66" t="s">
        <v>864</v>
      </c>
      <c r="F10" s="41"/>
      <c r="G10" s="78" t="str">
        <f t="shared" si="0"/>
        <v>C_군량 수확하기</v>
      </c>
    </row>
    <row r="11" spans="1:7" x14ac:dyDescent="0.3">
      <c r="A11" s="21"/>
      <c r="B11" s="47"/>
      <c r="C11" s="56" t="s">
        <v>1072</v>
      </c>
      <c r="D11" s="20" t="str">
        <f t="shared" si="1"/>
        <v>GOLE_CLAIM_NAME</v>
      </c>
      <c r="E11" s="66" t="s">
        <v>865</v>
      </c>
      <c r="F11" s="41"/>
      <c r="G11" s="78" t="str">
        <f t="shared" si="0"/>
        <v>C_금화 수확하기</v>
      </c>
    </row>
    <row r="12" spans="1:7" x14ac:dyDescent="0.3">
      <c r="A12" s="21"/>
      <c r="B12" s="47"/>
      <c r="C12" s="56" t="s">
        <v>1073</v>
      </c>
      <c r="D12" s="20" t="str">
        <f t="shared" si="1"/>
        <v>OFFICE_DISPATCH_NAME</v>
      </c>
      <c r="E12" s="66" t="s">
        <v>1081</v>
      </c>
      <c r="F12" s="41"/>
      <c r="G12" s="78" t="str">
        <f t="shared" si="0"/>
        <v>C_관아 파견하기</v>
      </c>
    </row>
    <row r="13" spans="1:7" x14ac:dyDescent="0.3">
      <c r="A13" s="21"/>
      <c r="B13" s="47"/>
      <c r="C13" s="56" t="s">
        <v>1074</v>
      </c>
      <c r="D13" s="20" t="str">
        <f t="shared" si="1"/>
        <v>DAILY_DUNGEON_PLAY_NAME</v>
      </c>
      <c r="E13" s="66" t="s">
        <v>1082</v>
      </c>
      <c r="F13" s="41"/>
      <c r="G13" s="78" t="str">
        <f t="shared" si="0"/>
        <v>C_요일 던전 플레이하기</v>
      </c>
    </row>
    <row r="14" spans="1:7" x14ac:dyDescent="0.3">
      <c r="A14" s="21"/>
      <c r="B14" s="47"/>
      <c r="C14" s="56" t="s">
        <v>1075</v>
      </c>
      <c r="D14" s="20" t="str">
        <f t="shared" si="1"/>
        <v>STAGE_BOSS_KILL_NAME</v>
      </c>
      <c r="E14" s="66" t="s">
        <v>1083</v>
      </c>
      <c r="F14" s="41"/>
      <c r="G14" s="78" t="str">
        <f t="shared" si="0"/>
        <v>C_스테이지 보스 처치하기</v>
      </c>
    </row>
    <row r="15" spans="1:7" x14ac:dyDescent="0.3">
      <c r="A15" s="21"/>
      <c r="B15" s="47"/>
      <c r="C15" s="56" t="s">
        <v>1076</v>
      </c>
      <c r="D15" s="20" t="str">
        <f t="shared" si="1"/>
        <v>ADS_WATCH_NAME</v>
      </c>
      <c r="E15" s="66" t="s">
        <v>1084</v>
      </c>
      <c r="F15" s="41"/>
      <c r="G15" s="78" t="str">
        <f t="shared" si="0"/>
        <v>C_광고 시청하기</v>
      </c>
    </row>
    <row r="16" spans="1:7" x14ac:dyDescent="0.3">
      <c r="A16" s="21"/>
      <c r="B16" s="47"/>
      <c r="C16" s="56" t="s">
        <v>1077</v>
      </c>
      <c r="D16" s="20" t="str">
        <f t="shared" si="1"/>
        <v>ITEM_BUY_NAME</v>
      </c>
      <c r="E16" s="66" t="s">
        <v>1085</v>
      </c>
      <c r="F16" s="41"/>
      <c r="G16" s="78" t="str">
        <f t="shared" si="0"/>
        <v>C_상품 구매하기</v>
      </c>
    </row>
    <row r="17" spans="1:7" x14ac:dyDescent="0.3">
      <c r="A17" s="21"/>
      <c r="B17" s="47"/>
      <c r="C17" s="56" t="s">
        <v>1078</v>
      </c>
      <c r="D17" s="20" t="str">
        <f>UPPER(C17)&amp;"_NAME"</f>
        <v>ITEM_USE_NAME</v>
      </c>
      <c r="E17" s="66" t="s">
        <v>1086</v>
      </c>
      <c r="F17" s="41"/>
      <c r="G17" s="78" t="str">
        <f t="shared" si="0"/>
        <v>C_아이템 사용하기</v>
      </c>
    </row>
    <row r="18" spans="1:7" x14ac:dyDescent="0.3">
      <c r="A18" s="21"/>
      <c r="B18" s="47"/>
      <c r="C18" s="27"/>
      <c r="D18" s="20" t="s">
        <v>1087</v>
      </c>
      <c r="E18" s="66" t="s">
        <v>1088</v>
      </c>
      <c r="F18" s="41"/>
      <c r="G18" s="78" t="str">
        <f t="shared" ref="G18" si="2">"C_"&amp;E18</f>
        <v>C_완료</v>
      </c>
    </row>
    <row r="19" spans="1:7" x14ac:dyDescent="0.3">
      <c r="A19" s="21"/>
      <c r="B19" s="47"/>
      <c r="C19" s="19"/>
      <c r="D19" s="20"/>
      <c r="F19" s="41"/>
    </row>
    <row r="20" spans="1:7" x14ac:dyDescent="0.3">
      <c r="A20" s="21"/>
      <c r="B20" s="47"/>
      <c r="C20" s="19"/>
      <c r="D20" s="39"/>
      <c r="F20" s="41"/>
    </row>
    <row r="21" spans="1:7" x14ac:dyDescent="0.3">
      <c r="A21" s="21"/>
      <c r="B21" s="47"/>
      <c r="C21" s="19"/>
      <c r="D21" s="39"/>
      <c r="F21" s="41"/>
    </row>
    <row r="22" spans="1:7" x14ac:dyDescent="0.3">
      <c r="A22" s="21"/>
      <c r="B22" s="47"/>
      <c r="C22" s="19"/>
      <c r="D22" s="39"/>
      <c r="F22" s="41"/>
    </row>
    <row r="23" spans="1:7" x14ac:dyDescent="0.3">
      <c r="A23" s="21"/>
      <c r="B23" s="47"/>
      <c r="C23" s="19"/>
      <c r="D23" s="39"/>
      <c r="F23" s="41"/>
    </row>
    <row r="24" spans="1:7" x14ac:dyDescent="0.3">
      <c r="A24" s="21"/>
      <c r="B24" s="47"/>
      <c r="C24" s="19"/>
      <c r="D24" s="39"/>
      <c r="F24" s="41"/>
    </row>
    <row r="25" spans="1:7" x14ac:dyDescent="0.3">
      <c r="A25" s="21"/>
      <c r="B25" s="47"/>
      <c r="C25" s="19"/>
      <c r="D25" s="39"/>
      <c r="F25" s="41"/>
    </row>
    <row r="26" spans="1:7" x14ac:dyDescent="0.3">
      <c r="A26" s="21"/>
      <c r="B26" s="47"/>
      <c r="C26" s="19"/>
      <c r="D26" s="39"/>
      <c r="F26" s="41"/>
    </row>
    <row r="27" spans="1:7" x14ac:dyDescent="0.3">
      <c r="A27" s="21"/>
      <c r="B27" s="47"/>
      <c r="C27" s="19"/>
      <c r="D27" s="39"/>
      <c r="F27" s="41"/>
    </row>
    <row r="28" spans="1:7" x14ac:dyDescent="0.3">
      <c r="A28" s="21"/>
      <c r="B28" s="47"/>
      <c r="C28" s="19"/>
      <c r="D28" s="39"/>
      <c r="F28" s="41"/>
    </row>
    <row r="29" spans="1:7" x14ac:dyDescent="0.3">
      <c r="A29" s="21"/>
      <c r="B29" s="47"/>
      <c r="C29" s="19"/>
      <c r="D29" s="39"/>
      <c r="F29" s="41"/>
    </row>
    <row r="30" spans="1:7" x14ac:dyDescent="0.3">
      <c r="A30" s="21"/>
      <c r="B30" s="47"/>
      <c r="C30" s="19"/>
      <c r="D30" s="39"/>
      <c r="F30" s="41"/>
    </row>
    <row r="31" spans="1:7" x14ac:dyDescent="0.3">
      <c r="A31" s="21"/>
      <c r="B31" s="47"/>
      <c r="C31" s="19"/>
      <c r="D31" s="39"/>
      <c r="F31" s="41"/>
    </row>
    <row r="32" spans="1:7" x14ac:dyDescent="0.3">
      <c r="A32" s="21"/>
      <c r="B32" s="47"/>
      <c r="C32" s="19"/>
      <c r="D32" s="39"/>
      <c r="F32" s="41"/>
    </row>
    <row r="33" spans="1:6" x14ac:dyDescent="0.3">
      <c r="A33" s="21"/>
      <c r="B33" s="47"/>
      <c r="C33" s="19"/>
      <c r="D33" s="39"/>
      <c r="F33" s="41"/>
    </row>
    <row r="34" spans="1:6" x14ac:dyDescent="0.3">
      <c r="A34" s="21"/>
      <c r="B34" s="47"/>
      <c r="C34" s="19"/>
      <c r="D34" s="39"/>
      <c r="F34" s="41"/>
    </row>
    <row r="35" spans="1:6" x14ac:dyDescent="0.3">
      <c r="A35" s="21"/>
      <c r="B35" s="48"/>
      <c r="C35" s="22"/>
      <c r="D35" s="40"/>
      <c r="F35" s="42"/>
    </row>
    <row r="36" spans="1:6" x14ac:dyDescent="0.3">
      <c r="A36" s="21"/>
      <c r="B36" s="47"/>
      <c r="C36" s="19"/>
      <c r="D36" s="39"/>
      <c r="F36" s="41"/>
    </row>
    <row r="37" spans="1:6" x14ac:dyDescent="0.3">
      <c r="A37" s="21"/>
      <c r="B37" s="47"/>
      <c r="C37" s="19"/>
      <c r="D37" s="39"/>
      <c r="F37" s="43"/>
    </row>
    <row r="38" spans="1:6" x14ac:dyDescent="0.3">
      <c r="A38" s="21"/>
      <c r="B38" s="47"/>
      <c r="C38" s="19"/>
      <c r="D38" s="39"/>
      <c r="F38" s="41"/>
    </row>
    <row r="39" spans="1:6" x14ac:dyDescent="0.3">
      <c r="A39" s="21"/>
      <c r="B39" s="47"/>
      <c r="C39" s="19"/>
      <c r="D39" s="39"/>
      <c r="F39" s="41"/>
    </row>
    <row r="40" spans="1:6" x14ac:dyDescent="0.3">
      <c r="A40" s="21"/>
      <c r="B40" s="47"/>
      <c r="C40" s="19"/>
      <c r="D40" s="39"/>
      <c r="E40" s="67"/>
      <c r="F40" s="41"/>
    </row>
    <row r="41" spans="1:6" x14ac:dyDescent="0.3">
      <c r="A41" s="21"/>
      <c r="B41" s="47"/>
      <c r="C41" s="19"/>
      <c r="D41" s="39"/>
      <c r="E41" s="67"/>
      <c r="F41" s="41"/>
    </row>
    <row r="42" spans="1:6" x14ac:dyDescent="0.3">
      <c r="A42" s="21"/>
      <c r="B42" s="47"/>
      <c r="C42" s="19"/>
      <c r="D42" s="39"/>
      <c r="F42" s="41"/>
    </row>
    <row r="43" spans="1:6" x14ac:dyDescent="0.3">
      <c r="A43" s="21"/>
      <c r="B43" s="47"/>
      <c r="C43" s="19"/>
      <c r="D43" s="39"/>
      <c r="E43" s="67"/>
      <c r="F43" s="41"/>
    </row>
    <row r="44" spans="1:6" x14ac:dyDescent="0.3">
      <c r="A44" s="21"/>
      <c r="B44" s="47"/>
      <c r="C44" s="19"/>
      <c r="D44" s="39"/>
      <c r="F44" s="41"/>
    </row>
    <row r="45" spans="1:6" x14ac:dyDescent="0.3">
      <c r="A45" s="21"/>
      <c r="B45" s="47"/>
      <c r="C45" s="19"/>
      <c r="D45" s="39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  <c r="G54" s="34"/>
    </row>
    <row r="55" spans="1:7" x14ac:dyDescent="0.3">
      <c r="A55" s="21"/>
      <c r="B55" s="47"/>
      <c r="C55" s="19"/>
      <c r="D55" s="39"/>
      <c r="F55" s="41"/>
      <c r="G55" s="34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</row>
    <row r="72" spans="1:7" x14ac:dyDescent="0.3">
      <c r="A72" s="21"/>
      <c r="B72" s="47"/>
      <c r="C72" s="19"/>
      <c r="D72" s="39"/>
      <c r="F72" s="41"/>
    </row>
    <row r="73" spans="1:7" x14ac:dyDescent="0.3">
      <c r="A73" s="21"/>
      <c r="B73" s="48"/>
      <c r="C73" s="22"/>
      <c r="D73" s="39"/>
      <c r="F73" s="42"/>
    </row>
    <row r="74" spans="1:7" x14ac:dyDescent="0.3">
      <c r="A74" s="21"/>
      <c r="B74" s="47"/>
      <c r="C74" s="19"/>
      <c r="D74" s="39"/>
      <c r="F74" s="41"/>
    </row>
    <row r="75" spans="1:7" x14ac:dyDescent="0.3">
      <c r="A75" s="21"/>
      <c r="B75" s="47"/>
      <c r="C75" s="19"/>
      <c r="D75" s="39"/>
      <c r="F75" s="43"/>
    </row>
    <row r="76" spans="1:7" x14ac:dyDescent="0.3">
      <c r="A76" s="21"/>
      <c r="B76" s="47"/>
      <c r="C76" s="22"/>
      <c r="D76" s="39"/>
      <c r="F76" s="42"/>
    </row>
    <row r="77" spans="1:7" x14ac:dyDescent="0.3">
      <c r="A77" s="21"/>
      <c r="B77" s="47"/>
      <c r="C77" s="19"/>
      <c r="D77" s="39"/>
      <c r="F77" s="41"/>
    </row>
    <row r="78" spans="1:7" x14ac:dyDescent="0.3">
      <c r="A78" s="21"/>
      <c r="B78" s="47"/>
      <c r="C78" s="19"/>
      <c r="D78" s="39"/>
      <c r="F78" s="41"/>
    </row>
    <row r="79" spans="1:7" x14ac:dyDescent="0.2">
      <c r="A79" s="21"/>
      <c r="B79" s="25"/>
      <c r="C79" s="26"/>
      <c r="D79" s="39"/>
      <c r="F79" s="41"/>
    </row>
    <row r="80" spans="1:7" x14ac:dyDescent="0.2">
      <c r="A80" s="21"/>
      <c r="B80" s="25"/>
      <c r="C80" s="26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E95" s="68"/>
      <c r="F95" s="41"/>
    </row>
    <row r="96" spans="1:6" x14ac:dyDescent="0.2">
      <c r="A96" s="21"/>
      <c r="B96" s="25"/>
      <c r="C96" s="26"/>
      <c r="D96" s="39"/>
      <c r="E96" s="68"/>
      <c r="F96" s="41"/>
    </row>
    <row r="97" spans="1:6" x14ac:dyDescent="0.2">
      <c r="A97" s="21"/>
      <c r="B97" s="25"/>
      <c r="C97" s="26"/>
      <c r="D97" s="39"/>
      <c r="F97" s="41"/>
    </row>
    <row r="98" spans="1:6" x14ac:dyDescent="0.2">
      <c r="A98" s="21"/>
      <c r="B98" s="25"/>
      <c r="C98" s="26"/>
      <c r="D98" s="39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workbookViewId="0">
      <selection activeCell="E1" sqref="E1:E3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54</v>
      </c>
      <c r="B1" s="7" t="s">
        <v>3</v>
      </c>
      <c r="C1" s="7" t="s">
        <v>0</v>
      </c>
      <c r="D1" s="7" t="s">
        <v>1</v>
      </c>
      <c r="E1" s="77" t="s">
        <v>1233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77" t="s">
        <v>2</v>
      </c>
    </row>
    <row r="3" spans="1:5" x14ac:dyDescent="0.3">
      <c r="A3" s="56" t="s">
        <v>927</v>
      </c>
      <c r="B3" s="50" t="str">
        <f t="shared" ref="B3:B26" si="0">UPPER(A3) &amp; "_DESC"</f>
        <v>LEADERSHIP_DESC</v>
      </c>
      <c r="C3" s="56" t="s">
        <v>902</v>
      </c>
      <c r="D3" s="11"/>
      <c r="E3" s="78" t="str">
        <f t="shared" ref="E3:E51" si="1">"C_"&amp;C3</f>
        <v>C_통솔</v>
      </c>
    </row>
    <row r="4" spans="1:5" x14ac:dyDescent="0.3">
      <c r="A4" s="56" t="s">
        <v>928</v>
      </c>
      <c r="B4" s="50" t="str">
        <f t="shared" si="0"/>
        <v>STRENGTH_DESC</v>
      </c>
      <c r="C4" s="56" t="s">
        <v>903</v>
      </c>
      <c r="D4" s="11"/>
      <c r="E4" s="78" t="str">
        <f t="shared" si="1"/>
        <v>C_무력</v>
      </c>
    </row>
    <row r="5" spans="1:5" x14ac:dyDescent="0.3">
      <c r="A5" s="56" t="s">
        <v>929</v>
      </c>
      <c r="B5" s="50" t="str">
        <f t="shared" si="0"/>
        <v>INTELLECT_DESC</v>
      </c>
      <c r="C5" s="56" t="s">
        <v>904</v>
      </c>
      <c r="D5" s="11"/>
      <c r="E5" s="78" t="str">
        <f t="shared" si="1"/>
        <v>C_지력</v>
      </c>
    </row>
    <row r="6" spans="1:5" x14ac:dyDescent="0.3">
      <c r="A6" s="56" t="s">
        <v>930</v>
      </c>
      <c r="B6" s="50" t="str">
        <f t="shared" si="0"/>
        <v>POLITICS_DESC</v>
      </c>
      <c r="C6" s="56" t="s">
        <v>905</v>
      </c>
      <c r="D6" s="11"/>
      <c r="E6" s="78" t="str">
        <f t="shared" si="1"/>
        <v>C_정치</v>
      </c>
    </row>
    <row r="7" spans="1:5" x14ac:dyDescent="0.3">
      <c r="A7" s="56" t="s">
        <v>931</v>
      </c>
      <c r="B7" s="50" t="str">
        <f t="shared" si="0"/>
        <v>CHARISMA_DESC</v>
      </c>
      <c r="C7" s="56" t="s">
        <v>906</v>
      </c>
      <c r="D7" s="11"/>
      <c r="E7" s="78" t="str">
        <f t="shared" si="1"/>
        <v>C_매력</v>
      </c>
    </row>
    <row r="8" spans="1:5" x14ac:dyDescent="0.2">
      <c r="A8" s="57" t="s">
        <v>932</v>
      </c>
      <c r="B8" s="50" t="str">
        <f t="shared" si="0"/>
        <v>ATTACK_POWER_DESC</v>
      </c>
      <c r="C8" s="57" t="s">
        <v>907</v>
      </c>
      <c r="D8" s="11"/>
      <c r="E8" s="78" t="str">
        <f t="shared" si="1"/>
        <v>C_공격력</v>
      </c>
    </row>
    <row r="9" spans="1:5" x14ac:dyDescent="0.2">
      <c r="A9" s="57" t="s">
        <v>933</v>
      </c>
      <c r="B9" s="50" t="str">
        <f t="shared" si="0"/>
        <v>DEFENCE_DESC</v>
      </c>
      <c r="C9" s="57" t="s">
        <v>908</v>
      </c>
      <c r="D9" s="11"/>
      <c r="E9" s="78" t="str">
        <f t="shared" si="1"/>
        <v>C_방어력</v>
      </c>
    </row>
    <row r="10" spans="1:5" x14ac:dyDescent="0.2">
      <c r="A10" s="57" t="s">
        <v>934</v>
      </c>
      <c r="B10" s="50" t="str">
        <f t="shared" si="0"/>
        <v>ATTACK_SPEED_DESC</v>
      </c>
      <c r="C10" s="57" t="s">
        <v>909</v>
      </c>
      <c r="D10" s="11"/>
      <c r="E10" s="78" t="str">
        <f t="shared" si="1"/>
        <v>C_공격속도</v>
      </c>
    </row>
    <row r="11" spans="1:5" x14ac:dyDescent="0.2">
      <c r="A11" s="57" t="s">
        <v>935</v>
      </c>
      <c r="B11" s="50" t="str">
        <f t="shared" si="0"/>
        <v>HEALTH_MAX_DESC</v>
      </c>
      <c r="C11" s="57" t="s">
        <v>910</v>
      </c>
      <c r="D11" s="11"/>
      <c r="E11" s="78" t="str">
        <f t="shared" si="1"/>
        <v>C_체력</v>
      </c>
    </row>
    <row r="12" spans="1:5" x14ac:dyDescent="0.2">
      <c r="A12" s="57" t="s">
        <v>936</v>
      </c>
      <c r="B12" s="50" t="str">
        <f t="shared" si="0"/>
        <v>MOVE_SPEED_DESC</v>
      </c>
      <c r="C12" s="57" t="s">
        <v>911</v>
      </c>
      <c r="D12" s="11"/>
      <c r="E12" s="78" t="str">
        <f t="shared" si="1"/>
        <v>C_이동속도</v>
      </c>
    </row>
    <row r="13" spans="1:5" x14ac:dyDescent="0.2">
      <c r="A13" s="57" t="s">
        <v>937</v>
      </c>
      <c r="B13" s="50" t="str">
        <f t="shared" si="0"/>
        <v>LIFE_STEAL_DESC</v>
      </c>
      <c r="C13" s="57" t="s">
        <v>912</v>
      </c>
      <c r="D13" s="11"/>
      <c r="E13" s="78" t="str">
        <f t="shared" si="1"/>
        <v>C_체력흡수</v>
      </c>
    </row>
    <row r="14" spans="1:5" x14ac:dyDescent="0.2">
      <c r="A14" s="57" t="s">
        <v>938</v>
      </c>
      <c r="B14" s="50" t="str">
        <f t="shared" si="0"/>
        <v>CRITICAL_RATE_DESC</v>
      </c>
      <c r="C14" s="57" t="s">
        <v>913</v>
      </c>
      <c r="D14" s="11"/>
      <c r="E14" s="78" t="str">
        <f t="shared" si="1"/>
        <v>C_치명타확률</v>
      </c>
    </row>
    <row r="15" spans="1:5" x14ac:dyDescent="0.2">
      <c r="A15" s="57" t="s">
        <v>939</v>
      </c>
      <c r="B15" s="50" t="str">
        <f t="shared" si="0"/>
        <v>COOLDOWN_RATE_DESC</v>
      </c>
      <c r="C15" s="57" t="s">
        <v>914</v>
      </c>
      <c r="D15" s="11"/>
      <c r="E15" s="78" t="str">
        <f t="shared" si="1"/>
        <v>C_쿨타임감소</v>
      </c>
    </row>
    <row r="16" spans="1:5" x14ac:dyDescent="0.2">
      <c r="A16" s="57" t="s">
        <v>940</v>
      </c>
      <c r="B16" s="50" t="str">
        <f t="shared" si="0"/>
        <v>CRITICAL_DAMAGE_DESC</v>
      </c>
      <c r="C16" s="57" t="s">
        <v>915</v>
      </c>
      <c r="D16" s="11"/>
      <c r="E16" s="78" t="str">
        <f t="shared" si="1"/>
        <v>C_치명타위력</v>
      </c>
    </row>
    <row r="17" spans="1:5" x14ac:dyDescent="0.2">
      <c r="A17" s="57" t="s">
        <v>941</v>
      </c>
      <c r="B17" s="50" t="str">
        <f t="shared" si="0"/>
        <v>BOSS_DAMAGE_DESC</v>
      </c>
      <c r="C17" s="57" t="s">
        <v>916</v>
      </c>
      <c r="D17" s="11"/>
      <c r="E17" s="78" t="str">
        <f t="shared" si="1"/>
        <v>C_보스피해량</v>
      </c>
    </row>
    <row r="18" spans="1:5" x14ac:dyDescent="0.2">
      <c r="A18" s="57" t="s">
        <v>942</v>
      </c>
      <c r="B18" s="50" t="str">
        <f t="shared" si="0"/>
        <v>COMBAT_STATUS_BUFF_DESC</v>
      </c>
      <c r="C18" s="57" t="s">
        <v>917</v>
      </c>
      <c r="D18" s="11"/>
      <c r="E18" s="78" t="str">
        <f t="shared" si="1"/>
        <v>C_전체 전투 능력치 +{0}% 증가</v>
      </c>
    </row>
    <row r="19" spans="1:5" x14ac:dyDescent="0.2">
      <c r="A19" s="57" t="s">
        <v>943</v>
      </c>
      <c r="B19" s="50" t="str">
        <f t="shared" si="0"/>
        <v>ATK_EFFECT_LIGHTNING_DESC</v>
      </c>
      <c r="C19" s="56" t="s">
        <v>918</v>
      </c>
      <c r="D19" s="11"/>
      <c r="E19" s="78" t="str">
        <f t="shared" si="1"/>
        <v>C_공격 시 {0}%확률로 {1}피해를 주는 번개 발동</v>
      </c>
    </row>
    <row r="20" spans="1:5" x14ac:dyDescent="0.2">
      <c r="A20" s="57" t="s">
        <v>944</v>
      </c>
      <c r="B20" s="50" t="str">
        <f t="shared" si="0"/>
        <v>ATK_EFFECT_BLEEDING_DESC</v>
      </c>
      <c r="C20" s="56" t="s">
        <v>919</v>
      </c>
      <c r="D20" s="11"/>
      <c r="E20" s="78" t="str">
        <f t="shared" si="1"/>
        <v>C_공격 시 {0}%확률로 초당 {1} 피해를 주는 출혈 상태 부여 (3초간 유지)</v>
      </c>
    </row>
    <row r="21" spans="1:5" x14ac:dyDescent="0.2">
      <c r="A21" s="57" t="s">
        <v>945</v>
      </c>
      <c r="B21" s="50" t="str">
        <f t="shared" si="0"/>
        <v>ATK_EFFECT_BURN_DESC</v>
      </c>
      <c r="C21" s="56" t="s">
        <v>920</v>
      </c>
      <c r="D21" s="11"/>
      <c r="E21" s="78" t="str">
        <f t="shared" si="1"/>
        <v>C_공격 시 {0}%확률로 초당 {1} 피해를 주는 화상 상태 부여 (3초간 유지)</v>
      </c>
    </row>
    <row r="22" spans="1:5" x14ac:dyDescent="0.2">
      <c r="A22" s="57" t="s">
        <v>946</v>
      </c>
      <c r="B22" s="50" t="str">
        <f t="shared" si="0"/>
        <v>ATK_EFFECT_POISONING_DESC</v>
      </c>
      <c r="C22" s="56" t="s">
        <v>921</v>
      </c>
      <c r="D22" s="11"/>
      <c r="E22" s="78" t="str">
        <f t="shared" si="1"/>
        <v>C_공격 시 {0}%확률로 초당 {1} 피해를 주는 중독 상태 부여 (3초간 유지)</v>
      </c>
    </row>
    <row r="23" spans="1:5" x14ac:dyDescent="0.2">
      <c r="A23" s="57" t="s">
        <v>947</v>
      </c>
      <c r="B23" s="50" t="str">
        <f t="shared" si="0"/>
        <v>ATK_EFFECT_STUN_DESC</v>
      </c>
      <c r="C23" s="56" t="s">
        <v>922</v>
      </c>
      <c r="D23" s="11"/>
      <c r="E23" s="78" t="str">
        <f t="shared" si="1"/>
        <v>C_공격 시 {0}%확률로 스턴 상태 부여 (2초간 유지)</v>
      </c>
    </row>
    <row r="24" spans="1:5" x14ac:dyDescent="0.2">
      <c r="A24" s="57" t="s">
        <v>948</v>
      </c>
      <c r="B24" s="50" t="str">
        <f t="shared" si="0"/>
        <v>ATK_EFFECT_SILENCE_DESC</v>
      </c>
      <c r="C24" s="56" t="s">
        <v>923</v>
      </c>
      <c r="D24" s="11"/>
      <c r="E24" s="78" t="str">
        <f t="shared" si="1"/>
        <v>C_공격 시 {0}%확률로 침묵 상태 부여 (2초간 유지)</v>
      </c>
    </row>
    <row r="25" spans="1:5" x14ac:dyDescent="0.2">
      <c r="A25" s="57" t="s">
        <v>949</v>
      </c>
      <c r="B25" s="50" t="str">
        <f t="shared" si="0"/>
        <v>ATK_EFFECT_AOE_DESC</v>
      </c>
      <c r="C25" s="56" t="s">
        <v>924</v>
      </c>
      <c r="D25" s="11"/>
      <c r="E25" s="78" t="str">
        <f t="shared" si="1"/>
        <v>C_공격시 {0}%확률로 범위 공격 발동</v>
      </c>
    </row>
    <row r="26" spans="1:5" x14ac:dyDescent="0.2">
      <c r="A26" s="57" t="s">
        <v>950</v>
      </c>
      <c r="B26" s="50" t="str">
        <f t="shared" si="0"/>
        <v>DEF_EFFECT_SHIELD_DESC</v>
      </c>
      <c r="C26" s="56" t="s">
        <v>925</v>
      </c>
      <c r="D26" s="11"/>
      <c r="E26" s="78" t="str">
        <f t="shared" si="1"/>
        <v>C_피격 시 {0}%확률로 {1}피해 감소 보호막 발동 (3초간 유지)</v>
      </c>
    </row>
    <row r="27" spans="1:5" x14ac:dyDescent="0.2">
      <c r="A27" s="57" t="s">
        <v>951</v>
      </c>
      <c r="B27" s="50" t="str">
        <f>UPPER(A27) &amp; "_DESC"</f>
        <v>DEF_EFFECT_DAMAGE_TAKEN_REDUCED_DESC</v>
      </c>
      <c r="C27" s="56" t="s">
        <v>926</v>
      </c>
      <c r="D27" s="11"/>
      <c r="E27" s="78" t="str">
        <f t="shared" si="1"/>
        <v>C_피격 시 {0}%확률로 받는 피해량 {1}% 감소</v>
      </c>
    </row>
    <row r="28" spans="1:5" x14ac:dyDescent="0.3">
      <c r="A28" s="56" t="s">
        <v>927</v>
      </c>
      <c r="B28" s="50" t="str">
        <f t="shared" ref="B28:B51" si="2">UPPER(A28) &amp; "_TITLE"</f>
        <v>LEADERSHIP_TITLE</v>
      </c>
      <c r="C28" s="56" t="s">
        <v>902</v>
      </c>
      <c r="D28" s="11"/>
      <c r="E28" s="78" t="str">
        <f t="shared" si="1"/>
        <v>C_통솔</v>
      </c>
    </row>
    <row r="29" spans="1:5" x14ac:dyDescent="0.3">
      <c r="A29" s="56" t="s">
        <v>928</v>
      </c>
      <c r="B29" s="50" t="str">
        <f t="shared" si="2"/>
        <v>STRENGTH_TITLE</v>
      </c>
      <c r="C29" s="56" t="s">
        <v>903</v>
      </c>
      <c r="D29" s="11"/>
      <c r="E29" s="78" t="str">
        <f t="shared" si="1"/>
        <v>C_무력</v>
      </c>
    </row>
    <row r="30" spans="1:5" x14ac:dyDescent="0.3">
      <c r="A30" s="56" t="s">
        <v>929</v>
      </c>
      <c r="B30" s="50" t="str">
        <f t="shared" si="2"/>
        <v>INTELLECT_TITLE</v>
      </c>
      <c r="C30" s="56" t="s">
        <v>904</v>
      </c>
      <c r="D30" s="11"/>
      <c r="E30" s="78" t="str">
        <f t="shared" si="1"/>
        <v>C_지력</v>
      </c>
    </row>
    <row r="31" spans="1:5" x14ac:dyDescent="0.3">
      <c r="A31" s="56" t="s">
        <v>930</v>
      </c>
      <c r="B31" s="50" t="str">
        <f t="shared" si="2"/>
        <v>POLITICS_TITLE</v>
      </c>
      <c r="C31" s="56" t="s">
        <v>905</v>
      </c>
      <c r="D31" s="11"/>
      <c r="E31" s="78" t="str">
        <f t="shared" si="1"/>
        <v>C_정치</v>
      </c>
    </row>
    <row r="32" spans="1:5" x14ac:dyDescent="0.3">
      <c r="A32" s="56" t="s">
        <v>931</v>
      </c>
      <c r="B32" s="50" t="str">
        <f t="shared" si="2"/>
        <v>CHARISMA_TITLE</v>
      </c>
      <c r="C32" s="56" t="s">
        <v>906</v>
      </c>
      <c r="D32" s="11"/>
      <c r="E32" s="78" t="str">
        <f t="shared" si="1"/>
        <v>C_매력</v>
      </c>
    </row>
    <row r="33" spans="1:5" x14ac:dyDescent="0.2">
      <c r="A33" s="57" t="s">
        <v>932</v>
      </c>
      <c r="B33" s="50" t="str">
        <f t="shared" si="2"/>
        <v>ATTACK_POWER_TITLE</v>
      </c>
      <c r="C33" s="57" t="s">
        <v>907</v>
      </c>
      <c r="D33" s="11"/>
      <c r="E33" s="78" t="str">
        <f t="shared" si="1"/>
        <v>C_공격력</v>
      </c>
    </row>
    <row r="34" spans="1:5" x14ac:dyDescent="0.2">
      <c r="A34" s="57" t="s">
        <v>933</v>
      </c>
      <c r="B34" s="50" t="str">
        <f t="shared" si="2"/>
        <v>DEFENCE_TITLE</v>
      </c>
      <c r="C34" s="57" t="s">
        <v>908</v>
      </c>
      <c r="D34" s="11"/>
      <c r="E34" s="78" t="str">
        <f t="shared" si="1"/>
        <v>C_방어력</v>
      </c>
    </row>
    <row r="35" spans="1:5" x14ac:dyDescent="0.2">
      <c r="A35" s="57" t="s">
        <v>934</v>
      </c>
      <c r="B35" s="50" t="str">
        <f t="shared" si="2"/>
        <v>ATTACK_SPEED_TITLE</v>
      </c>
      <c r="C35" s="57" t="s">
        <v>909</v>
      </c>
      <c r="D35" s="11"/>
      <c r="E35" s="78" t="str">
        <f t="shared" si="1"/>
        <v>C_공격속도</v>
      </c>
    </row>
    <row r="36" spans="1:5" x14ac:dyDescent="0.2">
      <c r="A36" s="57" t="s">
        <v>935</v>
      </c>
      <c r="B36" s="50" t="str">
        <f t="shared" si="2"/>
        <v>HEALTH_MAX_TITLE</v>
      </c>
      <c r="C36" s="57" t="s">
        <v>910</v>
      </c>
      <c r="D36" s="11"/>
      <c r="E36" s="78" t="str">
        <f t="shared" si="1"/>
        <v>C_체력</v>
      </c>
    </row>
    <row r="37" spans="1:5" x14ac:dyDescent="0.2">
      <c r="A37" s="57" t="s">
        <v>936</v>
      </c>
      <c r="B37" s="50" t="str">
        <f t="shared" si="2"/>
        <v>MOVE_SPEED_TITLE</v>
      </c>
      <c r="C37" s="57" t="s">
        <v>911</v>
      </c>
      <c r="D37" s="11"/>
      <c r="E37" s="78" t="str">
        <f t="shared" si="1"/>
        <v>C_이동속도</v>
      </c>
    </row>
    <row r="38" spans="1:5" x14ac:dyDescent="0.2">
      <c r="A38" s="57" t="s">
        <v>937</v>
      </c>
      <c r="B38" s="50" t="str">
        <f t="shared" si="2"/>
        <v>LIFE_STEAL_TITLE</v>
      </c>
      <c r="C38" s="57" t="s">
        <v>912</v>
      </c>
      <c r="D38" s="11"/>
      <c r="E38" s="78" t="str">
        <f t="shared" si="1"/>
        <v>C_체력흡수</v>
      </c>
    </row>
    <row r="39" spans="1:5" x14ac:dyDescent="0.2">
      <c r="A39" s="57" t="s">
        <v>938</v>
      </c>
      <c r="B39" s="50" t="str">
        <f t="shared" si="2"/>
        <v>CRITICAL_RATE_TITLE</v>
      </c>
      <c r="C39" s="57" t="s">
        <v>913</v>
      </c>
      <c r="D39" s="11"/>
      <c r="E39" s="78" t="str">
        <f t="shared" si="1"/>
        <v>C_치명타확률</v>
      </c>
    </row>
    <row r="40" spans="1:5" x14ac:dyDescent="0.2">
      <c r="A40" s="57" t="s">
        <v>939</v>
      </c>
      <c r="B40" s="50" t="str">
        <f t="shared" si="2"/>
        <v>COOLDOWN_RATE_TITLE</v>
      </c>
      <c r="C40" s="57" t="s">
        <v>914</v>
      </c>
      <c r="D40" s="11"/>
      <c r="E40" s="78" t="str">
        <f t="shared" si="1"/>
        <v>C_쿨타임감소</v>
      </c>
    </row>
    <row r="41" spans="1:5" x14ac:dyDescent="0.2">
      <c r="A41" s="57" t="s">
        <v>940</v>
      </c>
      <c r="B41" s="50" t="str">
        <f t="shared" si="2"/>
        <v>CRITICAL_DAMAGE_TITLE</v>
      </c>
      <c r="C41" s="57" t="s">
        <v>915</v>
      </c>
      <c r="D41" s="11"/>
      <c r="E41" s="78" t="str">
        <f t="shared" si="1"/>
        <v>C_치명타위력</v>
      </c>
    </row>
    <row r="42" spans="1:5" x14ac:dyDescent="0.2">
      <c r="A42" s="57" t="s">
        <v>941</v>
      </c>
      <c r="B42" s="50" t="str">
        <f t="shared" si="2"/>
        <v>BOSS_DAMAGE_TITLE</v>
      </c>
      <c r="C42" s="57" t="s">
        <v>916</v>
      </c>
      <c r="D42" s="11"/>
      <c r="E42" s="78" t="str">
        <f t="shared" si="1"/>
        <v>C_보스피해량</v>
      </c>
    </row>
    <row r="43" spans="1:5" x14ac:dyDescent="0.2">
      <c r="A43" s="57" t="s">
        <v>942</v>
      </c>
      <c r="B43" s="50" t="str">
        <f t="shared" si="2"/>
        <v>COMBAT_STATUS_BUFF_TITLE</v>
      </c>
      <c r="C43" s="57" t="s">
        <v>960</v>
      </c>
      <c r="D43" s="11"/>
      <c r="E43" s="78" t="str">
        <f t="shared" si="1"/>
        <v>C_전투 능력치 증가</v>
      </c>
    </row>
    <row r="44" spans="1:5" x14ac:dyDescent="0.2">
      <c r="A44" s="57" t="s">
        <v>943</v>
      </c>
      <c r="B44" s="50" t="str">
        <f t="shared" si="2"/>
        <v>ATK_EFFECT_LIGHTNING_TITLE</v>
      </c>
      <c r="C44" s="58" t="s">
        <v>967</v>
      </c>
      <c r="D44" s="11"/>
      <c r="E44" s="78" t="str">
        <f t="shared" si="1"/>
        <v>C_공격시 확률 번개 발동</v>
      </c>
    </row>
    <row r="45" spans="1:5" x14ac:dyDescent="0.2">
      <c r="A45" s="57" t="s">
        <v>944</v>
      </c>
      <c r="B45" s="50" t="str">
        <f t="shared" si="2"/>
        <v>ATK_EFFECT_BLEEDING_TITLE</v>
      </c>
      <c r="C45" s="58" t="s">
        <v>961</v>
      </c>
      <c r="D45" s="11"/>
      <c r="E45" s="78" t="str">
        <f t="shared" si="1"/>
        <v>C_출혈 상태 부여</v>
      </c>
    </row>
    <row r="46" spans="1:5" x14ac:dyDescent="0.2">
      <c r="A46" s="57" t="s">
        <v>945</v>
      </c>
      <c r="B46" s="50" t="str">
        <f t="shared" si="2"/>
        <v>ATK_EFFECT_BURN_TITLE</v>
      </c>
      <c r="C46" s="58" t="s">
        <v>962</v>
      </c>
      <c r="D46" s="11"/>
      <c r="E46" s="78" t="str">
        <f t="shared" si="1"/>
        <v>C_화상 상태 부여</v>
      </c>
    </row>
    <row r="47" spans="1:5" x14ac:dyDescent="0.2">
      <c r="A47" s="57" t="s">
        <v>946</v>
      </c>
      <c r="B47" s="50" t="str">
        <f t="shared" si="2"/>
        <v>ATK_EFFECT_POISONING_TITLE</v>
      </c>
      <c r="C47" s="58" t="s">
        <v>963</v>
      </c>
      <c r="D47" s="11"/>
      <c r="E47" s="78" t="str">
        <f t="shared" si="1"/>
        <v>C_중독 상태 부여</v>
      </c>
    </row>
    <row r="48" spans="1:5" x14ac:dyDescent="0.2">
      <c r="A48" s="57" t="s">
        <v>947</v>
      </c>
      <c r="B48" s="50" t="str">
        <f t="shared" si="2"/>
        <v>ATK_EFFECT_STUN_TITLE</v>
      </c>
      <c r="C48" s="58" t="s">
        <v>964</v>
      </c>
      <c r="E48" s="78" t="str">
        <f t="shared" si="1"/>
        <v>C_스턴 [2초간]</v>
      </c>
    </row>
    <row r="49" spans="1:5" x14ac:dyDescent="0.2">
      <c r="A49" s="57" t="s">
        <v>948</v>
      </c>
      <c r="B49" s="50" t="str">
        <f t="shared" si="2"/>
        <v>ATK_EFFECT_SILENCE_TITLE</v>
      </c>
      <c r="C49" s="59" t="s">
        <v>965</v>
      </c>
      <c r="E49" s="78" t="str">
        <f t="shared" si="1"/>
        <v>C_침묵 [2초간]</v>
      </c>
    </row>
    <row r="50" spans="1:5" x14ac:dyDescent="0.2">
      <c r="A50" s="57" t="s">
        <v>949</v>
      </c>
      <c r="B50" s="50" t="str">
        <f t="shared" si="2"/>
        <v>ATK_EFFECT_AOE_TITLE</v>
      </c>
      <c r="C50" s="60" t="s">
        <v>966</v>
      </c>
      <c r="E50" s="78" t="str">
        <f t="shared" si="1"/>
        <v>C_공격시 확률 범위 공격</v>
      </c>
    </row>
    <row r="51" spans="1:5" x14ac:dyDescent="0.2">
      <c r="A51" s="57" t="s">
        <v>950</v>
      </c>
      <c r="B51" s="50" t="str">
        <f t="shared" si="2"/>
        <v>DEF_EFFECT_SHIELD_TITLE</v>
      </c>
      <c r="C51" s="60" t="s">
        <v>968</v>
      </c>
      <c r="E51" s="78" t="str">
        <f t="shared" si="1"/>
        <v>C_피격시 보호막 발동 [3초간]</v>
      </c>
    </row>
    <row r="52" spans="1:5" x14ac:dyDescent="0.2">
      <c r="A52" s="57" t="s">
        <v>951</v>
      </c>
      <c r="B52" s="50" t="str">
        <f>UPPER(A52) &amp; "_TITLE"</f>
        <v>DEF_EFFECT_DAMAGE_TAKEN_REDUCED_TITLE</v>
      </c>
      <c r="C52" s="60" t="s">
        <v>969</v>
      </c>
      <c r="E52" s="78" t="str">
        <f t="shared" ref="E52" si="3">"C_"&amp;C52</f>
        <v>C_피격시 피해량 감소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B8E75-F40E-4FE4-ABAF-C7FBFF4A817B}">
  <dimension ref="A1:E64"/>
  <sheetViews>
    <sheetView topLeftCell="A28" workbookViewId="0">
      <selection activeCell="C56" sqref="C56"/>
    </sheetView>
  </sheetViews>
  <sheetFormatPr defaultColWidth="9" defaultRowHeight="13.5" x14ac:dyDescent="0.3"/>
  <cols>
    <col min="1" max="1" width="29.25" style="72" bestFit="1" customWidth="1"/>
    <col min="2" max="2" width="46.75" style="72" bestFit="1" customWidth="1"/>
    <col min="3" max="3" width="56" style="72" bestFit="1" customWidth="1"/>
    <col min="4" max="4" width="6" style="72" bestFit="1" customWidth="1"/>
    <col min="5" max="5" width="6.125" style="72" bestFit="1" customWidth="1"/>
    <col min="6" max="16384" width="9" style="72"/>
  </cols>
  <sheetData>
    <row r="1" spans="1:5" x14ac:dyDescent="0.3">
      <c r="A1" s="71" t="s">
        <v>54</v>
      </c>
      <c r="B1" s="71" t="s">
        <v>3</v>
      </c>
      <c r="C1" s="71" t="s">
        <v>0</v>
      </c>
      <c r="D1" s="71" t="s">
        <v>1</v>
      </c>
      <c r="E1" s="77" t="s">
        <v>1233</v>
      </c>
    </row>
    <row r="2" spans="1:5" x14ac:dyDescent="0.3">
      <c r="A2" s="71" t="s">
        <v>2</v>
      </c>
      <c r="B2" s="71" t="s">
        <v>2</v>
      </c>
      <c r="C2" s="71" t="s">
        <v>2</v>
      </c>
      <c r="D2" s="73" t="s">
        <v>2</v>
      </c>
      <c r="E2" s="77" t="s">
        <v>2</v>
      </c>
    </row>
    <row r="3" spans="1:5" x14ac:dyDescent="0.3">
      <c r="A3" s="56"/>
      <c r="B3" s="74" t="s">
        <v>1150</v>
      </c>
      <c r="C3" s="70" t="s">
        <v>1151</v>
      </c>
      <c r="D3" s="75"/>
      <c r="E3" s="78" t="str">
        <f t="shared" ref="E3:E6" si="0">"C_"&amp;C3</f>
        <v>C_궁성의 레벨보다 높을 수 없습니다.</v>
      </c>
    </row>
    <row r="4" spans="1:5" x14ac:dyDescent="0.3">
      <c r="A4" s="56"/>
      <c r="B4" s="74" t="s">
        <v>1152</v>
      </c>
      <c r="C4" s="70" t="s">
        <v>1153</v>
      </c>
      <c r="D4" s="75"/>
      <c r="E4" s="78" t="str">
        <f t="shared" si="0"/>
        <v>C_다른 건물의 레벨이 낮습니다.</v>
      </c>
    </row>
    <row r="5" spans="1:5" x14ac:dyDescent="0.3">
      <c r="A5" s="56"/>
      <c r="B5" s="74" t="s">
        <v>1169</v>
      </c>
      <c r="C5" s="56" t="s">
        <v>1170</v>
      </c>
      <c r="D5" s="75"/>
      <c r="E5" s="78" t="str">
        <f t="shared" si="0"/>
        <v>C_요구 능력치가 부족합니다.</v>
      </c>
    </row>
    <row r="6" spans="1:5" x14ac:dyDescent="0.3">
      <c r="A6" s="56"/>
      <c r="B6" s="74" t="s">
        <v>1171</v>
      </c>
      <c r="C6" s="59" t="s">
        <v>1172</v>
      </c>
      <c r="D6" s="75"/>
      <c r="E6" s="78" t="str">
        <f t="shared" si="0"/>
        <v>C_경험치가 부족합니다.</v>
      </c>
    </row>
    <row r="7" spans="1:5" x14ac:dyDescent="0.3">
      <c r="A7" s="56"/>
      <c r="B7" s="74" t="s">
        <v>1200</v>
      </c>
      <c r="C7" s="56" t="s">
        <v>1201</v>
      </c>
      <c r="D7" s="75"/>
      <c r="E7" s="78" t="str">
        <f t="shared" ref="E7:E39" si="1">"C_"&amp;C7</f>
        <v>C_[{0}] {1} 진영에 합류합니다.</v>
      </c>
    </row>
    <row r="8" spans="1:5" x14ac:dyDescent="0.2">
      <c r="A8" s="57"/>
      <c r="B8" s="74" t="s">
        <v>1236</v>
      </c>
      <c r="C8" s="57" t="s">
        <v>1237</v>
      </c>
      <c r="D8" s="75"/>
      <c r="E8" s="78" t="str">
        <f t="shared" si="1"/>
        <v>C_광고 시청 완료</v>
      </c>
    </row>
    <row r="9" spans="1:5" x14ac:dyDescent="0.2">
      <c r="A9" s="57"/>
      <c r="B9" s="74" t="s">
        <v>1238</v>
      </c>
      <c r="C9" s="57" t="s">
        <v>1239</v>
      </c>
      <c r="D9" s="75"/>
      <c r="E9" s="78" t="str">
        <f t="shared" si="1"/>
        <v>C_[{0}] {1}개 수령했습니다.</v>
      </c>
    </row>
    <row r="10" spans="1:5" x14ac:dyDescent="0.25">
      <c r="A10" s="57"/>
      <c r="B10" s="74" t="s">
        <v>1241</v>
      </c>
      <c r="C10" s="86" t="s">
        <v>1240</v>
      </c>
      <c r="D10" s="75"/>
      <c r="E10" s="78" t="str">
        <f t="shared" si="1"/>
        <v>C_영지에 도적이 출몰했습니다!</v>
      </c>
    </row>
    <row r="11" spans="1:5" x14ac:dyDescent="0.2">
      <c r="A11" s="57"/>
      <c r="B11" s="74" t="s">
        <v>1242</v>
      </c>
      <c r="C11" s="57" t="s">
        <v>1243</v>
      </c>
      <c r="D11" s="75"/>
      <c r="E11" s="78" t="str">
        <f t="shared" si="1"/>
        <v>C_영지에서 도적이 도망갔습니다!</v>
      </c>
    </row>
    <row r="12" spans="1:5" x14ac:dyDescent="0.25">
      <c r="A12" s="57"/>
      <c r="B12" s="74" t="s">
        <v>1244</v>
      </c>
      <c r="C12" s="87" t="s">
        <v>1245</v>
      </c>
      <c r="D12" s="75"/>
      <c r="E12" s="78" t="str">
        <f t="shared" si="1"/>
        <v>C_도적을 잡았습니다!</v>
      </c>
    </row>
    <row r="13" spans="1:5" x14ac:dyDescent="0.2">
      <c r="A13" s="57"/>
      <c r="B13" s="74" t="s">
        <v>1246</v>
      </c>
      <c r="C13" s="57" t="s">
        <v>1247</v>
      </c>
      <c r="D13" s="75"/>
      <c r="E13" s="78" t="str">
        <f t="shared" si="1"/>
        <v>C_건물 업그레이드 완료</v>
      </c>
    </row>
    <row r="14" spans="1:5" x14ac:dyDescent="0.25">
      <c r="A14" s="57"/>
      <c r="B14" s="74" t="s">
        <v>1248</v>
      </c>
      <c r="C14" s="87" t="s">
        <v>1249</v>
      </c>
      <c r="D14" s="75"/>
      <c r="E14" s="78" t="str">
        <f t="shared" si="1"/>
        <v>C_이미 최고 레벨입니다.</v>
      </c>
    </row>
    <row r="15" spans="1:5" x14ac:dyDescent="0.2">
      <c r="A15" s="57"/>
      <c r="B15" s="74" t="s">
        <v>1250</v>
      </c>
      <c r="C15" s="57" t="s">
        <v>1251</v>
      </c>
      <c r="D15" s="75"/>
      <c r="E15" s="78" t="str">
        <f t="shared" si="1"/>
        <v>C_이미 업그레이드가 진행중입니다.</v>
      </c>
    </row>
    <row r="16" spans="1:5" x14ac:dyDescent="0.25">
      <c r="A16" s="57"/>
      <c r="B16" s="74" t="s">
        <v>1252</v>
      </c>
      <c r="C16" s="87" t="s">
        <v>1253</v>
      </c>
      <c r="D16" s="75"/>
      <c r="E16" s="78" t="str">
        <f t="shared" si="1"/>
        <v>C_시간이 단축되었습니다.</v>
      </c>
    </row>
    <row r="17" spans="1:5" x14ac:dyDescent="0.2">
      <c r="A17" s="57"/>
      <c r="B17" s="74" t="s">
        <v>1254</v>
      </c>
      <c r="C17" s="57" t="s">
        <v>1255</v>
      </c>
      <c r="D17" s="75"/>
      <c r="E17" s="78" t="str">
        <f t="shared" si="1"/>
        <v>C_파견 임무를 시작합니다.</v>
      </c>
    </row>
    <row r="18" spans="1:5" x14ac:dyDescent="0.2">
      <c r="A18" s="57"/>
      <c r="B18" s="74" t="s">
        <v>1256</v>
      </c>
      <c r="C18" s="57" t="s">
        <v>1257</v>
      </c>
      <c r="D18" s="75"/>
      <c r="E18" s="78" t="str">
        <f t="shared" si="1"/>
        <v>C_관아 업그레이드 준비완료!</v>
      </c>
    </row>
    <row r="19" spans="1:5" x14ac:dyDescent="0.2">
      <c r="A19" s="57"/>
      <c r="B19" s="74" t="s">
        <v>1258</v>
      </c>
      <c r="C19" s="56" t="s">
        <v>1259</v>
      </c>
      <c r="D19" s="75"/>
      <c r="E19" s="78" t="str">
        <f t="shared" si="1"/>
        <v>C_특사 활성화 후에 획득 가능합니다.</v>
      </c>
    </row>
    <row r="20" spans="1:5" x14ac:dyDescent="0.2">
      <c r="A20" s="57"/>
      <c r="B20" s="74" t="s">
        <v>1260</v>
      </c>
      <c r="C20" s="59" t="s">
        <v>1261</v>
      </c>
      <c r="D20" s="75"/>
      <c r="E20" s="78" t="str">
        <f t="shared" si="1"/>
        <v>C_해금된 스토리가 있습니다.</v>
      </c>
    </row>
    <row r="21" spans="1:5" x14ac:dyDescent="0.2">
      <c r="A21" s="57"/>
      <c r="B21" s="74" t="s">
        <v>1262</v>
      </c>
      <c r="C21" s="59" t="s">
        <v>1263</v>
      </c>
      <c r="D21" s="75"/>
      <c r="E21" s="78" t="str">
        <f t="shared" si="1"/>
        <v>C_특성을 찾을 수 없습니다.</v>
      </c>
    </row>
    <row r="22" spans="1:5" x14ac:dyDescent="0.2">
      <c r="A22" s="57"/>
      <c r="B22" s="74" t="s">
        <v>1264</v>
      </c>
      <c r="C22" s="59" t="s">
        <v>1265</v>
      </c>
      <c r="D22" s="75"/>
      <c r="E22" s="78" t="str">
        <f t="shared" si="1"/>
        <v>C_길잡이 퀘스트 완료</v>
      </c>
    </row>
    <row r="23" spans="1:5" x14ac:dyDescent="0.2">
      <c r="A23" s="57"/>
      <c r="B23" s="74" t="s">
        <v>1266</v>
      </c>
      <c r="C23" s="59" t="s">
        <v>1267</v>
      </c>
      <c r="D23" s="75"/>
      <c r="E23" s="78" t="str">
        <f t="shared" si="1"/>
        <v>C_배치 인원이 이미 모두 찼습니다.</v>
      </c>
    </row>
    <row r="24" spans="1:5" x14ac:dyDescent="0.2">
      <c r="A24" s="57"/>
      <c r="B24" s="74" t="s">
        <v>1268</v>
      </c>
      <c r="C24" s="59" t="s">
        <v>1269</v>
      </c>
      <c r="D24" s="75"/>
      <c r="E24" s="78" t="str">
        <f t="shared" si="1"/>
        <v>C_이미 임무 중인 장수입니다.\n새로운 임무를 부여하겠습니까?</v>
      </c>
    </row>
    <row r="25" spans="1:5" x14ac:dyDescent="0.2">
      <c r="A25" s="57"/>
      <c r="B25" s="74" t="s">
        <v>1271</v>
      </c>
      <c r="C25" s="56" t="s">
        <v>1270</v>
      </c>
      <c r="D25" s="75"/>
      <c r="E25" s="78" t="str">
        <f t="shared" si="1"/>
        <v>C_요구 능력치를 10%이상 달성해주세요.</v>
      </c>
    </row>
    <row r="26" spans="1:5" x14ac:dyDescent="0.2">
      <c r="A26" s="57"/>
      <c r="B26" s="74" t="s">
        <v>1272</v>
      </c>
      <c r="C26" s="59" t="s">
        <v>1273</v>
      </c>
      <c r="D26" s="75"/>
      <c r="E26" s="78" t="str">
        <f t="shared" si="1"/>
        <v>C_더 이상 임무를 보낼 수 없습니다.</v>
      </c>
    </row>
    <row r="27" spans="1:5" x14ac:dyDescent="0.2">
      <c r="A27" s="57"/>
      <c r="B27" s="74" t="s">
        <v>1274</v>
      </c>
      <c r="C27" s="59" t="s">
        <v>1275</v>
      </c>
      <c r="D27" s="75"/>
      <c r="E27" s="78" t="str">
        <f t="shared" si="1"/>
        <v>C_임무 보낼 장수가 없습니다.</v>
      </c>
    </row>
    <row r="28" spans="1:5" x14ac:dyDescent="0.3">
      <c r="A28" s="56"/>
      <c r="B28" s="74" t="s">
        <v>1276</v>
      </c>
      <c r="C28" s="56" t="s">
        <v>1277</v>
      </c>
      <c r="D28" s="75"/>
      <c r="E28" s="78" t="str">
        <f t="shared" si="1"/>
        <v>C_완료할 미션이 없습니다.</v>
      </c>
    </row>
    <row r="29" spans="1:5" x14ac:dyDescent="0.3">
      <c r="A29" s="56"/>
      <c r="B29" s="74" t="s">
        <v>1278</v>
      </c>
      <c r="C29" s="56" t="s">
        <v>1279</v>
      </c>
      <c r="D29" s="75"/>
      <c r="E29" s="78" t="str">
        <f t="shared" si="1"/>
        <v>C_구매 실패</v>
      </c>
    </row>
    <row r="30" spans="1:5" x14ac:dyDescent="0.3">
      <c r="A30" s="56"/>
      <c r="B30" s="74" t="s">
        <v>1280</v>
      </c>
      <c r="C30" s="59" t="s">
        <v>1281</v>
      </c>
      <c r="D30" s="75"/>
      <c r="E30" s="78" t="str">
        <f t="shared" si="1"/>
        <v>C_시스템에 의해 차단되었습니다.</v>
      </c>
    </row>
    <row r="31" spans="1:5" x14ac:dyDescent="0.3">
      <c r="A31" s="56"/>
      <c r="B31" s="74" t="s">
        <v>1282</v>
      </c>
      <c r="C31" s="59" t="s">
        <v>1283</v>
      </c>
      <c r="D31" s="75"/>
      <c r="E31" s="78" t="str">
        <f t="shared" si="1"/>
        <v>C_이미 최고 등급입니다.</v>
      </c>
    </row>
    <row r="32" spans="1:5" x14ac:dyDescent="0.3">
      <c r="A32" s="56"/>
      <c r="B32" s="74" t="s">
        <v>1287</v>
      </c>
      <c r="C32" s="59" t="s">
        <v>1288</v>
      </c>
      <c r="D32" s="75"/>
      <c r="E32" s="78" t="str">
        <f t="shared" si="1"/>
        <v>C_명장부터 특성 부여가 가능합니다.</v>
      </c>
    </row>
    <row r="33" spans="1:5" x14ac:dyDescent="0.2">
      <c r="A33" s="57"/>
      <c r="B33" s="74" t="s">
        <v>1289</v>
      </c>
      <c r="C33" s="57" t="s">
        <v>1290</v>
      </c>
      <c r="D33" s="75"/>
      <c r="E33" s="78" t="str">
        <f t="shared" si="1"/>
        <v>C_모두 잠겨서 진행이 불가합니다.</v>
      </c>
    </row>
    <row r="34" spans="1:5" x14ac:dyDescent="0.2">
      <c r="A34" s="57"/>
      <c r="B34" s="74" t="s">
        <v>1293</v>
      </c>
      <c r="C34" s="57" t="s">
        <v>1294</v>
      </c>
      <c r="D34" s="75"/>
      <c r="E34" s="78" t="str">
        <f t="shared" si="1"/>
        <v>C_승급합니다.</v>
      </c>
    </row>
    <row r="35" spans="1:5" x14ac:dyDescent="0.2">
      <c r="A35" s="57"/>
      <c r="B35" s="74" t="s">
        <v>1295</v>
      </c>
      <c r="C35" s="89" t="s">
        <v>1296</v>
      </c>
      <c r="D35" s="75"/>
      <c r="E35" s="78" t="str">
        <f t="shared" si="1"/>
        <v>C_+{0}로 강화합니다.</v>
      </c>
    </row>
    <row r="36" spans="1:5" x14ac:dyDescent="0.25">
      <c r="A36" s="57"/>
      <c r="B36" s="74" t="s">
        <v>1297</v>
      </c>
      <c r="C36" s="87" t="s">
        <v>1298</v>
      </c>
      <c r="D36" s="75"/>
      <c r="E36" s="78" t="str">
        <f t="shared" si="1"/>
        <v>C_시간이 어긋나 버렸습니다.</v>
      </c>
    </row>
    <row r="37" spans="1:5" x14ac:dyDescent="0.2">
      <c r="A37" s="57"/>
      <c r="B37" s="74" t="s">
        <v>1299</v>
      </c>
      <c r="C37" s="57" t="s">
        <v>1300</v>
      </c>
      <c r="D37" s="75"/>
      <c r="E37" s="78" t="str">
        <f t="shared" si="1"/>
        <v>C_어긋난 시간선의 끝에 도달했습니다.</v>
      </c>
    </row>
    <row r="38" spans="1:5" x14ac:dyDescent="0.2">
      <c r="A38" s="57"/>
      <c r="B38" s="74" t="s">
        <v>1301</v>
      </c>
      <c r="C38" s="57" t="s">
        <v>1302</v>
      </c>
      <c r="D38" s="75"/>
      <c r="E38" s="78" t="str">
        <f t="shared" si="1"/>
        <v>C_시간이 어긋나 있습니다.</v>
      </c>
    </row>
    <row r="39" spans="1:5" x14ac:dyDescent="0.2">
      <c r="A39" s="57"/>
      <c r="B39" s="74" t="s">
        <v>1303</v>
      </c>
      <c r="C39" s="57" t="s">
        <v>1304</v>
      </c>
      <c r="D39" s="75"/>
      <c r="E39" s="78" t="str">
        <f t="shared" si="1"/>
        <v>C_시간을 돌려 되돌아 갑니다.</v>
      </c>
    </row>
    <row r="40" spans="1:5" x14ac:dyDescent="0.2">
      <c r="A40" s="57"/>
      <c r="B40" s="74" t="s">
        <v>1309</v>
      </c>
      <c r="C40" s="57" t="s">
        <v>1310</v>
      </c>
      <c r="D40" s="75"/>
      <c r="E40" s="78" t="str">
        <f t="shared" ref="E40:E63" si="2">"C_"&amp;C40</f>
        <v>C_포기하시겠습니까?</v>
      </c>
    </row>
    <row r="41" spans="1:5" x14ac:dyDescent="0.25">
      <c r="A41" s="57"/>
      <c r="B41" s="74" t="s">
        <v>1319</v>
      </c>
      <c r="C41" s="87" t="s">
        <v>1320</v>
      </c>
      <c r="D41" s="75"/>
      <c r="E41" s="75" t="str">
        <f t="shared" si="2"/>
        <v>C_보상을 모두 수령했습니다.</v>
      </c>
    </row>
    <row r="42" spans="1:5" x14ac:dyDescent="0.2">
      <c r="A42" s="57"/>
      <c r="B42" s="74" t="s">
        <v>1322</v>
      </c>
      <c r="C42" s="57" t="s">
        <v>1321</v>
      </c>
      <c r="D42" s="75"/>
      <c r="E42" s="75" t="str">
        <f t="shared" si="2"/>
        <v>C_[{0}] 영혼석을 획득했습니다.</v>
      </c>
    </row>
    <row r="43" spans="1:5" x14ac:dyDescent="0.25">
      <c r="A43" s="57"/>
      <c r="B43" s="74" t="s">
        <v>1323</v>
      </c>
      <c r="C43" s="87" t="s">
        <v>1324</v>
      </c>
      <c r="D43" s="75"/>
      <c r="E43" s="75" t="str">
        <f t="shared" si="2"/>
        <v>C_최소 1명은 배치해야 합니다.</v>
      </c>
    </row>
    <row r="44" spans="1:5" x14ac:dyDescent="0.2">
      <c r="A44" s="57"/>
      <c r="B44" s="74" t="s">
        <v>1325</v>
      </c>
      <c r="C44" s="58" t="s">
        <v>1326</v>
      </c>
      <c r="D44" s="75"/>
      <c r="E44" s="75" t="str">
        <f t="shared" si="2"/>
        <v>C_최대 4명까지 배치할 수 있습니다.</v>
      </c>
    </row>
    <row r="45" spans="1:5" x14ac:dyDescent="0.2">
      <c r="A45" s="57"/>
      <c r="B45" s="74" t="s">
        <v>1327</v>
      </c>
      <c r="C45" s="58" t="s">
        <v>1328</v>
      </c>
      <c r="D45" s="75"/>
      <c r="E45" s="75" t="str">
        <f t="shared" si="2"/>
        <v>C_변경사항이 있습니다.\n닫겠습니까?</v>
      </c>
    </row>
    <row r="46" spans="1:5" x14ac:dyDescent="0.2">
      <c r="A46" s="57"/>
      <c r="B46" s="74" t="s">
        <v>1329</v>
      </c>
      <c r="C46" s="58" t="s">
        <v>1330</v>
      </c>
      <c r="D46" s="75"/>
      <c r="E46" s="75" t="str">
        <f t="shared" si="2"/>
        <v>C_최대 3개까지만 장착 가능합니다.</v>
      </c>
    </row>
    <row r="47" spans="1:5" x14ac:dyDescent="0.2">
      <c r="A47" s="57"/>
      <c r="B47" s="74" t="s">
        <v>1335</v>
      </c>
      <c r="C47" s="58" t="s">
        <v>1336</v>
      </c>
      <c r="D47" s="75"/>
      <c r="E47" s="75" t="str">
        <f t="shared" si="2"/>
        <v>C_플레이 가능 횟수가 초과되었습니다.</v>
      </c>
    </row>
    <row r="48" spans="1:5" x14ac:dyDescent="0.2">
      <c r="A48" s="57"/>
      <c r="B48" s="74" t="s">
        <v>1337</v>
      </c>
      <c r="C48" s="58" t="s">
        <v>1338</v>
      </c>
      <c r="E48" s="75" t="str">
        <f t="shared" si="2"/>
        <v>C_재화가 부족합니다.</v>
      </c>
    </row>
    <row r="49" spans="1:5" x14ac:dyDescent="0.2">
      <c r="A49" s="57"/>
      <c r="B49" s="74" t="s">
        <v>1339</v>
      </c>
      <c r="C49" s="59" t="s">
        <v>1340</v>
      </c>
      <c r="E49" s="75" t="str">
        <f t="shared" si="2"/>
        <v>C_재화를 사용하여 갱신하시겠습니까?</v>
      </c>
    </row>
    <row r="50" spans="1:5" x14ac:dyDescent="0.2">
      <c r="A50" s="57"/>
      <c r="B50" s="74" t="s">
        <v>1341</v>
      </c>
      <c r="C50" s="58" t="s">
        <v>1342</v>
      </c>
      <c r="E50" s="75" t="str">
        <f t="shared" si="2"/>
        <v>C_시간이 초과 되었습니다.</v>
      </c>
    </row>
    <row r="51" spans="1:5" x14ac:dyDescent="0.2">
      <c r="A51" s="57"/>
      <c r="B51" s="74" t="s">
        <v>1343</v>
      </c>
      <c r="C51" s="60" t="s">
        <v>1344</v>
      </c>
      <c r="E51" s="75" t="str">
        <f t="shared" si="2"/>
        <v>C_보상이 없습니다.</v>
      </c>
    </row>
    <row r="52" spans="1:5" x14ac:dyDescent="0.2">
      <c r="A52" s="57"/>
      <c r="B52" s="74" t="s">
        <v>1345</v>
      </c>
      <c r="C52" s="60" t="s">
        <v>1346</v>
      </c>
      <c r="E52" s="75" t="str">
        <f t="shared" si="2"/>
        <v>C_준비 중입니다.</v>
      </c>
    </row>
    <row r="53" spans="1:5" x14ac:dyDescent="0.3">
      <c r="B53" s="72" t="s">
        <v>1347</v>
      </c>
      <c r="C53" s="72" t="s">
        <v>1348</v>
      </c>
      <c r="E53" s="75" t="str">
        <f t="shared" si="2"/>
        <v>C_아직 받을 보상이 있습니다.</v>
      </c>
    </row>
    <row r="54" spans="1:5" x14ac:dyDescent="0.3">
      <c r="B54" s="72" t="s">
        <v>1349</v>
      </c>
      <c r="C54" s="72" t="s">
        <v>1350</v>
      </c>
      <c r="E54" s="75" t="str">
        <f t="shared" si="2"/>
        <v>C_삭제 완료</v>
      </c>
    </row>
    <row r="55" spans="1:5" x14ac:dyDescent="0.3">
      <c r="B55" s="72" t="s">
        <v>1351</v>
      </c>
      <c r="C55" s="72" t="s">
        <v>1352</v>
      </c>
      <c r="E55" s="75" t="str">
        <f t="shared" si="2"/>
        <v>C_삭제할 우편이 없습니다.</v>
      </c>
    </row>
    <row r="56" spans="1:5" x14ac:dyDescent="0.3">
      <c r="B56" s="72" t="s">
        <v>1353</v>
      </c>
      <c r="C56" s="72" t="s">
        <v>1354</v>
      </c>
      <c r="E56" s="75" t="str">
        <f t="shared" si="2"/>
        <v>C_복사완료</v>
      </c>
    </row>
    <row r="57" spans="1:5" x14ac:dyDescent="0.3">
      <c r="B57" s="72" t="s">
        <v>1358</v>
      </c>
      <c r="C57" s="72" t="s">
        <v>1359</v>
      </c>
      <c r="E57" s="75" t="str">
        <f t="shared" si="2"/>
        <v>C_새로운 영웅이 방문하였습니다.</v>
      </c>
    </row>
    <row r="58" spans="1:5" x14ac:dyDescent="0.3">
      <c r="B58" s="72" t="s">
        <v>1362</v>
      </c>
      <c r="C58" s="72" t="s">
        <v>1363</v>
      </c>
      <c r="E58" s="75" t="str">
        <f t="shared" si="2"/>
        <v>C_잠시 후퇴! 전량상 후퇴일 뿐입니다.</v>
      </c>
    </row>
    <row r="59" spans="1:5" x14ac:dyDescent="0.3">
      <c r="B59" s="72" t="s">
        <v>1364</v>
      </c>
      <c r="C59" s="72" t="s">
        <v>1365</v>
      </c>
      <c r="E59" s="75" t="str">
        <f t="shared" si="2"/>
        <v>C_건너뛰기할 수 없습니다.</v>
      </c>
    </row>
    <row r="60" spans="1:5" x14ac:dyDescent="0.3">
      <c r="B60" s="72" t="s">
        <v>1366</v>
      </c>
      <c r="C60" s="72" t="s">
        <v>1367</v>
      </c>
      <c r="E60" s="75" t="str">
        <f t="shared" si="2"/>
        <v>C_건너뛰겠습니까?</v>
      </c>
    </row>
    <row r="61" spans="1:5" x14ac:dyDescent="0.3">
      <c r="B61" s="72" t="s">
        <v>1372</v>
      </c>
      <c r="C61" s="72" t="s">
        <v>1373</v>
      </c>
      <c r="E61" s="75" t="str">
        <f t="shared" si="2"/>
        <v>C_스토리를 완료했습니다.</v>
      </c>
    </row>
    <row r="62" spans="1:5" x14ac:dyDescent="0.3">
      <c r="B62" s="72" t="s">
        <v>1374</v>
      </c>
      <c r="C62" s="72" t="s">
        <v>1375</v>
      </c>
      <c r="E62" s="75" t="str">
        <f t="shared" si="2"/>
        <v>C_{0} {1} 진영에 합류합니다.</v>
      </c>
    </row>
    <row r="63" spans="1:5" x14ac:dyDescent="0.3">
      <c r="B63" s="72" t="s">
        <v>1376</v>
      </c>
      <c r="C63" s="72" t="s">
        <v>1377</v>
      </c>
      <c r="E63" s="75" t="str">
        <f t="shared" si="2"/>
        <v>C_{0} 진영에 합류합니다.</v>
      </c>
    </row>
    <row r="64" spans="1:5" x14ac:dyDescent="0.3">
      <c r="E64" s="7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2026-09-18T14:00:11Z</dcterms:modified>
</cp:coreProperties>
</file>