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AA94AA72-50F6-41E1-A365-02B71E2D7008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Overview" sheetId="1" r:id="rId1"/>
    <sheet name="String" sheetId="4" r:id="rId2"/>
    <sheet name="String_Mission" sheetId="6" r:id="rId3"/>
    <sheet name="String_Hero" sheetId="3" r:id="rId4"/>
    <sheet name="String_Treasure" sheetId="7" r:id="rId5"/>
    <sheet name="String_ScenarioTalk" sheetId="5" r:id="rId6"/>
    <sheet name="String_Story" sheetId="8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18" i="8" l="1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70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6" i="8"/>
  <c r="D11" i="8"/>
  <c r="D10" i="8"/>
  <c r="D9" i="8"/>
  <c r="D8" i="8"/>
  <c r="D7" i="8"/>
  <c r="D6" i="8"/>
  <c r="D5" i="8"/>
  <c r="D4" i="8"/>
  <c r="D3" i="8"/>
  <c r="B3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12" i="6" l="1"/>
  <c r="B11" i="6"/>
  <c r="B10" i="6"/>
  <c r="B9" i="6"/>
  <c r="B8" i="6"/>
  <c r="B7" i="6"/>
  <c r="B6" i="6"/>
  <c r="B5" i="6"/>
  <c r="B4" i="6"/>
  <c r="B3" i="6"/>
  <c r="B33" i="5"/>
  <c r="A33" i="5"/>
  <c r="C33" i="5" s="1"/>
  <c r="E33" i="5"/>
  <c r="E29" i="5"/>
  <c r="E30" i="5"/>
  <c r="E31" i="5"/>
  <c r="E32" i="5"/>
  <c r="B21" i="5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A21" i="5"/>
  <c r="A22" i="5" s="1"/>
  <c r="E27" i="5"/>
  <c r="E26" i="5"/>
  <c r="E24" i="5"/>
  <c r="E22" i="5"/>
  <c r="E23" i="5"/>
  <c r="E25" i="5"/>
  <c r="E28" i="5"/>
  <c r="E21" i="5"/>
  <c r="C19" i="5"/>
  <c r="E19" i="5"/>
  <c r="A20" i="5"/>
  <c r="B20" i="5"/>
  <c r="E20" i="5"/>
  <c r="C3" i="5"/>
  <c r="A23" i="5" l="1"/>
  <c r="C22" i="5"/>
  <c r="C21" i="5"/>
  <c r="C20" i="5"/>
  <c r="A4" i="5"/>
  <c r="B4" i="5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C23" i="5" l="1"/>
  <c r="A24" i="5"/>
  <c r="A5" i="5"/>
  <c r="C5" i="5" s="1"/>
  <c r="C4" i="5"/>
  <c r="A25" i="5" l="1"/>
  <c r="C24" i="5"/>
  <c r="A6" i="5"/>
  <c r="C6" i="5" s="1"/>
  <c r="C25" i="5" l="1"/>
  <c r="A26" i="5"/>
  <c r="A7" i="5"/>
  <c r="C7" i="5" s="1"/>
  <c r="A27" i="5" l="1"/>
  <c r="C26" i="5"/>
  <c r="A8" i="5"/>
  <c r="C8" i="5" s="1"/>
  <c r="A28" i="5" l="1"/>
  <c r="C27" i="5"/>
  <c r="A9" i="5"/>
  <c r="C9" i="5" s="1"/>
  <c r="A29" i="5" l="1"/>
  <c r="C28" i="5"/>
  <c r="A10" i="5"/>
  <c r="C10" i="5" s="1"/>
  <c r="A30" i="5" l="1"/>
  <c r="C29" i="5"/>
  <c r="A11" i="5"/>
  <c r="A31" i="5" l="1"/>
  <c r="C30" i="5"/>
  <c r="A12" i="5"/>
  <c r="C11" i="5"/>
  <c r="A13" i="5"/>
  <c r="A32" i="5" l="1"/>
  <c r="C32" i="5" s="1"/>
  <c r="C31" i="5"/>
  <c r="C13" i="5"/>
  <c r="A15" i="5"/>
  <c r="A14" i="5"/>
  <c r="C12" i="5"/>
  <c r="C15" i="5" l="1"/>
  <c r="A17" i="5"/>
  <c r="C17" i="5" s="1"/>
  <c r="C14" i="5"/>
  <c r="A16" i="5"/>
  <c r="C16" i="5" l="1"/>
  <c r="A18" i="5"/>
  <c r="C18" i="5" s="1"/>
</calcChain>
</file>

<file path=xl/sharedStrings.xml><?xml version="1.0" encoding="utf-8"?>
<sst xmlns="http://schemas.openxmlformats.org/spreadsheetml/2006/main" count="760" uniqueCount="492">
  <si>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</si>
  <si>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</si>
  <si>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</si>
  <si>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</si>
  <si>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</si>
  <si>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</si>
  <si>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</si>
  <si>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</si>
  <si>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</si>
  <si>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</si>
  <si>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</si>
  <si>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</si>
  <si>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</si>
  <si>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</si>
  <si>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</si>
  <si>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</si>
  <si>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</si>
  <si>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</si>
  <si>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</si>
  <si>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</si>
  <si>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</si>
  <si>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</si>
  <si>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</si>
  <si>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</si>
  <si>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</si>
  <si>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</si>
  <si>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</si>
  <si>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</si>
  <si>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</si>
  <si>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</si>
  <si>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</si>
  <si>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</si>
  <si>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</si>
  <si>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</si>
  <si>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</si>
  <si>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</si>
  <si>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NAME_SHU_LIUBEI</t>
    <phoneticPr fontId="1" type="noConversion"/>
  </si>
  <si>
    <t>NAME_SHU_GUANYU</t>
    <phoneticPr fontId="1" type="noConversion"/>
  </si>
  <si>
    <t>NAME_SHU_ZHANGFEI</t>
    <phoneticPr fontId="1" type="noConversion"/>
  </si>
  <si>
    <t>NAME_SHU_ZHAYUN</t>
    <phoneticPr fontId="1" type="noConversion"/>
  </si>
  <si>
    <t>NAME_SHU_ZHUGELIANG</t>
    <phoneticPr fontId="1" type="noConversion"/>
  </si>
  <si>
    <t>COURTESY_SHU_LIUBEI</t>
    <phoneticPr fontId="1" type="noConversion"/>
  </si>
  <si>
    <t>COURTESY_SHU_GUANYU</t>
    <phoneticPr fontId="1" type="noConversion"/>
  </si>
  <si>
    <t>COURTESY_SHU_ZHANGFEI</t>
    <phoneticPr fontId="1" type="noConversion"/>
  </si>
  <si>
    <t>COURTESY_SHU_ZHAYUN</t>
    <phoneticPr fontId="1" type="noConversion"/>
  </si>
  <si>
    <t>COURTESY_SHU_ZHUGELIANG</t>
    <phoneticPr fontId="1" type="noConversion"/>
  </si>
  <si>
    <t>DESC_TALK_SHU_LIUBEI</t>
    <phoneticPr fontId="1" type="noConversion"/>
  </si>
  <si>
    <t>"천하는 곧 백성이며, 백성의 마음을
얻는 것이 곧 천하를 얻는 것이다."</t>
    <phoneticPr fontId="1" type="noConversion"/>
  </si>
  <si>
    <t>DESC_TALK_SHU_GUANYU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</si>
  <si>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</si>
  <si>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</si>
  <si>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DESC_TALK_SHU_ZHANGFEI</t>
    <phoneticPr fontId="1" type="noConversion"/>
  </si>
  <si>
    <t>DESC_TALK_SHU_ZHAYUN</t>
    <phoneticPr fontId="1" type="noConversion"/>
  </si>
  <si>
    <t>DESC_TALK_SHU_ZHUGELIANG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</si>
  <si>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</si>
  <si>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</si>
  <si>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</si>
  <si>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</si>
  <si>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</si>
  <si>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</si>
  <si>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</si>
  <si>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</si>
  <si>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</si>
  <si>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</si>
  <si>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</si>
  <si>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</si>
  <si>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NAME_WEI_CAOCAO</t>
    <phoneticPr fontId="1" type="noConversion"/>
  </si>
  <si>
    <t>조조</t>
    <phoneticPr fontId="1" type="noConversion"/>
  </si>
  <si>
    <t>CaoCao</t>
    <phoneticPr fontId="1" type="noConversion"/>
  </si>
  <si>
    <t>NAME_WU_SUNQUAN</t>
    <phoneticPr fontId="1" type="noConversion"/>
  </si>
  <si>
    <t>손권</t>
    <phoneticPr fontId="1" type="noConversion"/>
  </si>
  <si>
    <t>SunQuan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</si>
  <si>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</si>
  <si>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</si>
  <si>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</si>
  <si>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</si>
  <si>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</si>
  <si>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</si>
  <si>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</si>
  <si>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화면을 터치하면 내가 움직일 수도 있을거 같은데??</t>
    <phoneticPr fontId="1" type="noConversion"/>
  </si>
  <si>
    <t>앞에 황건적이네. 어쩌지?</t>
    <phoneticPr fontId="1" type="noConversion"/>
  </si>
  <si>
    <t>연회권? 동료를 얻을 수 있으려나? 주막에 가보자.</t>
    <phoneticPr fontId="1" type="noConversion"/>
  </si>
  <si>
    <t>#PC</t>
    <phoneticPr fontId="1" type="noConversion"/>
  </si>
  <si>
    <t>음?? 여긴..?</t>
    <phoneticPr fontId="1" type="noConversion"/>
  </si>
  <si>
    <t>MOBILE</t>
    <phoneticPr fontId="1" type="noConversion"/>
  </si>
  <si>
    <t>PC</t>
    <phoneticPr fontId="1" type="noConversion"/>
  </si>
  <si>
    <t>Enemy</t>
    <phoneticPr fontId="1" type="noConversion"/>
  </si>
  <si>
    <t>얼빠지게 생긴 넘이다!! 죽여라!!</t>
    <phoneticPr fontId="1" type="noConversion"/>
  </si>
  <si>
    <t>영웅 초상화를 누르면 스킬이 사용될거야.</t>
    <phoneticPr fontId="1" type="noConversion"/>
  </si>
  <si>
    <t>영웅 초상화를 누르거나 숫자 키를 누르면 스킬이 사용될거야.</t>
    <phoneticPr fontId="1" type="noConversion"/>
  </si>
  <si>
    <t>황건적을 처치하자.</t>
    <phoneticPr fontId="1" type="noConversion"/>
  </si>
  <si>
    <t>응? 적이 있으면 스스로
공격하는구나!!</t>
    <phoneticPr fontId="1" type="noConversion"/>
  </si>
  <si>
    <t>TUTORIAL_START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</si>
  <si>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</si>
  <si>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</si>
  <si>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</si>
  <si>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</si>
  <si>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</si>
  <si>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</si>
  <si>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</si>
  <si>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</si>
  <si>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</si>
  <si>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</si>
  <si>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</si>
  <si>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</si>
  <si>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자아! 이제 출발이다!!</t>
    <phoneticPr fontId="1" type="noConversion"/>
  </si>
  <si>
    <t>좋아. 영웅을 출전시켜보자.</t>
    <phoneticPr fontId="1" type="noConversion"/>
  </si>
  <si>
    <t>영웅 얼굴을 눌러서 [+]를 누르자.</t>
    <phoneticPr fontId="1" type="noConversion"/>
  </si>
  <si>
    <t>영웅 얼굴을 눌러서 [+]를 누르거나, 마우스 오른쪽 클릭을 해보자.</t>
    <phoneticPr fontId="1" type="noConversion"/>
  </si>
  <si>
    <t>그러게 말입니다. 없는 살림에 너무 무리하시는건 아니신지..</t>
    <phoneticPr fontId="1" type="noConversion"/>
  </si>
  <si>
    <t>그런데 큰형님. 대체 돈은 어디서 난거요?</t>
    <phoneticPr fontId="1" type="noConversion"/>
  </si>
  <si>
    <t>자아, 집중하자! 출진이다!!</t>
    <phoneticPr fontId="1" type="noConversion"/>
  </si>
  <si>
    <t>오오!!</t>
    <phoneticPr fontId="1" type="noConversion"/>
  </si>
  <si>
    <t>ㅋㅋㅋ</t>
    <phoneticPr fontId="1" type="noConversion"/>
  </si>
  <si>
    <t>으휴.. 넌 힘 조절이나 잘 하거라.</t>
    <phoneticPr fontId="1" type="noConversion"/>
  </si>
  <si>
    <t>1_1_1_SHU_START</t>
    <phoneticPr fontId="1" type="noConversion"/>
  </si>
  <si>
    <t>역시 큰형님은 다르오ㅋㅋ</t>
    <phoneticPr fontId="1" type="noConversion"/>
  </si>
  <si>
    <t>너만 정신차리면 되겠구나.</t>
    <phoneticPr fontId="1" type="noConversion"/>
  </si>
  <si>
    <t>한왕실의 재건을 위해 하는 일이니
그런소리 마시게.</t>
    <phoneticPr fontId="1" type="noConversion"/>
  </si>
  <si>
    <t>뭔 소리야. 이 지역 돗자리는
내가 다 납품하고 있구만.</t>
    <phoneticPr fontId="1" type="noConversion"/>
  </si>
  <si>
    <t>관우 형님, 첫 출전인데 너무 무리하지 말고 살살하쇼ㅋㅋ</t>
    <phoneticPr fontId="1" type="noConversion"/>
  </si>
  <si>
    <t>아니!! 부자였소?? 그런데 왜 그런 거지꼴로 다녔던거요??</t>
    <phoneticPr fontId="1" type="noConversion"/>
  </si>
  <si>
    <t>뭐 딱히..</t>
    <phoneticPr fontId="1" type="noConversion"/>
  </si>
  <si>
    <t>그렇다는구나 막내야ㅎ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</si>
  <si>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</si>
  <si>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</si>
  <si>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</si>
  <si>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</si>
  <si>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</si>
  <si>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</si>
  <si>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</si>
  <si>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공격과 돌진을 사용해보자.
좌클릭이 공격이고, 스페이스가 돌진이야.</t>
    <phoneticPr fontId="1" type="noConversion"/>
  </si>
  <si>
    <t>키보드 조작으로 내가 움직일 수 있을거 같은데?
[W,A,S,D]를 눌러보까?</t>
    <phoneticPr fontId="1" type="noConversion"/>
  </si>
  <si>
    <t>공격과 돌진을 사용해보자.
아래 버튼을 눌러봐.</t>
    <phoneticPr fontId="1" type="noConversion"/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</si>
  <si>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</si>
  <si>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</si>
  <si>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</si>
  <si>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</si>
  <si>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</si>
  <si>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</si>
  <si>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</si>
  <si>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</si>
  <si>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</si>
  <si>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</si>
  <si>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</si>
  <si>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</si>
  <si>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</si>
  <si>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</si>
  <si>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</si>
  <si>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</si>
  <si>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</si>
  <si>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</si>
  <si>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</si>
  <si>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</si>
  <si>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</si>
  <si>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</si>
  <si>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</si>
  <si>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</si>
  <si>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</si>
  <si>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</si>
  <si>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</si>
  <si>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</si>
  <si>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</si>
  <si>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</si>
  <si>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</si>
  <si>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</si>
  <si>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</si>
  <si>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</si>
  <si>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</si>
  <si>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</si>
  <si>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</si>
  <si>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</si>
  <si>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</si>
  <si>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</si>
  <si>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</si>
  <si>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</si>
  <si>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</si>
  <si>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</si>
  <si>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</si>
  <si>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</si>
  <si>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</si>
  <si>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</si>
  <si>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</si>
  <si>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</si>
  <si>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</si>
  <si>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</si>
  <si>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</si>
  <si>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</si>
  <si>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</si>
  <si>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</si>
  <si>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</si>
  <si>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</si>
  <si>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</si>
  <si>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</si>
  <si>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</si>
  <si>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</si>
  <si>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</si>
  <si>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</si>
  <si>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</si>
  <si>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</si>
  <si>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</si>
  <si>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</si>
  <si>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</si>
  <si>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</si>
  <si>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</si>
  <si>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</si>
  <si>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</si>
  <si>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</si>
  <si>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</si>
  <si>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</si>
  <si>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</si>
  <si>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</si>
  <si>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</si>
  <si>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</si>
  <si>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</si>
  <si>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</si>
  <si>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</si>
  <si>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</si>
  <si>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</si>
  <si>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</si>
  <si>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</si>
  <si>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</si>
  <si>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</si>
  <si>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</si>
  <si>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</si>
  <si>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</si>
  <si>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</si>
  <si>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</si>
  <si>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</si>
  <si>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</si>
  <si>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</si>
  <si>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</si>
  <si>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</si>
  <si>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</si>
  <si>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</si>
  <si>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</si>
  <si>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</si>
  <si>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</si>
  <si>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</si>
  <si>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</si>
  <si>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</si>
  <si>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</si>
  <si>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</si>
  <si>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</si>
  <si>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</si>
  <si>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</si>
  <si>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</si>
  <si>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</si>
  <si>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</si>
  <si>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</si>
  <si>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</si>
  <si>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</si>
  <si>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</si>
  <si>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</si>
  <si>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</si>
  <si>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</si>
  <si>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</si>
  <si>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</si>
  <si>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</si>
  <si>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</si>
  <si>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</si>
  <si>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</si>
  <si>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</si>
  <si>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</si>
  <si>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</si>
  <si>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</si>
  <si>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</si>
  <si>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</si>
  <si>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</si>
  <si>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</si>
  <si>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</si>
  <si>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</si>
  <si>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</si>
  <si>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</si>
  <si>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</si>
  <si>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</si>
  <si>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</si>
  <si>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</si>
  <si>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</si>
  <si>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</si>
  <si>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</si>
  <si>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</si>
  <si>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</si>
  <si>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</si>
  <si>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</si>
  <si>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</si>
  <si>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</si>
  <si>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</si>
  <si>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</si>
  <si>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</si>
  <si>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</si>
  <si>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</si>
  <si>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</si>
  <si>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</si>
  <si>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</si>
  <si>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</si>
  <si>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</si>
  <si>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</si>
  <si>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</si>
  <si>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</si>
  <si>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</si>
  <si>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</si>
  <si>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</si>
  <si>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</si>
  <si>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</si>
  <si>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</si>
  <si>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</si>
  <si>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</si>
  <si>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</si>
  <si>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</si>
  <si>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NAME_ETC_LUBU</t>
    <phoneticPr fontId="1" type="noConversion"/>
  </si>
  <si>
    <t>여포</t>
    <phoneticPr fontId="1" type="noConversion"/>
  </si>
  <si>
    <t>LuBu</t>
    <phoneticPr fontId="1" type="noConversion"/>
  </si>
  <si>
    <t>COURTESY_ETC_LUBU</t>
    <phoneticPr fontId="1" type="noConversion"/>
  </si>
  <si>
    <t>DESC_TALK_ETC_LUBU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</si>
  <si>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</si>
  <si>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</si>
  <si>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</si>
  <si>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</si>
  <si>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</si>
  <si>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</si>
  <si>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</si>
  <si>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</si>
  <si>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</si>
  <si>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</si>
  <si>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NAME_HISTORICAL_QINSHIHUANG</t>
    <phoneticPr fontId="1" type="noConversion"/>
  </si>
  <si>
    <t>진시황</t>
    <phoneticPr fontId="1" type="noConversion"/>
  </si>
  <si>
    <t>NAME_HISTORICAL_LIANPO</t>
    <phoneticPr fontId="1" type="noConversion"/>
  </si>
  <si>
    <t>NAME_HISTORICAL_XIANGYU</t>
    <phoneticPr fontId="1" type="noConversion"/>
  </si>
  <si>
    <t>NAME_HISTORICAL_YUEYI</t>
    <phoneticPr fontId="1" type="noConversion"/>
  </si>
  <si>
    <t>NAME_HISTORICAL_YANGYOUJI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</si>
  <si>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</si>
  <si>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</si>
  <si>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</si>
  <si>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</si>
  <si>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</si>
  <si>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NAME_HISTORICAL_QINSHIHUANG_DESC</t>
    <phoneticPr fontId="1" type="noConversion"/>
  </si>
  <si>
    <t>NAME_HISTORICAL_LIANPO_DESC</t>
    <phoneticPr fontId="1" type="noConversion"/>
  </si>
  <si>
    <t>NAME_HISTORICAL_XIANGYU_DESC</t>
    <phoneticPr fontId="1" type="noConversion"/>
  </si>
  <si>
    <t>NAME_HISTORICAL_YUEYI_DESC</t>
    <phoneticPr fontId="1" type="noConversion"/>
  </si>
  <si>
    <t>NAME_HISTORICAL_YANGYOUJI_DESC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</si>
  <si>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</si>
  <si>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</si>
  <si>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</si>
  <si>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</si>
  <si>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</si>
  <si>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</si>
  <si>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</si>
  <si>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</si>
  <si>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</si>
  <si>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</si>
  <si>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</si>
  <si>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</si>
  <si>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</si>
  <si>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</si>
  <si>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</si>
  <si>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</si>
  <si>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</si>
  <si>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</si>
  <si>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</si>
  <si>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</si>
  <si>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</si>
  <si>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</si>
  <si>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</si>
  <si>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</si>
  <si>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</si>
  <si>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</si>
  <si>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</si>
  <si>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NAME_HISTORICAL_JIANGSHANG_DESC</t>
    <phoneticPr fontId="1" type="noConversion"/>
  </si>
  <si>
    <t>NAME_HISTORICAL_JIANGSHANG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</si>
  <si>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</si>
  <si>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</si>
  <si>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</si>
  <si>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</si>
  <si>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</si>
  <si>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</si>
  <si>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</si>
  <si>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</si>
  <si>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</si>
  <si>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</si>
  <si>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</si>
  <si>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</si>
  <si>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</si>
  <si>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</si>
  <si>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</si>
  <si>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</si>
  <si>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</si>
  <si>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</si>
  <si>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</si>
  <si>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</si>
  <si>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</si>
  <si>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</si>
  <si>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</si>
  <si>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</si>
  <si>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</si>
  <si>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</si>
  <si>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</si>
  <si>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</si>
  <si>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</si>
  <si>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</si>
  <si>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</si>
  <si>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</si>
  <si>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</si>
  <si>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</si>
  <si>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</si>
  <si>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</si>
  <si>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</si>
  <si>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</si>
  <si>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</si>
  <si>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</si>
  <si>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</si>
  <si>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</si>
  <si>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강동의 미주랑</t>
  </si>
  <si>
    <t>칠척극</t>
  </si>
  <si>
    <t>헌제 옹립</t>
  </si>
  <si>
    <t>백호 사냥 A</t>
  </si>
  <si>
    <t>백호 사냥 B</t>
  </si>
  <si>
    <t>청매자주논영웅</t>
  </si>
  <si>
    <t>용의 산책</t>
  </si>
  <si>
    <t>의의 갈림길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</si>
  <si>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</si>
  <si>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</si>
  <si>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</si>
  <si>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</si>
  <si>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</si>
  <si>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</si>
  <si>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</si>
  <si>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</si>
  <si>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</si>
  <si>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</si>
  <si>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</si>
  <si>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</si>
  <si>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</si>
  <si>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백발의 명궁</t>
  </si>
  <si>
    <t>의의 갈림길 2</t>
  </si>
  <si>
    <t>의의 갈림길 3</t>
  </si>
  <si>
    <t>의의 갈림길 4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</si>
  <si>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</si>
  <si>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</si>
  <si>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</si>
  <si>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</si>
  <si>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</si>
  <si>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REGION_NAME_FULL_ALL</t>
    <phoneticPr fontId="1" type="noConversion"/>
  </si>
  <si>
    <t>전체</t>
    <phoneticPr fontId="1" type="noConversion"/>
  </si>
  <si>
    <t>DESC</t>
    <phoneticPr fontId="1" type="noConversion"/>
  </si>
  <si>
    <t>"강동의 소패왕 날개를 펴다"</t>
  </si>
  <si>
    <t>"천하의 영웅은 그대와 나뿐이오"</t>
  </si>
  <si>
    <t>"외사는 주유에게, 내사는 장소에게 물어라"</t>
  </si>
  <si>
    <t>"나는 상산 진정 사람으로 성은 조요 이름은 운이며 자는 자룡이라"</t>
  </si>
  <si>
    <t>"십승십패로 원본초를 무너뜨리리"</t>
  </si>
  <si>
    <t>"오직 봉효만이 내 뜻을 아나니"</t>
  </si>
  <si>
    <t>"와룡과 봉추, 둘 중 하나만 얻어도 천하를 안정시키리"</t>
  </si>
  <si>
    <t>"나는 상산의 조자룡이다"</t>
  </si>
  <si>
    <t>"필마단기로 주인을 구하다"</t>
  </si>
  <si>
    <t>"기적적으로 사지를 벗어나 조운과 함께 돌아온 두 부인과 아두"</t>
  </si>
  <si>
    <t>"공명과 주유의 날카로운 도발, 강동의 젊은 호랑이가 보검을 뽑아 들다"</t>
  </si>
  <si>
    <t>"뜻밖의 동맹 엄백호의 외침, 동오 전체의 의기가 하나로 모이다"</t>
  </si>
  <si>
    <t>"오판이 부른 지옥의 동풍, 장강을 덮은 백만 대군의 비명"</t>
  </si>
  <si>
    <t>"화공의 덫을 꿰뚫은 혜안, 불타는 불길 속 사선을 뚫어내다"</t>
  </si>
  <si>
    <t>"목숨을 빚진 자와 목숨을 구걸하는 자, 의리로 통곡하다"</t>
  </si>
  <si>
    <t>"나이는 숫자에 불과하니, 시위를 당겨 천하를 꿰뚫다"</t>
  </si>
  <si>
    <t>"뚫리지 않는 방패"</t>
    <phoneticPr fontId="1" type="noConversion"/>
  </si>
  <si>
    <t>"무너지는 강동의 호랑이"</t>
    <phoneticPr fontId="1" type="noConversion"/>
  </si>
  <si>
    <t>"나의 장자방이로다"</t>
    <phoneticPr fontId="1" type="noConversion"/>
  </si>
  <si>
    <t>"천하보다 뜨거운 두 영웅의 의리"</t>
    <phoneticPr fontId="1" type="noConversion"/>
  </si>
  <si>
    <t>"주군을 찾는 전사의 눈"</t>
    <phoneticPr fontId="1" type="noConversion"/>
  </si>
  <si>
    <t>"붉은 피로 물들이다"</t>
    <phoneticPr fontId="1" type="noConversion"/>
  </si>
  <si>
    <t>"처절한 피난길의 끝은 난세의 영웅"</t>
    <phoneticPr fontId="1" type="noConversion"/>
  </si>
  <si>
    <t>"소패왕의 자비 없는 진격"</t>
    <phoneticPr fontId="1" type="noConversion"/>
  </si>
  <si>
    <t>"무릎 꿇은 동오의 덕왕"</t>
    <phoneticPr fontId="1" type="noConversion"/>
  </si>
  <si>
    <t>여포의 최후</t>
    <phoneticPr fontId="1" type="noConversion"/>
  </si>
  <si>
    <t>"잠룡, 난세의 영웅을 만나다"</t>
    <phoneticPr fontId="1" type="noConversion"/>
  </si>
  <si>
    <t>"그에겐 그저 당연한 승리"</t>
    <phoneticPr fontId="1" type="noConversion"/>
  </si>
  <si>
    <t>#</t>
    <phoneticPr fontId="1" type="noConversion"/>
  </si>
  <si>
    <t>-</t>
    <phoneticPr fontId="1" type="noConversion"/>
  </si>
  <si>
    <t>"천하를 뒤덮은 거대한 광기와 혼란"</t>
    <phoneticPr fontId="1" type="noConversion"/>
  </si>
  <si>
    <t>"절대적 공포가 선사한 압도적인 무력감"</t>
    <phoneticPr fontId="1" type="noConversion"/>
  </si>
  <si>
    <t>"무너진 무신의 그늘 아래 꺾이지 않는 기개"</t>
    <phoneticPr fontId="1" type="noConversion"/>
  </si>
  <si>
    <t>"죽음의 문턱에서"</t>
    <phoneticPr fontId="1" type="noConversion"/>
  </si>
  <si>
    <t>"길 잃은 명장, 인의의 깃발 아래로"</t>
    <phoneticPr fontId="1" type="noConversion"/>
  </si>
  <si>
    <t>"수십만 대군에 맞선 결단"</t>
    <phoneticPr fontId="1" type="noConversion"/>
  </si>
  <si>
    <t>"귀신 같은 지략, 빛을 잃다"</t>
    <phoneticPr fontId="1" type="noConversion"/>
  </si>
  <si>
    <t>"와룡 일어나다"</t>
    <phoneticPr fontId="1" type="noConversion"/>
  </si>
  <si>
    <t>"사선을 넘나드는 창"</t>
    <phoneticPr fontId="1" type="noConversion"/>
  </si>
  <si>
    <t>"거대한 폭력에 맞선 신념"</t>
    <phoneticPr fontId="1" type="noConversion"/>
  </si>
  <si>
    <t>"두 영웅이 열어젖힌 장판파의 혈로"</t>
    <phoneticPr fontId="1" type="noConversion"/>
  </si>
  <si>
    <t>"사선에서 눈 뜬 여인"</t>
    <phoneticPr fontId="1" type="noConversion"/>
  </si>
  <si>
    <t>"강동의 젊은 호랑이가 보검을 뽑아들다"</t>
    <phoneticPr fontId="1" type="noConversion"/>
  </si>
  <si>
    <t>"영웅들의 기개가 한 곳에 모이다"</t>
    <phoneticPr fontId="1" type="noConversion"/>
  </si>
  <si>
    <t>"천하통일의 꿈을 삼킨 적벽의 붉은 불길"</t>
    <phoneticPr fontId="1" type="noConversion"/>
  </si>
  <si>
    <t>"귀재의 눈에는 그저 불장난일뿐"</t>
    <phoneticPr fontId="1" type="noConversion"/>
  </si>
  <si>
    <t>node_5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</si>
</sst>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ZhaYun</v>
          </cell>
        </row>
        <row r="8">
          <cell r="A8" t="str">
            <v>제갈량</v>
          </cell>
          <cell r="B8" t="str">
            <v>ZhugeLiang</v>
          </cell>
        </row>
        <row r="9">
          <cell r="A9" t="str">
            <v>여포</v>
          </cell>
          <cell r="B9" t="str">
            <v>LuBu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5"/>
  <sheetViews>
    <sheetView topLeftCell="A36" workbookViewId="0">
      <selection activeCell="A42" sqref="A42"/>
    </sheetView>
  </sheetViews>
  <sheetFormatPr defaultRowHeight="16.5" x14ac:dyDescent="0.3"/>
  <cols>
    <col min="1" max="1" width="28" customWidth="1"/>
    <col min="2" max="3" width="40.875" customWidth="1"/>
  </cols>
  <sheetData>
    <row r="1" spans="1:3" x14ac:dyDescent="0.3">
      <c r="A1" s="1" t="s">
        <v>3</v>
      </c>
      <c r="B1" s="2" t="s">
        <v>0</v>
      </c>
      <c r="C1" s="2" t="s">
        <v>1</v>
      </c>
    </row>
    <row r="2" spans="1:3" x14ac:dyDescent="0.3">
      <c r="A2" s="1" t="s">
        <v>2</v>
      </c>
      <c r="B2" s="2" t="s">
        <v>2</v>
      </c>
      <c r="C2" s="2" t="s">
        <v>2</v>
      </c>
    </row>
    <row r="3" spans="1:3" x14ac:dyDescent="0.3">
      <c r="A3" t="s">
        <v>136</v>
      </c>
      <c r="B3" t="s">
        <v>137</v>
      </c>
    </row>
    <row r="4" spans="1:3" x14ac:dyDescent="0.3">
      <c r="A4" t="s">
        <v>139</v>
      </c>
      <c r="B4" s="3" t="s">
        <v>148</v>
      </c>
    </row>
    <row r="5" spans="1:3" x14ac:dyDescent="0.3">
      <c r="A5" t="s">
        <v>146</v>
      </c>
      <c r="B5" s="3" t="s">
        <v>155</v>
      </c>
    </row>
    <row r="6" spans="1:3" x14ac:dyDescent="0.3">
      <c r="A6" t="s">
        <v>144</v>
      </c>
      <c r="B6" s="3" t="s">
        <v>153</v>
      </c>
    </row>
    <row r="7" spans="1:3" x14ac:dyDescent="0.3">
      <c r="A7" t="s">
        <v>145</v>
      </c>
      <c r="B7" s="3" t="s">
        <v>154</v>
      </c>
    </row>
    <row r="8" spans="1:3" x14ac:dyDescent="0.3">
      <c r="A8" t="s">
        <v>143</v>
      </c>
      <c r="B8" s="3" t="s">
        <v>152</v>
      </c>
    </row>
    <row r="9" spans="1:3" x14ac:dyDescent="0.3">
      <c r="A9" t="s">
        <v>138</v>
      </c>
      <c r="B9" s="3" t="s">
        <v>147</v>
      </c>
    </row>
    <row r="10" spans="1:3" x14ac:dyDescent="0.3">
      <c r="A10" t="s">
        <v>140</v>
      </c>
      <c r="B10" s="3" t="s">
        <v>149</v>
      </c>
    </row>
    <row r="11" spans="1:3" x14ac:dyDescent="0.3">
      <c r="A11" t="s">
        <v>142</v>
      </c>
      <c r="B11" s="3" t="s">
        <v>151</v>
      </c>
    </row>
    <row r="12" spans="1:3" x14ac:dyDescent="0.3">
      <c r="A12" t="s">
        <v>141</v>
      </c>
      <c r="B12" s="3" t="s">
        <v>150</v>
      </c>
    </row>
    <row r="13" spans="1:3" x14ac:dyDescent="0.3">
      <c r="A13" t="s">
        <v>167</v>
      </c>
      <c r="B13" s="3" t="s">
        <v>176</v>
      </c>
    </row>
    <row r="14" spans="1:3" x14ac:dyDescent="0.3">
      <c r="A14" t="s">
        <v>171</v>
      </c>
      <c r="B14" t="s">
        <v>172</v>
      </c>
    </row>
    <row r="15" spans="1:3" x14ac:dyDescent="0.3">
      <c r="A15" t="s">
        <v>168</v>
      </c>
      <c r="B15" s="3" t="s">
        <v>175</v>
      </c>
    </row>
    <row r="16" spans="1:3" x14ac:dyDescent="0.3">
      <c r="A16" t="s">
        <v>170</v>
      </c>
      <c r="B16" t="s">
        <v>173</v>
      </c>
    </row>
    <row r="17" spans="1:2" x14ac:dyDescent="0.3">
      <c r="A17" t="s">
        <v>169</v>
      </c>
      <c r="B17" t="s">
        <v>174</v>
      </c>
    </row>
    <row r="18" spans="1:2" x14ac:dyDescent="0.3">
      <c r="A18" t="s">
        <v>166</v>
      </c>
      <c r="B18" s="3" t="s">
        <v>177</v>
      </c>
    </row>
    <row r="19" spans="1:2" x14ac:dyDescent="0.3">
      <c r="A19" t="s">
        <v>159</v>
      </c>
      <c r="B19" s="3" t="s">
        <v>164</v>
      </c>
    </row>
    <row r="20" spans="1:2" x14ac:dyDescent="0.3">
      <c r="A20" t="s">
        <v>165</v>
      </c>
      <c r="B20" s="3" t="s">
        <v>162</v>
      </c>
    </row>
    <row r="21" spans="1:2" x14ac:dyDescent="0.3">
      <c r="A21" t="s">
        <v>156</v>
      </c>
      <c r="B21" s="3" t="s">
        <v>160</v>
      </c>
    </row>
    <row r="22" spans="1:2" x14ac:dyDescent="0.3">
      <c r="A22" t="s">
        <v>158</v>
      </c>
      <c r="B22" s="3" t="s">
        <v>163</v>
      </c>
    </row>
    <row r="23" spans="1:2" x14ac:dyDescent="0.3">
      <c r="A23" t="s">
        <v>157</v>
      </c>
      <c r="B23" s="3" t="s">
        <v>161</v>
      </c>
    </row>
    <row r="24" spans="1:2" x14ac:dyDescent="0.3">
      <c r="A24" s="17" t="s">
        <v>207</v>
      </c>
      <c r="B24" s="17" t="s">
        <v>199</v>
      </c>
    </row>
    <row r="25" spans="1:2" x14ac:dyDescent="0.3">
      <c r="A25" s="17" t="s">
        <v>208</v>
      </c>
      <c r="B25" s="17" t="s">
        <v>200</v>
      </c>
    </row>
    <row r="26" spans="1:2" x14ac:dyDescent="0.3">
      <c r="A26" s="17" t="s">
        <v>209</v>
      </c>
      <c r="B26" s="17" t="s">
        <v>201</v>
      </c>
    </row>
    <row r="27" spans="1:2" x14ac:dyDescent="0.3">
      <c r="A27" s="17" t="s">
        <v>210</v>
      </c>
      <c r="B27" s="17" t="s">
        <v>202</v>
      </c>
    </row>
    <row r="28" spans="1:2" x14ac:dyDescent="0.3">
      <c r="A28" s="17" t="s">
        <v>206</v>
      </c>
      <c r="B28" s="17" t="s">
        <v>94</v>
      </c>
    </row>
    <row r="29" spans="1:2" x14ac:dyDescent="0.3">
      <c r="A29" t="s">
        <v>95</v>
      </c>
      <c r="B29" s="3" t="s">
        <v>96</v>
      </c>
    </row>
    <row r="30" spans="1:2" x14ac:dyDescent="0.3">
      <c r="A30" t="s">
        <v>97</v>
      </c>
      <c r="B30" s="3" t="s">
        <v>100</v>
      </c>
    </row>
    <row r="31" spans="1:2" x14ac:dyDescent="0.3">
      <c r="A31" t="s">
        <v>98</v>
      </c>
      <c r="B31" s="3" t="s">
        <v>99</v>
      </c>
    </row>
    <row r="32" spans="1:2" x14ac:dyDescent="0.3">
      <c r="A32" t="s">
        <v>101</v>
      </c>
      <c r="B32" s="3" t="s">
        <v>102</v>
      </c>
    </row>
    <row r="33" spans="1:3" x14ac:dyDescent="0.3">
      <c r="A33" t="s">
        <v>93</v>
      </c>
      <c r="B33" s="3" t="s">
        <v>94</v>
      </c>
    </row>
    <row r="34" spans="1:3" x14ac:dyDescent="0.3">
      <c r="A34" t="s">
        <v>204</v>
      </c>
      <c r="B34" t="s">
        <v>127</v>
      </c>
    </row>
    <row r="35" spans="1:3" x14ac:dyDescent="0.3">
      <c r="A35" t="s">
        <v>124</v>
      </c>
      <c r="B35" t="s">
        <v>125</v>
      </c>
    </row>
    <row r="36" spans="1:3" x14ac:dyDescent="0.3">
      <c r="A36" t="s">
        <v>203</v>
      </c>
      <c r="B36" t="s">
        <v>129</v>
      </c>
    </row>
    <row r="37" spans="1:3" x14ac:dyDescent="0.3">
      <c r="A37" t="s">
        <v>130</v>
      </c>
      <c r="B37" t="s">
        <v>126</v>
      </c>
    </row>
    <row r="38" spans="1:3" x14ac:dyDescent="0.3">
      <c r="A38" t="s">
        <v>205</v>
      </c>
      <c r="B38" t="s">
        <v>128</v>
      </c>
    </row>
    <row r="39" spans="1:3" x14ac:dyDescent="0.3">
      <c r="A39" t="s">
        <v>72</v>
      </c>
      <c r="B39" s="3" t="s">
        <v>73</v>
      </c>
      <c r="C39" s="3"/>
    </row>
    <row r="40" spans="1:3" x14ac:dyDescent="0.3">
      <c r="A40" t="s">
        <v>217</v>
      </c>
      <c r="B40" t="s">
        <v>218</v>
      </c>
    </row>
    <row r="41" spans="1:3" x14ac:dyDescent="0.3">
      <c r="A41" t="s">
        <v>442</v>
      </c>
      <c r="B41" t="s">
        <v>443</v>
      </c>
    </row>
    <row r="42" spans="1:3" x14ac:dyDescent="0.3">
      <c r="A42" t="s">
        <v>323</v>
      </c>
      <c r="B42" t="s">
        <v>319</v>
      </c>
    </row>
    <row r="43" spans="1:3" x14ac:dyDescent="0.3">
      <c r="A43" t="s">
        <v>321</v>
      </c>
      <c r="B43" t="s">
        <v>317</v>
      </c>
    </row>
    <row r="44" spans="1:3" x14ac:dyDescent="0.3">
      <c r="A44" t="s">
        <v>320</v>
      </c>
      <c r="B44" t="s">
        <v>316</v>
      </c>
    </row>
    <row r="45" spans="1:3" x14ac:dyDescent="0.3">
      <c r="A45" t="s">
        <v>322</v>
      </c>
      <c r="B45" t="s">
        <v>318</v>
      </c>
    </row>
    <row r="46" spans="1:3" x14ac:dyDescent="0.3">
      <c r="A46" t="s">
        <v>216</v>
      </c>
      <c r="B46" t="s">
        <v>212</v>
      </c>
    </row>
    <row r="47" spans="1:3" x14ac:dyDescent="0.3">
      <c r="A47" t="s">
        <v>214</v>
      </c>
      <c r="B47" t="s">
        <v>211</v>
      </c>
    </row>
    <row r="48" spans="1:3" x14ac:dyDescent="0.3">
      <c r="A48" t="s">
        <v>215</v>
      </c>
      <c r="B48" t="s">
        <v>213</v>
      </c>
    </row>
    <row r="49" spans="1:3" x14ac:dyDescent="0.3">
      <c r="A49" t="s">
        <v>352</v>
      </c>
      <c r="B49" t="s">
        <v>358</v>
      </c>
      <c r="C49" t="s">
        <v>365</v>
      </c>
    </row>
    <row r="50" spans="1:3" x14ac:dyDescent="0.3">
      <c r="A50" t="s">
        <v>348</v>
      </c>
      <c r="B50" t="s">
        <v>347</v>
      </c>
      <c r="C50" t="s">
        <v>361</v>
      </c>
    </row>
    <row r="51" spans="1:3" x14ac:dyDescent="0.3">
      <c r="A51" t="s">
        <v>353</v>
      </c>
      <c r="B51" t="s">
        <v>359</v>
      </c>
      <c r="C51" t="s">
        <v>366</v>
      </c>
    </row>
    <row r="52" spans="1:3" x14ac:dyDescent="0.3">
      <c r="A52" t="s">
        <v>354</v>
      </c>
      <c r="B52" t="s">
        <v>360</v>
      </c>
      <c r="C52" t="s">
        <v>367</v>
      </c>
    </row>
    <row r="53" spans="1:3" x14ac:dyDescent="0.3">
      <c r="A53" t="s">
        <v>351</v>
      </c>
      <c r="B53" t="s">
        <v>357</v>
      </c>
      <c r="C53" t="s">
        <v>364</v>
      </c>
    </row>
    <row r="54" spans="1:3" x14ac:dyDescent="0.3">
      <c r="A54" t="s">
        <v>349</v>
      </c>
      <c r="B54" t="s">
        <v>355</v>
      </c>
      <c r="C54" t="s">
        <v>362</v>
      </c>
    </row>
    <row r="55" spans="1:3" x14ac:dyDescent="0.3">
      <c r="A55" t="s">
        <v>350</v>
      </c>
      <c r="B55" t="s">
        <v>356</v>
      </c>
      <c r="C55" t="s">
        <v>363</v>
      </c>
    </row>
  </sheetData>
  <sortState xmlns:xlrd2="http://schemas.microsoft.com/office/spreadsheetml/2017/richdata2" ref="A3:C54">
    <sortCondition ref="A2:A54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A765-18DF-4AAD-91B0-AAB6166EA35D}">
  <dimension ref="A1:D17"/>
  <sheetViews>
    <sheetView workbookViewId="0">
      <selection activeCell="B29" sqref="B29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178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179</v>
      </c>
      <c r="B3" s="17" t="str">
        <f>UPPER(A3)&amp;"_TITLE"</f>
        <v>MILITARY_TRAINING_TITLE</v>
      </c>
      <c r="C3" s="16" t="s">
        <v>189</v>
      </c>
      <c r="D3" s="18"/>
    </row>
    <row r="4" spans="1:4" x14ac:dyDescent="0.3">
      <c r="A4" s="16" t="s">
        <v>180</v>
      </c>
      <c r="B4" s="17" t="str">
        <f t="shared" ref="B4:B12" si="0">UPPER(A4)&amp;"_TITLE"</f>
        <v>RALLY_REMNANTS_TITLE</v>
      </c>
      <c r="C4" s="16" t="s">
        <v>190</v>
      </c>
      <c r="D4" s="18"/>
    </row>
    <row r="5" spans="1:4" x14ac:dyDescent="0.3">
      <c r="A5" s="16" t="s">
        <v>181</v>
      </c>
      <c r="B5" s="17" t="str">
        <f t="shared" si="0"/>
        <v>BANDIT_SUBJUGATION_TITLE</v>
      </c>
      <c r="C5" s="16" t="s">
        <v>191</v>
      </c>
      <c r="D5" s="18"/>
    </row>
    <row r="6" spans="1:4" x14ac:dyDescent="0.3">
      <c r="A6" s="16" t="s">
        <v>182</v>
      </c>
      <c r="B6" s="17" t="str">
        <f t="shared" si="0"/>
        <v>BORDER_DEFENSE_TITLE</v>
      </c>
      <c r="C6" s="16" t="s">
        <v>192</v>
      </c>
      <c r="D6" s="18"/>
    </row>
    <row r="7" spans="1:4" x14ac:dyDescent="0.3">
      <c r="A7" s="16" t="s">
        <v>183</v>
      </c>
      <c r="B7" s="17" t="str">
        <f t="shared" si="0"/>
        <v>TAX_REFORM_TITLE</v>
      </c>
      <c r="C7" s="16" t="s">
        <v>193</v>
      </c>
      <c r="D7" s="18"/>
    </row>
    <row r="8" spans="1:4" x14ac:dyDescent="0.3">
      <c r="A8" s="16" t="s">
        <v>184</v>
      </c>
      <c r="B8" s="17" t="str">
        <f t="shared" si="0"/>
        <v>FOREIGN_DIPLOMACY_TITLE</v>
      </c>
      <c r="C8" s="16" t="s">
        <v>194</v>
      </c>
      <c r="D8" s="18"/>
    </row>
    <row r="9" spans="1:4" x14ac:dyDescent="0.3">
      <c r="A9" s="16" t="s">
        <v>185</v>
      </c>
      <c r="B9" s="17" t="str">
        <f t="shared" si="0"/>
        <v>ENEMY_INTELLIGENCE_TITLE</v>
      </c>
      <c r="C9" s="16" t="s">
        <v>195</v>
      </c>
      <c r="D9" s="18"/>
    </row>
    <row r="10" spans="1:4" x14ac:dyDescent="0.3">
      <c r="A10" s="16" t="s">
        <v>186</v>
      </c>
      <c r="B10" s="17" t="str">
        <f t="shared" si="0"/>
        <v>TACTICS_RESEARCH_TITLE</v>
      </c>
      <c r="C10" s="16" t="s">
        <v>196</v>
      </c>
      <c r="D10" s="18"/>
    </row>
    <row r="11" spans="1:4" x14ac:dyDescent="0.3">
      <c r="A11" s="16" t="s">
        <v>187</v>
      </c>
      <c r="B11" s="17" t="str">
        <f t="shared" si="0"/>
        <v>REFUGEE_PERSUASION_TITLE</v>
      </c>
      <c r="C11" s="16" t="s">
        <v>197</v>
      </c>
      <c r="D11" s="18"/>
    </row>
    <row r="12" spans="1:4" x14ac:dyDescent="0.3">
      <c r="A12" s="16" t="s">
        <v>188</v>
      </c>
      <c r="B12" s="17" t="str">
        <f t="shared" si="0"/>
        <v>RECRUIT_TALENT_TITLE</v>
      </c>
      <c r="C12" s="16" t="s">
        <v>198</v>
      </c>
      <c r="D12" s="18"/>
    </row>
    <row r="13" spans="1:4" x14ac:dyDescent="0.3">
      <c r="A13" s="17"/>
      <c r="D13" s="18"/>
    </row>
    <row r="14" spans="1:4" x14ac:dyDescent="0.3">
      <c r="A14" s="17"/>
      <c r="D14" s="18"/>
    </row>
    <row r="15" spans="1:4" x14ac:dyDescent="0.3">
      <c r="A15" s="17"/>
      <c r="D15" s="18"/>
    </row>
    <row r="16" spans="1:4" x14ac:dyDescent="0.3">
      <c r="A16" s="17"/>
      <c r="D16" s="18"/>
    </row>
    <row r="17" spans="1:4" x14ac:dyDescent="0.3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6"/>
  <sheetViews>
    <sheetView topLeftCell="A7" workbookViewId="0">
      <selection activeCell="A41" sqref="A41"/>
    </sheetView>
  </sheetViews>
  <sheetFormatPr defaultRowHeight="16.5" x14ac:dyDescent="0.3"/>
  <cols>
    <col min="1" max="1" width="48" bestFit="1" customWidth="1"/>
    <col min="2" max="3" width="50.375" style="3" customWidth="1"/>
    <col min="4" max="4" width="6.125" bestFit="1" customWidth="1"/>
  </cols>
  <sheetData>
    <row r="1" spans="1:4" x14ac:dyDescent="0.3">
      <c r="A1" s="1" t="s">
        <v>3</v>
      </c>
      <c r="B1" s="2" t="s">
        <v>0</v>
      </c>
      <c r="C1" s="2" t="s">
        <v>1</v>
      </c>
      <c r="D1" s="1" t="s">
        <v>4</v>
      </c>
    </row>
    <row r="2" spans="1:4" x14ac:dyDescent="0.3">
      <c r="A2" s="1" t="s">
        <v>2</v>
      </c>
      <c r="B2" s="2" t="s">
        <v>2</v>
      </c>
      <c r="C2" s="2" t="s">
        <v>2</v>
      </c>
      <c r="D2" s="2"/>
    </row>
    <row r="3" spans="1:4" x14ac:dyDescent="0.3">
      <c r="A3" t="s">
        <v>29</v>
      </c>
      <c r="B3" s="3" t="s">
        <v>27</v>
      </c>
      <c r="C3" s="3" t="s">
        <v>24</v>
      </c>
    </row>
    <row r="4" spans="1:4" x14ac:dyDescent="0.3">
      <c r="A4" t="s">
        <v>135</v>
      </c>
      <c r="B4" s="3" t="s">
        <v>18</v>
      </c>
      <c r="C4" s="3" t="s">
        <v>19</v>
      </c>
    </row>
    <row r="5" spans="1:4" x14ac:dyDescent="0.3">
      <c r="A5" t="s">
        <v>134</v>
      </c>
      <c r="B5" s="3" t="s">
        <v>28</v>
      </c>
      <c r="C5" s="3" t="s">
        <v>23</v>
      </c>
    </row>
    <row r="6" spans="1:4" x14ac:dyDescent="0.3">
      <c r="A6" t="s">
        <v>15</v>
      </c>
      <c r="B6" s="3" t="s">
        <v>16</v>
      </c>
      <c r="C6" s="3" t="s">
        <v>17</v>
      </c>
    </row>
    <row r="7" spans="1:4" x14ac:dyDescent="0.3">
      <c r="A7" t="s">
        <v>30</v>
      </c>
      <c r="B7" s="3" t="s">
        <v>26</v>
      </c>
      <c r="C7" s="3" t="s">
        <v>25</v>
      </c>
    </row>
    <row r="8" spans="1:4" x14ac:dyDescent="0.3">
      <c r="A8" t="s">
        <v>20</v>
      </c>
      <c r="B8" s="3" t="s">
        <v>21</v>
      </c>
      <c r="C8" s="3" t="s">
        <v>22</v>
      </c>
    </row>
    <row r="9" spans="1:4" x14ac:dyDescent="0.3">
      <c r="A9" t="s">
        <v>313</v>
      </c>
      <c r="B9" s="3" t="s">
        <v>315</v>
      </c>
    </row>
    <row r="10" spans="1:4" x14ac:dyDescent="0.3">
      <c r="A10" t="s">
        <v>42</v>
      </c>
      <c r="B10" s="3" t="s">
        <v>32</v>
      </c>
    </row>
    <row r="11" spans="1:4" x14ac:dyDescent="0.3">
      <c r="A11" t="s">
        <v>41</v>
      </c>
      <c r="B11" s="3" t="s">
        <v>31</v>
      </c>
    </row>
    <row r="12" spans="1:4" x14ac:dyDescent="0.3">
      <c r="A12" t="s">
        <v>43</v>
      </c>
      <c r="B12" s="3" t="s">
        <v>33</v>
      </c>
    </row>
    <row r="13" spans="1:4" x14ac:dyDescent="0.3">
      <c r="A13" t="s">
        <v>44</v>
      </c>
      <c r="B13" s="3" t="s">
        <v>34</v>
      </c>
    </row>
    <row r="14" spans="1:4" x14ac:dyDescent="0.3">
      <c r="A14" t="s">
        <v>45</v>
      </c>
      <c r="B14" s="3" t="s">
        <v>35</v>
      </c>
    </row>
    <row r="15" spans="1:4" ht="33" x14ac:dyDescent="0.3">
      <c r="A15" t="s">
        <v>314</v>
      </c>
      <c r="B15" s="3" t="s">
        <v>324</v>
      </c>
    </row>
    <row r="16" spans="1:4" ht="33" x14ac:dyDescent="0.3">
      <c r="A16" t="s">
        <v>48</v>
      </c>
      <c r="B16" s="3" t="s">
        <v>50</v>
      </c>
    </row>
    <row r="17" spans="1:3" ht="33" x14ac:dyDescent="0.3">
      <c r="A17" t="s">
        <v>46</v>
      </c>
      <c r="B17" s="3" t="s">
        <v>47</v>
      </c>
    </row>
    <row r="18" spans="1:3" ht="33" x14ac:dyDescent="0.3">
      <c r="A18" t="s">
        <v>51</v>
      </c>
      <c r="B18" s="3" t="s">
        <v>49</v>
      </c>
    </row>
    <row r="19" spans="1:3" ht="33" x14ac:dyDescent="0.3">
      <c r="A19" t="s">
        <v>52</v>
      </c>
      <c r="B19" s="3" t="s">
        <v>104</v>
      </c>
    </row>
    <row r="20" spans="1:3" ht="33" x14ac:dyDescent="0.3">
      <c r="A20" t="s">
        <v>53</v>
      </c>
      <c r="B20" s="3" t="s">
        <v>103</v>
      </c>
    </row>
    <row r="21" spans="1:3" x14ac:dyDescent="0.3">
      <c r="A21" t="s">
        <v>310</v>
      </c>
      <c r="B21" s="3" t="s">
        <v>311</v>
      </c>
      <c r="C21" s="3" t="s">
        <v>312</v>
      </c>
    </row>
    <row r="22" spans="1:3" x14ac:dyDescent="0.3">
      <c r="A22" t="s">
        <v>37</v>
      </c>
      <c r="B22" s="3" t="s">
        <v>7</v>
      </c>
      <c r="C22" s="3" t="s">
        <v>8</v>
      </c>
    </row>
    <row r="23" spans="1:3" x14ac:dyDescent="0.3">
      <c r="A23" t="s">
        <v>36</v>
      </c>
      <c r="B23" s="3" t="s">
        <v>5</v>
      </c>
      <c r="C23" s="3" t="s">
        <v>6</v>
      </c>
    </row>
    <row r="24" spans="1:3" x14ac:dyDescent="0.3">
      <c r="A24" t="s">
        <v>38</v>
      </c>
      <c r="B24" s="3" t="s">
        <v>9</v>
      </c>
      <c r="C24" s="3" t="s">
        <v>10</v>
      </c>
    </row>
    <row r="25" spans="1:3" x14ac:dyDescent="0.3">
      <c r="A25" t="s">
        <v>39</v>
      </c>
      <c r="B25" s="3" t="s">
        <v>11</v>
      </c>
      <c r="C25" s="3" t="s">
        <v>13</v>
      </c>
    </row>
    <row r="26" spans="1:3" x14ac:dyDescent="0.3">
      <c r="A26" t="s">
        <v>40</v>
      </c>
      <c r="B26" s="3" t="s">
        <v>12</v>
      </c>
      <c r="C26" s="3" t="s">
        <v>14</v>
      </c>
    </row>
    <row r="27" spans="1:3" x14ac:dyDescent="0.3">
      <c r="A27" t="s">
        <v>66</v>
      </c>
      <c r="B27" s="3" t="s">
        <v>67</v>
      </c>
      <c r="C27" s="3" t="s">
        <v>68</v>
      </c>
    </row>
    <row r="28" spans="1:3" x14ac:dyDescent="0.3">
      <c r="A28" t="s">
        <v>69</v>
      </c>
      <c r="B28" s="3" t="s">
        <v>70</v>
      </c>
      <c r="C28" s="3" t="s">
        <v>71</v>
      </c>
    </row>
    <row r="29" spans="1:3" x14ac:dyDescent="0.3">
      <c r="A29" t="s">
        <v>54</v>
      </c>
      <c r="B29" t="s">
        <v>55</v>
      </c>
    </row>
    <row r="30" spans="1:3" x14ac:dyDescent="0.3">
      <c r="A30" t="s">
        <v>56</v>
      </c>
      <c r="B30" t="s">
        <v>57</v>
      </c>
    </row>
    <row r="31" spans="1:3" x14ac:dyDescent="0.3">
      <c r="A31" t="s">
        <v>59</v>
      </c>
      <c r="B31" t="s">
        <v>65</v>
      </c>
    </row>
    <row r="32" spans="1:3" x14ac:dyDescent="0.3">
      <c r="A32" t="s">
        <v>61</v>
      </c>
      <c r="B32" t="s">
        <v>64</v>
      </c>
    </row>
    <row r="33" spans="1:2" x14ac:dyDescent="0.3">
      <c r="A33" t="s">
        <v>58</v>
      </c>
      <c r="B33" t="s">
        <v>62</v>
      </c>
    </row>
    <row r="34" spans="1:2" x14ac:dyDescent="0.3">
      <c r="A34" t="s">
        <v>60</v>
      </c>
      <c r="B34" t="s">
        <v>63</v>
      </c>
    </row>
    <row r="35" spans="1:2" x14ac:dyDescent="0.3">
      <c r="A35" t="s">
        <v>325</v>
      </c>
      <c r="B35" s="3" t="s">
        <v>326</v>
      </c>
    </row>
    <row r="36" spans="1:2" x14ac:dyDescent="0.3">
      <c r="A36" t="s">
        <v>327</v>
      </c>
      <c r="B36" s="3" t="s">
        <v>334</v>
      </c>
    </row>
    <row r="37" spans="1:2" x14ac:dyDescent="0.3">
      <c r="A37" t="s">
        <v>328</v>
      </c>
      <c r="B37" s="3" t="s">
        <v>335</v>
      </c>
    </row>
    <row r="38" spans="1:2" x14ac:dyDescent="0.3">
      <c r="A38" t="s">
        <v>329</v>
      </c>
      <c r="B38" s="3" t="s">
        <v>333</v>
      </c>
    </row>
    <row r="39" spans="1:2" x14ac:dyDescent="0.3">
      <c r="A39" t="s">
        <v>330</v>
      </c>
      <c r="B39" s="3" t="s">
        <v>332</v>
      </c>
    </row>
    <row r="40" spans="1:2" x14ac:dyDescent="0.3">
      <c r="A40" t="s">
        <v>369</v>
      </c>
      <c r="B40" s="3" t="s">
        <v>331</v>
      </c>
    </row>
    <row r="41" spans="1:2" x14ac:dyDescent="0.3">
      <c r="A41" t="s">
        <v>336</v>
      </c>
      <c r="B41" s="3" t="s">
        <v>341</v>
      </c>
    </row>
    <row r="42" spans="1:2" x14ac:dyDescent="0.3">
      <c r="A42" t="s">
        <v>337</v>
      </c>
      <c r="B42" s="3" t="s">
        <v>346</v>
      </c>
    </row>
    <row r="43" spans="1:2" x14ac:dyDescent="0.3">
      <c r="A43" t="s">
        <v>338</v>
      </c>
      <c r="B43" s="3" t="s">
        <v>345</v>
      </c>
    </row>
    <row r="44" spans="1:2" x14ac:dyDescent="0.3">
      <c r="A44" t="s">
        <v>339</v>
      </c>
      <c r="B44" s="3" t="s">
        <v>344</v>
      </c>
    </row>
    <row r="45" spans="1:2" x14ac:dyDescent="0.3">
      <c r="A45" t="s">
        <v>340</v>
      </c>
      <c r="B45" s="3" t="s">
        <v>343</v>
      </c>
    </row>
    <row r="46" spans="1:2" x14ac:dyDescent="0.3">
      <c r="A46" t="s">
        <v>368</v>
      </c>
      <c r="B46" s="3" t="s">
        <v>342</v>
      </c>
    </row>
  </sheetData>
  <sortState xmlns:xlrd2="http://schemas.microsoft.com/office/spreadsheetml/2017/richdata2" ref="A3:C34">
    <sortCondition ref="A3:A34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E6A7D-8E38-47C7-B564-D54B5D506D09}">
  <dimension ref="A1:E47"/>
  <sheetViews>
    <sheetView workbookViewId="0">
      <selection activeCell="D18" sqref="D18"/>
    </sheetView>
  </sheetViews>
  <sheetFormatPr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219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9"/>
    </row>
    <row r="3" spans="1:5" x14ac:dyDescent="0.3">
      <c r="A3" s="10" t="s">
        <v>221</v>
      </c>
      <c r="B3" s="11" t="str">
        <f>"NAME_" &amp; UPPER(A3)</f>
        <v>NAME_LIUTAO</v>
      </c>
      <c r="C3" s="12" t="s">
        <v>265</v>
      </c>
      <c r="D3" s="11"/>
      <c r="E3" s="11"/>
    </row>
    <row r="4" spans="1:5" x14ac:dyDescent="0.3">
      <c r="A4" s="10" t="s">
        <v>222</v>
      </c>
      <c r="B4" s="11" t="str">
        <f t="shared" ref="B4:B47" si="0">"NAME_" &amp; UPPER(A4)</f>
        <v>NAME_SANLUE</v>
      </c>
      <c r="C4" s="12" t="s">
        <v>266</v>
      </c>
      <c r="D4" s="11"/>
      <c r="E4" s="11"/>
    </row>
    <row r="5" spans="1:5" x14ac:dyDescent="0.3">
      <c r="A5" s="10" t="s">
        <v>223</v>
      </c>
      <c r="B5" s="11" t="str">
        <f t="shared" si="0"/>
        <v>NAME_WEILIAOZI</v>
      </c>
      <c r="C5" s="12" t="s">
        <v>267</v>
      </c>
      <c r="D5" s="11"/>
      <c r="E5" s="11"/>
    </row>
    <row r="6" spans="1:5" x14ac:dyDescent="0.3">
      <c r="A6" s="10" t="s">
        <v>224</v>
      </c>
      <c r="B6" s="11" t="str">
        <f t="shared" si="0"/>
        <v>NAME_COMMANDERS_BANNER</v>
      </c>
      <c r="C6" s="12" t="s">
        <v>268</v>
      </c>
      <c r="D6" s="11"/>
      <c r="E6" s="11"/>
    </row>
    <row r="7" spans="1:5" x14ac:dyDescent="0.3">
      <c r="A7" s="10" t="s">
        <v>225</v>
      </c>
      <c r="B7" s="11" t="str">
        <f t="shared" si="0"/>
        <v>NAME_TIGER_TALLY</v>
      </c>
      <c r="C7" s="12" t="s">
        <v>269</v>
      </c>
      <c r="D7" s="11"/>
      <c r="E7" s="11"/>
    </row>
    <row r="8" spans="1:5" x14ac:dyDescent="0.3">
      <c r="A8" s="10" t="s">
        <v>226</v>
      </c>
      <c r="B8" s="11" t="str">
        <f t="shared" si="0"/>
        <v>NAME_WAR_DRUM_GONG</v>
      </c>
      <c r="C8" s="12" t="s">
        <v>270</v>
      </c>
      <c r="D8" s="11"/>
      <c r="E8" s="11"/>
    </row>
    <row r="9" spans="1:5" x14ac:dyDescent="0.3">
      <c r="A9" s="10" t="s">
        <v>227</v>
      </c>
      <c r="B9" s="11" t="str">
        <f t="shared" si="0"/>
        <v>NAME_SIMA_FA</v>
      </c>
      <c r="C9" s="12" t="s">
        <v>271</v>
      </c>
      <c r="D9" s="11"/>
      <c r="E9" s="11"/>
    </row>
    <row r="10" spans="1:5" x14ac:dyDescent="0.3">
      <c r="A10" s="10" t="s">
        <v>228</v>
      </c>
      <c r="B10" s="11" t="str">
        <f t="shared" si="0"/>
        <v>NAME_WUZI</v>
      </c>
      <c r="C10" s="12" t="s">
        <v>272</v>
      </c>
      <c r="D10" s="11"/>
      <c r="E10" s="11"/>
    </row>
    <row r="11" spans="1:5" x14ac:dyDescent="0.3">
      <c r="A11" s="10" t="s">
        <v>229</v>
      </c>
      <c r="B11" s="11" t="str">
        <f t="shared" si="0"/>
        <v>NAME_RED_CLIFF_FLAME</v>
      </c>
      <c r="C11" s="12" t="s">
        <v>273</v>
      </c>
      <c r="D11" s="11"/>
      <c r="E11" s="11"/>
    </row>
    <row r="12" spans="1:5" x14ac:dyDescent="0.3">
      <c r="A12" s="10" t="s">
        <v>230</v>
      </c>
      <c r="B12" s="11" t="str">
        <f t="shared" si="0"/>
        <v>NAME_BANGCHEONHWAGUG_SHARD</v>
      </c>
      <c r="C12" s="12" t="s">
        <v>274</v>
      </c>
      <c r="D12" s="11"/>
      <c r="E12" s="11"/>
    </row>
    <row r="13" spans="1:5" x14ac:dyDescent="0.3">
      <c r="A13" s="10" t="s">
        <v>220</v>
      </c>
      <c r="B13" s="11" t="str">
        <f t="shared" si="0"/>
        <v>NAME_GANJIANG_MOYE</v>
      </c>
      <c r="C13" s="12" t="s">
        <v>275</v>
      </c>
      <c r="D13" s="11"/>
      <c r="E13" s="11"/>
    </row>
    <row r="14" spans="1:5" x14ac:dyDescent="0.3">
      <c r="A14" s="10" t="s">
        <v>231</v>
      </c>
      <c r="B14" s="11" t="str">
        <f t="shared" si="0"/>
        <v>NAME_CHUNGOU</v>
      </c>
      <c r="C14" s="12" t="s">
        <v>276</v>
      </c>
      <c r="D14" s="11"/>
      <c r="E14" s="11"/>
    </row>
    <row r="15" spans="1:5" x14ac:dyDescent="0.3">
      <c r="A15" s="10" t="s">
        <v>232</v>
      </c>
      <c r="B15" s="11" t="str">
        <f t="shared" si="0"/>
        <v>NAME_ZHANLU</v>
      </c>
      <c r="C15" s="12" t="s">
        <v>277</v>
      </c>
      <c r="D15" s="11"/>
      <c r="E15" s="11"/>
    </row>
    <row r="16" spans="1:5" x14ac:dyDescent="0.3">
      <c r="A16" s="10" t="s">
        <v>233</v>
      </c>
      <c r="B16" s="11" t="str">
        <f t="shared" si="0"/>
        <v>NAME_YUCHANG</v>
      </c>
      <c r="C16" s="12" t="s">
        <v>278</v>
      </c>
      <c r="D16" s="11"/>
      <c r="E16" s="11"/>
    </row>
    <row r="17" spans="1:5" x14ac:dyDescent="0.3">
      <c r="A17" s="10" t="s">
        <v>234</v>
      </c>
      <c r="B17" s="11" t="str">
        <f t="shared" si="0"/>
        <v>NAME_TAIE</v>
      </c>
      <c r="C17" s="12" t="s">
        <v>279</v>
      </c>
      <c r="D17" s="11"/>
      <c r="E17" s="11"/>
    </row>
    <row r="18" spans="1:5" x14ac:dyDescent="0.3">
      <c r="A18" s="10" t="s">
        <v>235</v>
      </c>
      <c r="B18" s="11" t="str">
        <f t="shared" si="0"/>
        <v>NAME_JUQUE</v>
      </c>
      <c r="C18" s="12" t="s">
        <v>280</v>
      </c>
      <c r="D18" s="11"/>
      <c r="E18" s="11"/>
    </row>
    <row r="19" spans="1:5" x14ac:dyDescent="0.3">
      <c r="A19" s="10" t="s">
        <v>236</v>
      </c>
      <c r="B19" s="11" t="str">
        <f t="shared" si="0"/>
        <v>NAME_SHENGXIE</v>
      </c>
      <c r="C19" s="12" t="s">
        <v>281</v>
      </c>
      <c r="D19" s="11"/>
      <c r="E19" s="11"/>
    </row>
    <row r="20" spans="1:5" x14ac:dyDescent="0.3">
      <c r="A20" s="10" t="s">
        <v>237</v>
      </c>
      <c r="B20" s="11" t="str">
        <f t="shared" si="0"/>
        <v>NAME_LORDS_WAR_BOW</v>
      </c>
      <c r="C20" s="12" t="s">
        <v>282</v>
      </c>
      <c r="D20" s="11"/>
      <c r="E20" s="11"/>
    </row>
    <row r="21" spans="1:5" x14ac:dyDescent="0.3">
      <c r="A21" s="10" t="s">
        <v>238</v>
      </c>
      <c r="B21" s="11" t="str">
        <f t="shared" si="0"/>
        <v>NAME_WUJANGWON_STAR</v>
      </c>
      <c r="C21" s="12" t="s">
        <v>283</v>
      </c>
      <c r="D21" s="11"/>
      <c r="E21" s="11"/>
    </row>
    <row r="22" spans="1:5" x14ac:dyDescent="0.3">
      <c r="A22" s="10" t="s">
        <v>239</v>
      </c>
      <c r="B22" s="11" t="str">
        <f t="shared" si="0"/>
        <v>NAME_ART_OF_WAR</v>
      </c>
      <c r="C22" s="12" t="s">
        <v>284</v>
      </c>
      <c r="D22" s="11"/>
      <c r="E22" s="11"/>
    </row>
    <row r="23" spans="1:5" x14ac:dyDescent="0.3">
      <c r="A23" s="10" t="s">
        <v>240</v>
      </c>
      <c r="B23" s="11" t="str">
        <f t="shared" si="0"/>
        <v>NAME_QIMEN_DUNJIA</v>
      </c>
      <c r="C23" s="12" t="s">
        <v>285</v>
      </c>
      <c r="D23" s="11"/>
      <c r="E23" s="11"/>
    </row>
    <row r="24" spans="1:5" x14ac:dyDescent="0.3">
      <c r="A24" s="10" t="s">
        <v>241</v>
      </c>
      <c r="B24" s="11" t="str">
        <f t="shared" si="0"/>
        <v>NAME_I_CHING</v>
      </c>
      <c r="C24" s="12" t="s">
        <v>286</v>
      </c>
      <c r="D24" s="11"/>
      <c r="E24" s="11"/>
    </row>
    <row r="25" spans="1:5" x14ac:dyDescent="0.3">
      <c r="A25" s="10" t="s">
        <v>242</v>
      </c>
      <c r="B25" s="11" t="str">
        <f t="shared" si="0"/>
        <v>NAME_GUIGUZI</v>
      </c>
      <c r="C25" s="12" t="s">
        <v>287</v>
      </c>
      <c r="D25" s="11"/>
      <c r="E25" s="11"/>
    </row>
    <row r="26" spans="1:5" x14ac:dyDescent="0.3">
      <c r="A26" s="10" t="s">
        <v>243</v>
      </c>
      <c r="B26" s="11" t="str">
        <f t="shared" si="0"/>
        <v>NAME_GUANZI</v>
      </c>
      <c r="C26" s="12" t="s">
        <v>288</v>
      </c>
      <c r="D26" s="11"/>
      <c r="E26" s="11"/>
    </row>
    <row r="27" spans="1:5" x14ac:dyDescent="0.3">
      <c r="A27" s="10" t="s">
        <v>244</v>
      </c>
      <c r="B27" s="11" t="str">
        <f t="shared" si="0"/>
        <v>NAME_HAN_FEIZI</v>
      </c>
      <c r="C27" s="12" t="s">
        <v>289</v>
      </c>
      <c r="D27" s="11"/>
      <c r="E27" s="11"/>
    </row>
    <row r="28" spans="1:5" x14ac:dyDescent="0.3">
      <c r="A28" s="10" t="s">
        <v>245</v>
      </c>
      <c r="B28" s="11" t="str">
        <f t="shared" si="0"/>
        <v>NAME_SU_SHU_OF_HUANGSHI</v>
      </c>
      <c r="C28" s="12" t="s">
        <v>290</v>
      </c>
      <c r="D28" s="11"/>
      <c r="E28" s="11"/>
    </row>
    <row r="29" spans="1:5" x14ac:dyDescent="0.3">
      <c r="A29" s="10" t="s">
        <v>246</v>
      </c>
      <c r="B29" s="11" t="str">
        <f t="shared" si="0"/>
        <v>NAME_MOZI</v>
      </c>
      <c r="C29" s="12" t="s">
        <v>291</v>
      </c>
      <c r="D29" s="11"/>
      <c r="E29" s="11"/>
    </row>
    <row r="30" spans="1:5" x14ac:dyDescent="0.3">
      <c r="A30" s="10" t="s">
        <v>247</v>
      </c>
      <c r="B30" s="11" t="str">
        <f t="shared" si="0"/>
        <v>NAME_EMPERORS_SEAL</v>
      </c>
      <c r="C30" s="12" t="s">
        <v>292</v>
      </c>
      <c r="D30" s="11"/>
      <c r="E30" s="11"/>
    </row>
    <row r="31" spans="1:5" x14ac:dyDescent="0.3">
      <c r="A31" s="10" t="s">
        <v>248</v>
      </c>
      <c r="B31" s="11" t="str">
        <f t="shared" si="0"/>
        <v>NAME_BOOK_OF_LORD_SHANG</v>
      </c>
      <c r="C31" s="12" t="s">
        <v>293</v>
      </c>
      <c r="D31" s="11"/>
      <c r="E31" s="11"/>
    </row>
    <row r="32" spans="1:5" x14ac:dyDescent="0.3">
      <c r="A32" s="10" t="s">
        <v>249</v>
      </c>
      <c r="B32" s="11" t="str">
        <f t="shared" si="0"/>
        <v>NAME_LUSHI_CHUNQIU</v>
      </c>
      <c r="C32" s="12" t="s">
        <v>294</v>
      </c>
      <c r="D32" s="11"/>
      <c r="E32" s="11"/>
    </row>
    <row r="33" spans="1:5" x14ac:dyDescent="0.3">
      <c r="A33" s="10" t="s">
        <v>250</v>
      </c>
      <c r="B33" s="11" t="str">
        <f t="shared" si="0"/>
        <v>NAME_ANALECTS</v>
      </c>
      <c r="C33" s="12" t="s">
        <v>295</v>
      </c>
      <c r="D33" s="11"/>
      <c r="E33" s="11"/>
    </row>
    <row r="34" spans="1:5" x14ac:dyDescent="0.3">
      <c r="A34" s="10" t="s">
        <v>251</v>
      </c>
      <c r="B34" s="11" t="str">
        <f t="shared" si="0"/>
        <v>NAME_WEI_ADMINISTRATIVE_CODE</v>
      </c>
      <c r="C34" s="12" t="s">
        <v>296</v>
      </c>
      <c r="D34" s="11"/>
      <c r="E34" s="11"/>
    </row>
    <row r="35" spans="1:5" x14ac:dyDescent="0.3">
      <c r="A35" s="10" t="s">
        <v>252</v>
      </c>
      <c r="B35" s="11" t="str">
        <f t="shared" si="0"/>
        <v>NAME_STRATAGEMS_OF_WARRING_STATES</v>
      </c>
      <c r="C35" s="12" t="s">
        <v>297</v>
      </c>
      <c r="D35" s="11"/>
      <c r="E35" s="11"/>
    </row>
    <row r="36" spans="1:5" x14ac:dyDescent="0.3">
      <c r="A36" s="10" t="s">
        <v>253</v>
      </c>
      <c r="B36" s="11" t="str">
        <f t="shared" si="0"/>
        <v>NAME_IMPERIAL_JADE_SEAL</v>
      </c>
      <c r="C36" s="12" t="s">
        <v>298</v>
      </c>
      <c r="D36" s="11"/>
      <c r="E36" s="11"/>
    </row>
    <row r="37" spans="1:5" x14ac:dyDescent="0.3">
      <c r="A37" s="10" t="s">
        <v>254</v>
      </c>
      <c r="B37" s="11" t="str">
        <f t="shared" si="0"/>
        <v>NAME_PREFECTS_OFFICIAL_SEAL</v>
      </c>
      <c r="C37" s="12" t="s">
        <v>299</v>
      </c>
      <c r="D37" s="11"/>
      <c r="E37" s="11"/>
    </row>
    <row r="38" spans="1:5" x14ac:dyDescent="0.3">
      <c r="A38" s="10" t="s">
        <v>255</v>
      </c>
      <c r="B38" s="11" t="str">
        <f t="shared" si="0"/>
        <v>NAME_HUANGLAO_SILK_MANUSCRIPT</v>
      </c>
      <c r="C38" s="12" t="s">
        <v>300</v>
      </c>
      <c r="D38" s="11"/>
      <c r="E38" s="11"/>
    </row>
    <row r="39" spans="1:5" x14ac:dyDescent="0.3">
      <c r="A39" s="10" t="s">
        <v>256</v>
      </c>
      <c r="B39" s="11" t="str">
        <f t="shared" si="0"/>
        <v>NAME_DOEWON_CUP</v>
      </c>
      <c r="C39" s="12" t="s">
        <v>301</v>
      </c>
      <c r="D39" s="11"/>
      <c r="E39" s="11"/>
    </row>
    <row r="40" spans="1:5" x14ac:dyDescent="0.3">
      <c r="A40" s="10" t="s">
        <v>257</v>
      </c>
      <c r="B40" s="11" t="str">
        <f t="shared" si="0"/>
        <v>NAME_HES_JADE_DISC</v>
      </c>
      <c r="C40" s="12" t="s">
        <v>302</v>
      </c>
      <c r="D40" s="11"/>
      <c r="E40" s="11"/>
    </row>
    <row r="41" spans="1:5" x14ac:dyDescent="0.3">
      <c r="A41" s="10" t="s">
        <v>258</v>
      </c>
      <c r="B41" s="11" t="str">
        <f t="shared" si="0"/>
        <v>NAME_CLASSIC_OF_MOUNTAINS_AND_SEAS</v>
      </c>
      <c r="C41" s="12" t="s">
        <v>303</v>
      </c>
      <c r="D41" s="11"/>
      <c r="E41" s="11"/>
    </row>
    <row r="42" spans="1:5" x14ac:dyDescent="0.3">
      <c r="A42" s="10" t="s">
        <v>259</v>
      </c>
      <c r="B42" s="11" t="str">
        <f t="shared" si="0"/>
        <v>NAME_XUANHE_QIN</v>
      </c>
      <c r="C42" s="12" t="s">
        <v>304</v>
      </c>
      <c r="D42" s="11"/>
      <c r="E42" s="11"/>
    </row>
    <row r="43" spans="1:5" x14ac:dyDescent="0.3">
      <c r="A43" s="10" t="s">
        <v>260</v>
      </c>
      <c r="B43" s="11" t="str">
        <f t="shared" si="0"/>
        <v>NAME_PHOENIX_JADE_PENDANT</v>
      </c>
      <c r="C43" s="12" t="s">
        <v>305</v>
      </c>
      <c r="D43" s="11"/>
      <c r="E43" s="11"/>
    </row>
    <row r="44" spans="1:5" x14ac:dyDescent="0.3">
      <c r="A44" s="10" t="s">
        <v>261</v>
      </c>
      <c r="B44" s="11" t="str">
        <f t="shared" si="0"/>
        <v>NAME_BOOK_OF_RITES</v>
      </c>
      <c r="C44" s="12" t="s">
        <v>306</v>
      </c>
      <c r="D44" s="11"/>
      <c r="E44" s="11"/>
    </row>
    <row r="45" spans="1:5" x14ac:dyDescent="0.3">
      <c r="A45" s="10" t="s">
        <v>262</v>
      </c>
      <c r="B45" s="11" t="str">
        <f t="shared" si="0"/>
        <v>NAME_ALLIANCE_LETTER</v>
      </c>
      <c r="C45" s="12" t="s">
        <v>307</v>
      </c>
      <c r="D45" s="11"/>
      <c r="E45" s="11"/>
    </row>
    <row r="46" spans="1:5" x14ac:dyDescent="0.3">
      <c r="A46" s="10" t="s">
        <v>263</v>
      </c>
      <c r="B46" s="11" t="str">
        <f t="shared" si="0"/>
        <v>NAME_HETU_LUOSHU</v>
      </c>
      <c r="C46" s="12" t="s">
        <v>308</v>
      </c>
      <c r="D46" s="11"/>
      <c r="E46" s="11"/>
    </row>
    <row r="47" spans="1:5" x14ac:dyDescent="0.3">
      <c r="A47" s="10" t="s">
        <v>264</v>
      </c>
      <c r="B47" s="11" t="str">
        <f t="shared" si="0"/>
        <v>NAME_MAP_OF_QUEEN_MOTHER_OF_THE_WEST</v>
      </c>
      <c r="C47" s="12" t="s">
        <v>309</v>
      </c>
      <c r="D47" s="11"/>
      <c r="E47" s="1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3"/>
  <sheetViews>
    <sheetView topLeftCell="A10" workbookViewId="0">
      <selection activeCell="C19" sqref="C19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8" width="50.375" style="3" customWidth="1"/>
    <col min="9" max="9" width="6.125" bestFit="1" customWidth="1"/>
  </cols>
  <sheetData>
    <row r="1" spans="1:9" x14ac:dyDescent="0.3">
      <c r="A1" s="1" t="s">
        <v>74</v>
      </c>
      <c r="B1" s="1" t="s">
        <v>77</v>
      </c>
      <c r="C1" s="1" t="s">
        <v>3</v>
      </c>
      <c r="D1" s="1" t="s">
        <v>82</v>
      </c>
      <c r="E1" s="1" t="s">
        <v>76</v>
      </c>
      <c r="F1" s="1" t="s">
        <v>75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78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92</v>
      </c>
      <c r="B3">
        <v>0</v>
      </c>
      <c r="C3" t="str">
        <f>CONCATENATE(A3, "_", B3, IF(D3&lt;&gt;"", "_"&amp;D3, ""))</f>
        <v>TUTORIAL_START_0</v>
      </c>
      <c r="G3" s="3" t="s">
        <v>83</v>
      </c>
    </row>
    <row r="4" spans="1:9" x14ac:dyDescent="0.3">
      <c r="A4" t="str">
        <f>A3</f>
        <v>TUTORIAL_START</v>
      </c>
      <c r="B4">
        <f t="shared" ref="B4:B18" si="0">B3+1</f>
        <v>1</v>
      </c>
      <c r="C4" t="str">
        <f t="shared" ref="C4:C13" si="1">CONCATENATE(A4, "_", B4, IF(D4&lt;&gt;"", "_"&amp;D4, ""))</f>
        <v>TUTORIAL_START_1</v>
      </c>
      <c r="E4" t="s">
        <v>86</v>
      </c>
      <c r="G4" s="3" t="s">
        <v>87</v>
      </c>
    </row>
    <row r="5" spans="1:9" x14ac:dyDescent="0.3">
      <c r="A5" t="str">
        <f>A4</f>
        <v>TUTORIAL_START</v>
      </c>
      <c r="B5">
        <f t="shared" si="0"/>
        <v>2</v>
      </c>
      <c r="C5" t="str">
        <f t="shared" si="1"/>
        <v>TUTORIAL_START_2</v>
      </c>
      <c r="G5" s="3" t="s">
        <v>80</v>
      </c>
    </row>
    <row r="6" spans="1:9" ht="33" x14ac:dyDescent="0.3">
      <c r="A6" t="str">
        <f t="shared" ref="A6:A12" si="2">A5</f>
        <v>TUTORIAL_START</v>
      </c>
      <c r="B6">
        <f t="shared" si="0"/>
        <v>3</v>
      </c>
      <c r="C6" t="str">
        <f t="shared" si="1"/>
        <v>TUTORIAL_START_3</v>
      </c>
      <c r="G6" s="3" t="s">
        <v>91</v>
      </c>
    </row>
    <row r="7" spans="1:9" x14ac:dyDescent="0.3">
      <c r="A7" t="str">
        <f t="shared" si="2"/>
        <v>TUTORIAL_START</v>
      </c>
      <c r="B7">
        <f t="shared" si="0"/>
        <v>4</v>
      </c>
      <c r="C7" t="str">
        <f t="shared" si="1"/>
        <v>TUTORIAL_START_4_MOBILE</v>
      </c>
      <c r="D7" t="s">
        <v>84</v>
      </c>
      <c r="G7" s="3" t="s">
        <v>79</v>
      </c>
    </row>
    <row r="8" spans="1:9" ht="33" x14ac:dyDescent="0.3">
      <c r="A8" t="str">
        <f t="shared" si="2"/>
        <v>TUTORIAL_START</v>
      </c>
      <c r="B8">
        <f t="shared" si="0"/>
        <v>5</v>
      </c>
      <c r="C8" t="str">
        <f t="shared" si="1"/>
        <v>TUTORIAL_START_5_PC</v>
      </c>
      <c r="D8" t="s">
        <v>85</v>
      </c>
      <c r="G8" s="3" t="s">
        <v>132</v>
      </c>
    </row>
    <row r="9" spans="1:9" ht="33" x14ac:dyDescent="0.3">
      <c r="A9" t="str">
        <f t="shared" si="2"/>
        <v>TUTORIAL_START</v>
      </c>
      <c r="B9">
        <f t="shared" si="0"/>
        <v>6</v>
      </c>
      <c r="C9" t="str">
        <f t="shared" si="1"/>
        <v>TUTORIAL_START_6_MOBILE</v>
      </c>
      <c r="D9" t="s">
        <v>84</v>
      </c>
      <c r="G9" s="3" t="s">
        <v>133</v>
      </c>
    </row>
    <row r="10" spans="1:9" ht="33" x14ac:dyDescent="0.3">
      <c r="A10" t="str">
        <f t="shared" si="2"/>
        <v>TUTORIAL_START</v>
      </c>
      <c r="B10">
        <f t="shared" si="0"/>
        <v>7</v>
      </c>
      <c r="C10" t="str">
        <f t="shared" si="1"/>
        <v>TUTORIAL_START_7_PC</v>
      </c>
      <c r="D10" t="s">
        <v>85</v>
      </c>
      <c r="G10" s="3" t="s">
        <v>131</v>
      </c>
    </row>
    <row r="11" spans="1:9" x14ac:dyDescent="0.3">
      <c r="A11" t="str">
        <f t="shared" si="2"/>
        <v>TUTORIAL_START</v>
      </c>
      <c r="B11">
        <f t="shared" si="0"/>
        <v>8</v>
      </c>
      <c r="C11" t="str">
        <f t="shared" si="1"/>
        <v>TUTORIAL_START_8_MOBILE</v>
      </c>
      <c r="D11" t="s">
        <v>84</v>
      </c>
      <c r="G11" s="3" t="s">
        <v>88</v>
      </c>
    </row>
    <row r="12" spans="1:9" ht="33" x14ac:dyDescent="0.3">
      <c r="A12" t="str">
        <f t="shared" si="2"/>
        <v>TUTORIAL_START</v>
      </c>
      <c r="B12">
        <f t="shared" si="0"/>
        <v>9</v>
      </c>
      <c r="C12" t="str">
        <f t="shared" si="1"/>
        <v>TUTORIAL_START_9_PC</v>
      </c>
      <c r="D12" t="s">
        <v>85</v>
      </c>
      <c r="G12" s="3" t="s">
        <v>89</v>
      </c>
    </row>
    <row r="13" spans="1:9" x14ac:dyDescent="0.3">
      <c r="A13" t="str">
        <f t="shared" ref="A13:A18" si="3">A11</f>
        <v>TUTORIAL_START</v>
      </c>
      <c r="B13">
        <f t="shared" si="0"/>
        <v>10</v>
      </c>
      <c r="C13" t="str">
        <f t="shared" si="1"/>
        <v>TUTORIAL_START_10</v>
      </c>
      <c r="G13" s="3" t="s">
        <v>90</v>
      </c>
    </row>
    <row r="14" spans="1:9" x14ac:dyDescent="0.3">
      <c r="A14" t="str">
        <f t="shared" si="3"/>
        <v>TUTORIAL_START</v>
      </c>
      <c r="B14">
        <f t="shared" si="0"/>
        <v>11</v>
      </c>
      <c r="C14" t="str">
        <f t="shared" ref="C14" si="4">CONCATENATE(A14, "_", B14, IF(D14&lt;&gt;"", "_"&amp;D14, ""))</f>
        <v>TUTORIAL_START_11</v>
      </c>
      <c r="G14" s="3" t="s">
        <v>81</v>
      </c>
    </row>
    <row r="15" spans="1:9" x14ac:dyDescent="0.3">
      <c r="A15" t="str">
        <f t="shared" si="3"/>
        <v>TUTORIAL_START</v>
      </c>
      <c r="B15">
        <f t="shared" si="0"/>
        <v>12</v>
      </c>
      <c r="C15" t="str">
        <f t="shared" ref="C15" si="5">CONCATENATE(A15, "_", B15, IF(D15&lt;&gt;"", "_"&amp;D15, ""))</f>
        <v>TUTORIAL_START_12</v>
      </c>
      <c r="G15" s="3" t="s">
        <v>106</v>
      </c>
    </row>
    <row r="16" spans="1:9" x14ac:dyDescent="0.3">
      <c r="A16" t="str">
        <f t="shared" si="3"/>
        <v>TUTORIAL_START</v>
      </c>
      <c r="B16">
        <f t="shared" si="0"/>
        <v>13</v>
      </c>
      <c r="C16" t="str">
        <f t="shared" ref="C16" si="6">CONCATENATE(A16, "_", B16, IF(D16&lt;&gt;"", "_"&amp;D16, ""))</f>
        <v>TUTORIAL_START_13_MOBILE</v>
      </c>
      <c r="D16" t="s">
        <v>84</v>
      </c>
      <c r="G16" s="3" t="s">
        <v>107</v>
      </c>
    </row>
    <row r="17" spans="1:7" ht="33" x14ac:dyDescent="0.3">
      <c r="A17" t="str">
        <f t="shared" si="3"/>
        <v>TUTORIAL_START</v>
      </c>
      <c r="B17">
        <f t="shared" si="0"/>
        <v>14</v>
      </c>
      <c r="C17" t="str">
        <f t="shared" ref="C17" si="7">CONCATENATE(A17, "_", B17, IF(D17&lt;&gt;"", "_"&amp;D17, ""))</f>
        <v>TUTORIAL_START_14_PC</v>
      </c>
      <c r="D17" t="s">
        <v>85</v>
      </c>
      <c r="G17" s="3" t="s">
        <v>108</v>
      </c>
    </row>
    <row r="18" spans="1:7" x14ac:dyDescent="0.3">
      <c r="A18" t="str">
        <f t="shared" si="3"/>
        <v>TUTORIAL_START</v>
      </c>
      <c r="B18">
        <f t="shared" si="0"/>
        <v>15</v>
      </c>
      <c r="C18" t="str">
        <f t="shared" ref="C18" si="8">CONCATENATE(A18, "_", B18, IF(D18&lt;&gt;"", "_"&amp;D18, ""))</f>
        <v>TUTORIAL_START_15</v>
      </c>
      <c r="G18" s="3" t="s">
        <v>105</v>
      </c>
    </row>
    <row r="19" spans="1:7" x14ac:dyDescent="0.3">
      <c r="A19" t="s">
        <v>115</v>
      </c>
      <c r="B19">
        <v>0</v>
      </c>
      <c r="C19" t="str">
        <f t="shared" ref="C19:C20" si="9">CONCATENATE(A19, "_", B19, IF(D19&lt;&gt;"", "_"&amp;D19, ""))</f>
        <v>1_1_1_SHU_START_0</v>
      </c>
      <c r="E19" t="str">
        <f>VLOOKUP(F19,[1]HeroData!$A$3:$B$118,2, FALSE)</f>
        <v>ZhangFei</v>
      </c>
      <c r="F19" t="s">
        <v>9</v>
      </c>
      <c r="G19" s="3" t="s">
        <v>120</v>
      </c>
    </row>
    <row r="20" spans="1:7" x14ac:dyDescent="0.3">
      <c r="A20" t="str">
        <f t="shared" ref="A20:A33" si="10">A19</f>
        <v>1_1_1_SHU_START</v>
      </c>
      <c r="B20">
        <f>B19+1</f>
        <v>1</v>
      </c>
      <c r="C20" t="str">
        <f t="shared" si="9"/>
        <v>1_1_1_SHU_START_1</v>
      </c>
      <c r="E20" t="str">
        <f>VLOOKUP(F20,[1]HeroData!$A$3:$B$118,2, FALSE)</f>
        <v>GuanYu</v>
      </c>
      <c r="F20" t="s">
        <v>7</v>
      </c>
      <c r="G20" s="3" t="s">
        <v>114</v>
      </c>
    </row>
    <row r="21" spans="1:7" x14ac:dyDescent="0.3">
      <c r="A21" t="str">
        <f t="shared" si="10"/>
        <v>1_1_1_SHU_START</v>
      </c>
      <c r="B21">
        <f t="shared" ref="B21:B33" si="11">B20+1</f>
        <v>2</v>
      </c>
      <c r="C21" t="str">
        <f t="shared" ref="C21:C32" si="12">CONCATENATE(A21, "_", B21, IF(D21&lt;&gt;"", "_"&amp;D21, ""))</f>
        <v>1_1_1_SHU_START_2</v>
      </c>
      <c r="E21" t="str">
        <f>VLOOKUP(F21,[1]HeroData!$A$3:$B$118,2, FALSE)</f>
        <v>ZhangFei</v>
      </c>
      <c r="F21" t="s">
        <v>9</v>
      </c>
      <c r="G21" s="3" t="s">
        <v>113</v>
      </c>
    </row>
    <row r="22" spans="1:7" x14ac:dyDescent="0.3">
      <c r="A22" t="str">
        <f t="shared" si="10"/>
        <v>1_1_1_SHU_START</v>
      </c>
      <c r="B22">
        <f t="shared" si="11"/>
        <v>3</v>
      </c>
      <c r="C22" t="str">
        <f t="shared" si="12"/>
        <v>1_1_1_SHU_START_3</v>
      </c>
      <c r="E22" t="str">
        <f>VLOOKUP(F22,[1]HeroData!$A$3:$B$118,2, FALSE)</f>
        <v>ZhangFei</v>
      </c>
      <c r="F22" t="s">
        <v>9</v>
      </c>
      <c r="G22" s="3" t="s">
        <v>110</v>
      </c>
    </row>
    <row r="23" spans="1:7" ht="33" x14ac:dyDescent="0.3">
      <c r="A23" t="str">
        <f t="shared" si="10"/>
        <v>1_1_1_SHU_START</v>
      </c>
      <c r="B23">
        <f t="shared" si="11"/>
        <v>4</v>
      </c>
      <c r="C23" t="str">
        <f t="shared" si="12"/>
        <v>1_1_1_SHU_START_4</v>
      </c>
      <c r="E23" t="str">
        <f>VLOOKUP(F23,[1]HeroData!$A$3:$B$118,2, FALSE)</f>
        <v>GuanYu</v>
      </c>
      <c r="F23" t="s">
        <v>7</v>
      </c>
      <c r="G23" s="3" t="s">
        <v>109</v>
      </c>
    </row>
    <row r="24" spans="1:7" ht="33" x14ac:dyDescent="0.3">
      <c r="A24" t="str">
        <f t="shared" si="10"/>
        <v>1_1_1_SHU_START</v>
      </c>
      <c r="B24">
        <f t="shared" si="11"/>
        <v>5</v>
      </c>
      <c r="C24" t="str">
        <f t="shared" si="12"/>
        <v>1_1_1_SHU_START_5</v>
      </c>
      <c r="E24" t="str">
        <f>VLOOKUP(F24,[1]HeroData!$A$3:$B$118,2, FALSE)</f>
        <v>LiuBei</v>
      </c>
      <c r="F24" t="s">
        <v>5</v>
      </c>
      <c r="G24" s="3" t="s">
        <v>118</v>
      </c>
    </row>
    <row r="25" spans="1:7" ht="33" x14ac:dyDescent="0.3">
      <c r="A25" t="str">
        <f t="shared" si="10"/>
        <v>1_1_1_SHU_START</v>
      </c>
      <c r="B25">
        <f t="shared" si="11"/>
        <v>6</v>
      </c>
      <c r="C25" t="str">
        <f t="shared" si="12"/>
        <v>1_1_1_SHU_START_6</v>
      </c>
      <c r="E25" t="str">
        <f>VLOOKUP(F25,[1]HeroData!$A$3:$B$118,2, FALSE)</f>
        <v>LiuBei</v>
      </c>
      <c r="F25" t="s">
        <v>5</v>
      </c>
      <c r="G25" s="3" t="s">
        <v>119</v>
      </c>
    </row>
    <row r="26" spans="1:7" x14ac:dyDescent="0.3">
      <c r="A26" t="str">
        <f t="shared" si="10"/>
        <v>1_1_1_SHU_START</v>
      </c>
      <c r="B26">
        <f t="shared" si="11"/>
        <v>7</v>
      </c>
      <c r="C26" t="str">
        <f t="shared" si="12"/>
        <v>1_1_1_SHU_START_7_1</v>
      </c>
      <c r="D26">
        <v>1</v>
      </c>
      <c r="E26" t="str">
        <f>VLOOKUP(F26,[1]HeroData!$A$3:$B$118,2, FALSE)</f>
        <v>ZhangFei</v>
      </c>
      <c r="F26" t="s">
        <v>9</v>
      </c>
      <c r="G26" s="3" t="s">
        <v>116</v>
      </c>
    </row>
    <row r="27" spans="1:7" x14ac:dyDescent="0.3">
      <c r="A27" t="str">
        <f t="shared" si="10"/>
        <v>1_1_1_SHU_START</v>
      </c>
      <c r="B27">
        <f t="shared" si="11"/>
        <v>8</v>
      </c>
      <c r="C27" t="str">
        <f t="shared" si="12"/>
        <v>1_1_1_SHU_START_8_1</v>
      </c>
      <c r="D27">
        <v>1</v>
      </c>
      <c r="E27" t="str">
        <f>VLOOKUP(F27,[1]HeroData!$A$3:$B$118,2, FALSE)</f>
        <v>GuanYu</v>
      </c>
      <c r="F27" t="s">
        <v>7</v>
      </c>
      <c r="G27" s="3" t="s">
        <v>117</v>
      </c>
    </row>
    <row r="28" spans="1:7" x14ac:dyDescent="0.3">
      <c r="A28" t="str">
        <f t="shared" si="10"/>
        <v>1_1_1_SHU_START</v>
      </c>
      <c r="B28">
        <f t="shared" si="11"/>
        <v>9</v>
      </c>
      <c r="C28" t="str">
        <f t="shared" si="12"/>
        <v>1_1_1_SHU_START_9_2</v>
      </c>
      <c r="D28">
        <v>2</v>
      </c>
      <c r="E28" t="str">
        <f>VLOOKUP(F28,[1]HeroData!$A$3:$B$118,2, FALSE)</f>
        <v>ZhangFei</v>
      </c>
      <c r="F28" t="s">
        <v>9</v>
      </c>
      <c r="G28" s="3" t="s">
        <v>121</v>
      </c>
    </row>
    <row r="29" spans="1:7" x14ac:dyDescent="0.3">
      <c r="A29" t="str">
        <f t="shared" si="10"/>
        <v>1_1_1_SHU_START</v>
      </c>
      <c r="B29">
        <f t="shared" si="11"/>
        <v>10</v>
      </c>
      <c r="C29" t="str">
        <f t="shared" si="12"/>
        <v>1_1_1_SHU_START_10_2</v>
      </c>
      <c r="D29">
        <v>2</v>
      </c>
      <c r="E29" t="str">
        <f>VLOOKUP(F29,[1]HeroData!$A$3:$B$118,2, FALSE)</f>
        <v>LiuBei</v>
      </c>
      <c r="F29" t="s">
        <v>5</v>
      </c>
      <c r="G29" s="3" t="s">
        <v>122</v>
      </c>
    </row>
    <row r="30" spans="1:7" x14ac:dyDescent="0.3">
      <c r="A30" t="str">
        <f t="shared" si="10"/>
        <v>1_1_1_SHU_START</v>
      </c>
      <c r="B30">
        <f t="shared" si="11"/>
        <v>11</v>
      </c>
      <c r="C30" t="str">
        <f t="shared" si="12"/>
        <v>1_1_1_SHU_START_11_2</v>
      </c>
      <c r="D30">
        <v>2</v>
      </c>
      <c r="E30" t="str">
        <f>VLOOKUP(F30,[1]HeroData!$A$3:$B$118,2, FALSE)</f>
        <v>GuanYu</v>
      </c>
      <c r="F30" t="s">
        <v>7</v>
      </c>
      <c r="G30" s="3" t="s">
        <v>123</v>
      </c>
    </row>
    <row r="31" spans="1:7" x14ac:dyDescent="0.3">
      <c r="A31" t="str">
        <f t="shared" si="10"/>
        <v>1_1_1_SHU_START</v>
      </c>
      <c r="B31">
        <f t="shared" si="11"/>
        <v>12</v>
      </c>
      <c r="C31" t="str">
        <f t="shared" si="12"/>
        <v>1_1_1_SHU_START_12</v>
      </c>
      <c r="E31" t="str">
        <f>VLOOKUP(F31,[1]HeroData!$A$3:$B$118,2, FALSE)</f>
        <v>LiuBei</v>
      </c>
      <c r="F31" t="s">
        <v>5</v>
      </c>
      <c r="G31" s="3" t="s">
        <v>111</v>
      </c>
    </row>
    <row r="32" spans="1:7" x14ac:dyDescent="0.3">
      <c r="A32" t="str">
        <f t="shared" si="10"/>
        <v>1_1_1_SHU_START</v>
      </c>
      <c r="B32">
        <f t="shared" si="11"/>
        <v>13</v>
      </c>
      <c r="C32" t="str">
        <f t="shared" si="12"/>
        <v>1_1_1_SHU_START_13</v>
      </c>
      <c r="E32" t="str">
        <f>VLOOKUP(F32,[1]HeroData!$A$3:$B$118,2, FALSE)</f>
        <v>ZhangFei</v>
      </c>
      <c r="F32" t="s">
        <v>9</v>
      </c>
      <c r="G32" s="3" t="s">
        <v>112</v>
      </c>
    </row>
    <row r="33" spans="1:7" x14ac:dyDescent="0.3">
      <c r="A33" t="str">
        <f t="shared" si="10"/>
        <v>1_1_1_SHU_START</v>
      </c>
      <c r="B33">
        <f t="shared" si="11"/>
        <v>14</v>
      </c>
      <c r="C33" t="str">
        <f t="shared" ref="C33" si="13">CONCATENATE(A33, "_", B33, IF(D33&lt;&gt;"", "_"&amp;D33, ""))</f>
        <v>1_1_1_SHU_START_14</v>
      </c>
      <c r="E33" t="str">
        <f>VLOOKUP(F33,[1]HeroData!$A$3:$B$118,2, FALSE)</f>
        <v>GuanYu</v>
      </c>
      <c r="F33" t="s">
        <v>7</v>
      </c>
      <c r="G33" s="3" t="s">
        <v>112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39210-5BFC-4779-981A-9157C4AD45DB}">
  <dimension ref="A1:G118"/>
  <sheetViews>
    <sheetView tabSelected="1" topLeftCell="A87" workbookViewId="0">
      <selection activeCell="E94" sqref="E94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65.75" style="30" bestFit="1" customWidth="1"/>
  </cols>
  <sheetData>
    <row r="1" spans="1:7" x14ac:dyDescent="0.3">
      <c r="A1" s="4" t="s">
        <v>437</v>
      </c>
      <c r="B1" s="4" t="s">
        <v>178</v>
      </c>
      <c r="C1" s="4" t="s">
        <v>440</v>
      </c>
      <c r="D1" s="4" t="s">
        <v>3</v>
      </c>
      <c r="E1" s="32" t="s">
        <v>0</v>
      </c>
      <c r="F1" s="2" t="s">
        <v>1</v>
      </c>
      <c r="G1" s="31" t="s">
        <v>473</v>
      </c>
    </row>
    <row r="2" spans="1:7" x14ac:dyDescent="0.3">
      <c r="A2" s="4" t="s">
        <v>2</v>
      </c>
      <c r="B2" s="4" t="s">
        <v>2</v>
      </c>
      <c r="C2" s="4" t="s">
        <v>2</v>
      </c>
      <c r="D2" s="4" t="s">
        <v>2</v>
      </c>
      <c r="E2" s="32" t="s">
        <v>2</v>
      </c>
      <c r="F2" s="2" t="s">
        <v>2</v>
      </c>
      <c r="G2" s="2" t="s">
        <v>2</v>
      </c>
    </row>
    <row r="3" spans="1:7" x14ac:dyDescent="0.3">
      <c r="A3" s="27" t="s">
        <v>438</v>
      </c>
      <c r="B3" s="19" t="s">
        <v>370</v>
      </c>
      <c r="C3" s="19"/>
      <c r="D3" s="20" t="str">
        <f t="shared" ref="D3:D35" si="0">UPPER(B3)&amp;"_TITLE"</f>
        <v>NODE_1_TITLE</v>
      </c>
      <c r="E3" s="33" t="s">
        <v>404</v>
      </c>
      <c r="F3" s="21"/>
    </row>
    <row r="4" spans="1:7" x14ac:dyDescent="0.3">
      <c r="A4" s="27" t="s">
        <v>438</v>
      </c>
      <c r="B4" s="19" t="s">
        <v>371</v>
      </c>
      <c r="C4" s="19"/>
      <c r="D4" s="20" t="str">
        <f t="shared" si="0"/>
        <v>NODE_2_TITLE</v>
      </c>
      <c r="E4" s="33" t="s">
        <v>405</v>
      </c>
      <c r="F4" s="21"/>
    </row>
    <row r="5" spans="1:7" x14ac:dyDescent="0.3">
      <c r="A5" s="27" t="s">
        <v>438</v>
      </c>
      <c r="B5" s="19" t="s">
        <v>372</v>
      </c>
      <c r="C5" s="19"/>
      <c r="D5" s="20" t="str">
        <f t="shared" si="0"/>
        <v>NODE_3_TITLE</v>
      </c>
      <c r="E5" s="33" t="s">
        <v>406</v>
      </c>
      <c r="F5" s="21"/>
    </row>
    <row r="6" spans="1:7" x14ac:dyDescent="0.3">
      <c r="A6" s="27" t="s">
        <v>438</v>
      </c>
      <c r="B6" s="19" t="s">
        <v>373</v>
      </c>
      <c r="C6" s="19"/>
      <c r="D6" s="20" t="str">
        <f t="shared" si="0"/>
        <v>NODE_4_TITLE</v>
      </c>
      <c r="E6" s="33" t="s">
        <v>407</v>
      </c>
      <c r="F6" s="21"/>
    </row>
    <row r="7" spans="1:7" x14ac:dyDescent="0.3">
      <c r="A7" s="27" t="s">
        <v>438</v>
      </c>
      <c r="B7" s="19" t="s">
        <v>374</v>
      </c>
      <c r="C7" s="19"/>
      <c r="D7" s="20" t="str">
        <f t="shared" si="0"/>
        <v>NODE_5_TITLE</v>
      </c>
      <c r="E7" s="33" t="s">
        <v>408</v>
      </c>
      <c r="F7" s="21"/>
    </row>
    <row r="8" spans="1:7" x14ac:dyDescent="0.3">
      <c r="A8" s="27" t="s">
        <v>438</v>
      </c>
      <c r="B8" s="19" t="s">
        <v>375</v>
      </c>
      <c r="C8" s="19"/>
      <c r="D8" s="20" t="str">
        <f t="shared" si="0"/>
        <v>NODE_6_TITLE</v>
      </c>
      <c r="E8" s="33" t="s">
        <v>409</v>
      </c>
      <c r="F8" s="21"/>
    </row>
    <row r="9" spans="1:7" x14ac:dyDescent="0.3">
      <c r="A9" s="27" t="s">
        <v>438</v>
      </c>
      <c r="B9" s="19" t="s">
        <v>376</v>
      </c>
      <c r="C9" s="19"/>
      <c r="D9" s="20" t="str">
        <f t="shared" si="0"/>
        <v>NODE_7_TITLE</v>
      </c>
      <c r="E9" s="33" t="s">
        <v>410</v>
      </c>
      <c r="F9" s="21"/>
    </row>
    <row r="10" spans="1:7" x14ac:dyDescent="0.3">
      <c r="A10" s="27" t="s">
        <v>438</v>
      </c>
      <c r="B10" s="19" t="s">
        <v>377</v>
      </c>
      <c r="C10" s="19"/>
      <c r="D10" s="20" t="str">
        <f t="shared" si="0"/>
        <v>NODE_8_TITLE</v>
      </c>
      <c r="E10" s="33" t="s">
        <v>411</v>
      </c>
      <c r="F10" s="21"/>
    </row>
    <row r="11" spans="1:7" x14ac:dyDescent="0.3">
      <c r="A11" s="27" t="s">
        <v>438</v>
      </c>
      <c r="B11" s="19" t="s">
        <v>378</v>
      </c>
      <c r="C11" s="19"/>
      <c r="D11" s="20" t="str">
        <f t="shared" si="0"/>
        <v>NODE_9_TITLE</v>
      </c>
      <c r="E11" s="33" t="s">
        <v>412</v>
      </c>
      <c r="F11" s="21"/>
    </row>
    <row r="12" spans="1:7" x14ac:dyDescent="0.3">
      <c r="A12" s="27" t="s">
        <v>438</v>
      </c>
      <c r="B12" s="19" t="s">
        <v>379</v>
      </c>
      <c r="C12" s="19"/>
      <c r="D12" s="20" t="str">
        <f t="shared" si="0"/>
        <v>NODE_10_TITLE</v>
      </c>
      <c r="E12" s="33" t="s">
        <v>413</v>
      </c>
      <c r="F12" s="21"/>
    </row>
    <row r="13" spans="1:7" x14ac:dyDescent="0.3">
      <c r="A13" s="27" t="s">
        <v>438</v>
      </c>
      <c r="B13" s="19" t="s">
        <v>380</v>
      </c>
      <c r="C13" s="19"/>
      <c r="D13" s="20" t="str">
        <f t="shared" si="0"/>
        <v>NODE_11_TITLE</v>
      </c>
      <c r="E13" s="33" t="s">
        <v>414</v>
      </c>
      <c r="F13" s="21"/>
    </row>
    <row r="14" spans="1:7" x14ac:dyDescent="0.3">
      <c r="A14" s="27" t="s">
        <v>438</v>
      </c>
      <c r="B14" s="19" t="s">
        <v>381</v>
      </c>
      <c r="C14" s="19"/>
      <c r="D14" s="20" t="str">
        <f t="shared" si="0"/>
        <v>NODE_12A_TITLE</v>
      </c>
      <c r="E14" s="33" t="s">
        <v>415</v>
      </c>
      <c r="F14" s="21"/>
    </row>
    <row r="15" spans="1:7" x14ac:dyDescent="0.3">
      <c r="A15" s="27" t="s">
        <v>438</v>
      </c>
      <c r="B15" s="19" t="s">
        <v>382</v>
      </c>
      <c r="C15" s="19"/>
      <c r="D15" s="20" t="str">
        <f t="shared" si="0"/>
        <v>NODE_12B_TITLE</v>
      </c>
      <c r="E15" s="33" t="s">
        <v>416</v>
      </c>
      <c r="F15" s="21"/>
    </row>
    <row r="16" spans="1:7" x14ac:dyDescent="0.3">
      <c r="A16" s="27" t="s">
        <v>438</v>
      </c>
      <c r="B16" s="19" t="s">
        <v>383</v>
      </c>
      <c r="C16" s="19"/>
      <c r="D16" s="20" t="str">
        <f t="shared" si="0"/>
        <v>NODE_13_TITLE</v>
      </c>
      <c r="E16" s="33" t="s">
        <v>470</v>
      </c>
      <c r="F16" s="21"/>
    </row>
    <row r="17" spans="1:6" x14ac:dyDescent="0.3">
      <c r="A17" s="27" t="s">
        <v>438</v>
      </c>
      <c r="B17" s="19" t="s">
        <v>384</v>
      </c>
      <c r="C17" s="19"/>
      <c r="D17" s="20" t="str">
        <f t="shared" si="0"/>
        <v>NODE_14_TITLE</v>
      </c>
      <c r="E17" s="33" t="s">
        <v>417</v>
      </c>
      <c r="F17" s="21"/>
    </row>
    <row r="18" spans="1:6" x14ac:dyDescent="0.3">
      <c r="A18" s="27" t="s">
        <v>438</v>
      </c>
      <c r="B18" s="19" t="s">
        <v>385</v>
      </c>
      <c r="C18" s="19"/>
      <c r="D18" s="20" t="str">
        <f t="shared" si="0"/>
        <v>NODE_15_TITLE</v>
      </c>
      <c r="E18" s="33" t="s">
        <v>418</v>
      </c>
      <c r="F18" s="21"/>
    </row>
    <row r="19" spans="1:6" x14ac:dyDescent="0.3">
      <c r="A19" s="27" t="s">
        <v>438</v>
      </c>
      <c r="B19" s="19" t="s">
        <v>386</v>
      </c>
      <c r="C19" s="19"/>
      <c r="D19" s="20" t="str">
        <f t="shared" si="0"/>
        <v>NODE_16_TITLE</v>
      </c>
      <c r="E19" s="33" t="s">
        <v>419</v>
      </c>
      <c r="F19" s="21"/>
    </row>
    <row r="20" spans="1:6" x14ac:dyDescent="0.3">
      <c r="A20" s="27" t="s">
        <v>438</v>
      </c>
      <c r="B20" s="19" t="s">
        <v>387</v>
      </c>
      <c r="C20" s="19"/>
      <c r="D20" s="20" t="str">
        <f t="shared" si="0"/>
        <v>NODE_17_TITLE</v>
      </c>
      <c r="E20" s="33" t="s">
        <v>420</v>
      </c>
      <c r="F20" s="21"/>
    </row>
    <row r="21" spans="1:6" x14ac:dyDescent="0.3">
      <c r="A21" s="27" t="s">
        <v>438</v>
      </c>
      <c r="B21" s="19" t="s">
        <v>388</v>
      </c>
      <c r="C21" s="19"/>
      <c r="D21" s="20" t="str">
        <f t="shared" si="0"/>
        <v>NODE_18_TITLE</v>
      </c>
      <c r="E21" s="33" t="s">
        <v>421</v>
      </c>
      <c r="F21" s="21"/>
    </row>
    <row r="22" spans="1:6" x14ac:dyDescent="0.3">
      <c r="A22" s="27" t="s">
        <v>438</v>
      </c>
      <c r="B22" s="19" t="s">
        <v>389</v>
      </c>
      <c r="C22" s="19"/>
      <c r="D22" s="20" t="str">
        <f t="shared" si="0"/>
        <v>NODE_19A_TITLE</v>
      </c>
      <c r="E22" s="33" t="s">
        <v>422</v>
      </c>
      <c r="F22" s="21"/>
    </row>
    <row r="23" spans="1:6" x14ac:dyDescent="0.3">
      <c r="A23" s="27" t="s">
        <v>438</v>
      </c>
      <c r="B23" s="19" t="s">
        <v>390</v>
      </c>
      <c r="C23" s="19"/>
      <c r="D23" s="20" t="str">
        <f t="shared" si="0"/>
        <v>NODE_19B_TITLE</v>
      </c>
      <c r="E23" s="33" t="s">
        <v>423</v>
      </c>
      <c r="F23" s="21"/>
    </row>
    <row r="24" spans="1:6" x14ac:dyDescent="0.3">
      <c r="A24" s="27" t="s">
        <v>438</v>
      </c>
      <c r="B24" s="19" t="s">
        <v>391</v>
      </c>
      <c r="C24" s="19"/>
      <c r="D24" s="20" t="str">
        <f t="shared" si="0"/>
        <v>NODE_20_TITLE</v>
      </c>
      <c r="E24" s="33" t="s">
        <v>424</v>
      </c>
      <c r="F24" s="21"/>
    </row>
    <row r="25" spans="1:6" x14ac:dyDescent="0.3">
      <c r="A25" s="27" t="s">
        <v>438</v>
      </c>
      <c r="B25" s="19" t="s">
        <v>392</v>
      </c>
      <c r="C25" s="19"/>
      <c r="D25" s="20" t="str">
        <f t="shared" si="0"/>
        <v>NODE_21A_TITLE</v>
      </c>
      <c r="E25" s="33" t="s">
        <v>425</v>
      </c>
      <c r="F25" s="21"/>
    </row>
    <row r="26" spans="1:6" x14ac:dyDescent="0.3">
      <c r="A26" s="27" t="s">
        <v>438</v>
      </c>
      <c r="B26" s="19" t="s">
        <v>393</v>
      </c>
      <c r="C26" s="19"/>
      <c r="D26" s="20" t="str">
        <f t="shared" si="0"/>
        <v>NODE_21B_TITLE</v>
      </c>
      <c r="E26" s="33" t="s">
        <v>426</v>
      </c>
      <c r="F26" s="21"/>
    </row>
    <row r="27" spans="1:6" x14ac:dyDescent="0.3">
      <c r="A27" s="27" t="s">
        <v>438</v>
      </c>
      <c r="B27" s="19" t="s">
        <v>394</v>
      </c>
      <c r="C27" s="19"/>
      <c r="D27" s="20" t="str">
        <f t="shared" si="0"/>
        <v>NODE_22_TITLE</v>
      </c>
      <c r="E27" s="33" t="s">
        <v>427</v>
      </c>
      <c r="F27" s="21"/>
    </row>
    <row r="28" spans="1:6" x14ac:dyDescent="0.3">
      <c r="A28" s="27" t="s">
        <v>438</v>
      </c>
      <c r="B28" s="19" t="s">
        <v>395</v>
      </c>
      <c r="C28" s="19"/>
      <c r="D28" s="20" t="str">
        <f t="shared" si="0"/>
        <v>NODE_23A_TITLE</v>
      </c>
      <c r="E28" s="33" t="s">
        <v>428</v>
      </c>
      <c r="F28" s="21"/>
    </row>
    <row r="29" spans="1:6" x14ac:dyDescent="0.3">
      <c r="A29" s="27" t="s">
        <v>438</v>
      </c>
      <c r="B29" s="19" t="s">
        <v>396</v>
      </c>
      <c r="C29" s="19"/>
      <c r="D29" s="20" t="str">
        <f t="shared" si="0"/>
        <v>NODE_23B_TITLE</v>
      </c>
      <c r="E29" s="33" t="s">
        <v>429</v>
      </c>
      <c r="F29" s="21"/>
    </row>
    <row r="30" spans="1:6" x14ac:dyDescent="0.3">
      <c r="A30" s="27" t="s">
        <v>438</v>
      </c>
      <c r="B30" s="19" t="s">
        <v>397</v>
      </c>
      <c r="C30" s="19"/>
      <c r="D30" s="20" t="str">
        <f t="shared" si="0"/>
        <v>NODE_24A_TITLE</v>
      </c>
      <c r="E30" s="33" t="s">
        <v>430</v>
      </c>
      <c r="F30" s="21"/>
    </row>
    <row r="31" spans="1:6" x14ac:dyDescent="0.3">
      <c r="A31" s="27" t="s">
        <v>438</v>
      </c>
      <c r="B31" s="19" t="s">
        <v>398</v>
      </c>
      <c r="C31" s="19"/>
      <c r="D31" s="20" t="str">
        <f t="shared" si="0"/>
        <v>NODE_24B_TITLE</v>
      </c>
      <c r="E31" s="33" t="s">
        <v>431</v>
      </c>
      <c r="F31" s="21"/>
    </row>
    <row r="32" spans="1:6" x14ac:dyDescent="0.3">
      <c r="A32" s="27" t="s">
        <v>438</v>
      </c>
      <c r="B32" s="19" t="s">
        <v>399</v>
      </c>
      <c r="C32" s="19"/>
      <c r="D32" s="20" t="str">
        <f t="shared" si="0"/>
        <v>NODE_25_TITLE</v>
      </c>
      <c r="E32" s="33" t="s">
        <v>432</v>
      </c>
      <c r="F32" s="21"/>
    </row>
    <row r="33" spans="1:6" x14ac:dyDescent="0.3">
      <c r="A33" s="27" t="s">
        <v>438</v>
      </c>
      <c r="B33" s="19" t="s">
        <v>400</v>
      </c>
      <c r="C33" s="19"/>
      <c r="D33" s="20" t="str">
        <f t="shared" si="0"/>
        <v>NODE_26_TITLE</v>
      </c>
      <c r="E33" s="33" t="s">
        <v>433</v>
      </c>
      <c r="F33" s="21"/>
    </row>
    <row r="34" spans="1:6" x14ac:dyDescent="0.3">
      <c r="A34" s="27" t="s">
        <v>438</v>
      </c>
      <c r="B34" s="19" t="s">
        <v>401</v>
      </c>
      <c r="C34" s="19"/>
      <c r="D34" s="20" t="str">
        <f t="shared" si="0"/>
        <v>NODE_27_TITLE</v>
      </c>
      <c r="E34" s="33" t="s">
        <v>434</v>
      </c>
      <c r="F34" s="21"/>
    </row>
    <row r="35" spans="1:6" x14ac:dyDescent="0.3">
      <c r="A35" s="27" t="s">
        <v>438</v>
      </c>
      <c r="B35" s="22" t="s">
        <v>402</v>
      </c>
      <c r="C35" s="22"/>
      <c r="D35" s="23" t="str">
        <f t="shared" si="0"/>
        <v>NODE_28_TITLE</v>
      </c>
      <c r="E35" s="34" t="s">
        <v>435</v>
      </c>
      <c r="F35" s="24"/>
    </row>
    <row r="36" spans="1:6" x14ac:dyDescent="0.3">
      <c r="A36" s="21" t="s">
        <v>438</v>
      </c>
      <c r="B36" s="19" t="s">
        <v>403</v>
      </c>
      <c r="C36" s="19"/>
      <c r="D36" s="20" t="str">
        <f t="shared" ref="D36" si="1">UPPER(B36)&amp;"_TITLE"</f>
        <v>NODE_29_TITLE</v>
      </c>
      <c r="E36" s="33" t="s">
        <v>436</v>
      </c>
      <c r="F36" s="21"/>
    </row>
    <row r="37" spans="1:6" x14ac:dyDescent="0.3">
      <c r="A37" s="27" t="s">
        <v>444</v>
      </c>
      <c r="B37" s="19" t="s">
        <v>370</v>
      </c>
      <c r="C37" s="19"/>
      <c r="D37" s="20" t="str">
        <f t="shared" ref="D37:D69" si="2">UPPER(B37)&amp;"_DESC"</f>
        <v>NODE_1_DESC</v>
      </c>
      <c r="E37" s="28" t="s">
        <v>475</v>
      </c>
      <c r="F37" s="21"/>
    </row>
    <row r="38" spans="1:6" x14ac:dyDescent="0.3">
      <c r="A38" s="27" t="s">
        <v>444</v>
      </c>
      <c r="B38" s="19" t="s">
        <v>371</v>
      </c>
      <c r="C38" s="19"/>
      <c r="D38" s="20" t="str">
        <f t="shared" si="2"/>
        <v>NODE_2_DESC</v>
      </c>
      <c r="E38" s="33" t="s">
        <v>461</v>
      </c>
      <c r="F38" s="21"/>
    </row>
    <row r="39" spans="1:6" x14ac:dyDescent="0.3">
      <c r="A39" s="27" t="s">
        <v>444</v>
      </c>
      <c r="B39" s="19" t="s">
        <v>372</v>
      </c>
      <c r="C39" s="19"/>
      <c r="D39" s="20" t="str">
        <f t="shared" si="2"/>
        <v>NODE_3_DESC</v>
      </c>
      <c r="E39" s="28" t="s">
        <v>476</v>
      </c>
      <c r="F39" s="21"/>
    </row>
    <row r="40" spans="1:6" x14ac:dyDescent="0.3">
      <c r="A40" s="27" t="s">
        <v>444</v>
      </c>
      <c r="B40" s="19" t="s">
        <v>373</v>
      </c>
      <c r="C40" s="19"/>
      <c r="D40" s="20" t="str">
        <f t="shared" si="2"/>
        <v>NODE_4_DESC</v>
      </c>
      <c r="E40" s="33" t="s">
        <v>462</v>
      </c>
      <c r="F40" s="21"/>
    </row>
    <row r="41" spans="1:6" x14ac:dyDescent="0.3">
      <c r="A41" s="27" t="s">
        <v>444</v>
      </c>
      <c r="B41" s="19" t="s">
        <v>374</v>
      </c>
      <c r="C41" s="19"/>
      <c r="D41" s="20" t="str">
        <f t="shared" si="2"/>
        <v>NODE_5_DESC</v>
      </c>
      <c r="E41" s="33" t="s">
        <v>463</v>
      </c>
      <c r="F41" s="21"/>
    </row>
    <row r="42" spans="1:6" x14ac:dyDescent="0.3">
      <c r="A42" s="27" t="s">
        <v>444</v>
      </c>
      <c r="B42" s="19" t="s">
        <v>375</v>
      </c>
      <c r="C42" s="19"/>
      <c r="D42" s="20" t="str">
        <f t="shared" si="2"/>
        <v>NODE_6_DESC</v>
      </c>
      <c r="E42" s="33" t="s">
        <v>466</v>
      </c>
      <c r="F42" s="21"/>
    </row>
    <row r="43" spans="1:6" x14ac:dyDescent="0.3">
      <c r="A43" s="27" t="s">
        <v>444</v>
      </c>
      <c r="B43" s="19" t="s">
        <v>376</v>
      </c>
      <c r="C43" s="19"/>
      <c r="D43" s="20" t="str">
        <f t="shared" si="2"/>
        <v>NODE_7_DESC</v>
      </c>
      <c r="E43" s="33" t="s">
        <v>484</v>
      </c>
      <c r="F43" s="21"/>
    </row>
    <row r="44" spans="1:6" x14ac:dyDescent="0.3">
      <c r="A44" s="27" t="s">
        <v>444</v>
      </c>
      <c r="B44" s="19" t="s">
        <v>377</v>
      </c>
      <c r="C44" s="19"/>
      <c r="D44" s="20" t="str">
        <f t="shared" si="2"/>
        <v>NODE_8_DESC</v>
      </c>
      <c r="E44" s="33" t="s">
        <v>445</v>
      </c>
      <c r="F44" s="21"/>
    </row>
    <row r="45" spans="1:6" x14ac:dyDescent="0.3">
      <c r="A45" s="27" t="s">
        <v>444</v>
      </c>
      <c r="B45" s="19" t="s">
        <v>378</v>
      </c>
      <c r="C45" s="19"/>
      <c r="D45" s="20" t="str">
        <f t="shared" si="2"/>
        <v>NODE_9_DESC</v>
      </c>
      <c r="E45" s="33" t="s">
        <v>464</v>
      </c>
      <c r="F45" s="21"/>
    </row>
    <row r="46" spans="1:6" x14ac:dyDescent="0.3">
      <c r="A46" s="27" t="s">
        <v>444</v>
      </c>
      <c r="B46" s="19" t="s">
        <v>379</v>
      </c>
      <c r="C46" s="19"/>
      <c r="D46" s="20" t="str">
        <f t="shared" si="2"/>
        <v>NODE_10_DESC</v>
      </c>
      <c r="E46" s="33" t="s">
        <v>465</v>
      </c>
      <c r="F46" s="21"/>
    </row>
    <row r="47" spans="1:6" x14ac:dyDescent="0.3">
      <c r="A47" s="27" t="s">
        <v>444</v>
      </c>
      <c r="B47" s="19" t="s">
        <v>380</v>
      </c>
      <c r="C47" s="19"/>
      <c r="D47" s="20" t="str">
        <f t="shared" si="2"/>
        <v>NODE_11_DESC</v>
      </c>
      <c r="E47" s="33" t="s">
        <v>467</v>
      </c>
      <c r="F47" s="21"/>
    </row>
    <row r="48" spans="1:6" x14ac:dyDescent="0.3">
      <c r="A48" s="27" t="s">
        <v>444</v>
      </c>
      <c r="B48" s="19" t="s">
        <v>381</v>
      </c>
      <c r="C48" s="19"/>
      <c r="D48" s="20" t="str">
        <f t="shared" si="2"/>
        <v>NODE_12A_DESC</v>
      </c>
      <c r="E48" s="33" t="s">
        <v>468</v>
      </c>
      <c r="F48" s="21"/>
    </row>
    <row r="49" spans="1:7" x14ac:dyDescent="0.3">
      <c r="A49" s="27" t="s">
        <v>444</v>
      </c>
      <c r="B49" s="19" t="s">
        <v>382</v>
      </c>
      <c r="C49" s="19"/>
      <c r="D49" s="20" t="str">
        <f t="shared" si="2"/>
        <v>NODE_12B_DESC</v>
      </c>
      <c r="E49" s="33" t="s">
        <v>469</v>
      </c>
      <c r="F49" s="21"/>
    </row>
    <row r="50" spans="1:7" x14ac:dyDescent="0.3">
      <c r="A50" s="27" t="s">
        <v>444</v>
      </c>
      <c r="B50" s="19" t="s">
        <v>383</v>
      </c>
      <c r="C50" s="19"/>
      <c r="D50" s="20" t="str">
        <f t="shared" si="2"/>
        <v>NODE_13_DESC</v>
      </c>
      <c r="E50" s="33" t="s">
        <v>477</v>
      </c>
      <c r="F50" s="21"/>
    </row>
    <row r="51" spans="1:7" x14ac:dyDescent="0.3">
      <c r="A51" s="27" t="s">
        <v>444</v>
      </c>
      <c r="B51" s="19" t="s">
        <v>384</v>
      </c>
      <c r="C51" s="19"/>
      <c r="D51" s="20" t="str">
        <f t="shared" si="2"/>
        <v>NODE_14_DESC</v>
      </c>
      <c r="E51" s="33" t="s">
        <v>446</v>
      </c>
      <c r="F51" s="21"/>
    </row>
    <row r="52" spans="1:7" x14ac:dyDescent="0.3">
      <c r="A52" s="27" t="s">
        <v>444</v>
      </c>
      <c r="B52" s="19" t="s">
        <v>385</v>
      </c>
      <c r="C52" s="19"/>
      <c r="D52" s="20" t="str">
        <f t="shared" si="2"/>
        <v>NODE_15_DESC</v>
      </c>
      <c r="E52" s="33" t="s">
        <v>471</v>
      </c>
      <c r="F52" s="21"/>
    </row>
    <row r="53" spans="1:7" x14ac:dyDescent="0.3">
      <c r="A53" s="27" t="s">
        <v>444</v>
      </c>
      <c r="B53" s="19" t="s">
        <v>386</v>
      </c>
      <c r="C53" s="19"/>
      <c r="D53" s="20" t="str">
        <f t="shared" si="2"/>
        <v>NODE_16_DESC</v>
      </c>
      <c r="E53" s="33" t="s">
        <v>472</v>
      </c>
      <c r="F53" s="21"/>
    </row>
    <row r="54" spans="1:7" x14ac:dyDescent="0.3">
      <c r="A54" s="27" t="s">
        <v>444</v>
      </c>
      <c r="B54" s="19" t="s">
        <v>387</v>
      </c>
      <c r="C54" s="19"/>
      <c r="D54" s="20" t="str">
        <f t="shared" si="2"/>
        <v>NODE_17_DESC</v>
      </c>
      <c r="E54" s="33" t="s">
        <v>478</v>
      </c>
      <c r="F54" s="21"/>
      <c r="G54" s="35" t="s">
        <v>447</v>
      </c>
    </row>
    <row r="55" spans="1:7" x14ac:dyDescent="0.3">
      <c r="A55" s="27" t="s">
        <v>444</v>
      </c>
      <c r="B55" s="19" t="s">
        <v>388</v>
      </c>
      <c r="C55" s="19"/>
      <c r="D55" s="20" t="str">
        <f t="shared" si="2"/>
        <v>NODE_18_DESC</v>
      </c>
      <c r="E55" s="33" t="s">
        <v>479</v>
      </c>
      <c r="F55" s="21"/>
      <c r="G55" s="35" t="s">
        <v>448</v>
      </c>
    </row>
    <row r="56" spans="1:7" x14ac:dyDescent="0.3">
      <c r="A56" s="27" t="s">
        <v>444</v>
      </c>
      <c r="B56" s="19" t="s">
        <v>389</v>
      </c>
      <c r="C56" s="19"/>
      <c r="D56" s="20" t="str">
        <f t="shared" si="2"/>
        <v>NODE_19A_DESC</v>
      </c>
      <c r="E56" s="33" t="s">
        <v>480</v>
      </c>
      <c r="F56" s="21"/>
      <c r="G56" s="35" t="s">
        <v>449</v>
      </c>
    </row>
    <row r="57" spans="1:7" x14ac:dyDescent="0.3">
      <c r="A57" s="27" t="s">
        <v>444</v>
      </c>
      <c r="B57" s="19" t="s">
        <v>390</v>
      </c>
      <c r="C57" s="19"/>
      <c r="D57" s="20" t="str">
        <f t="shared" si="2"/>
        <v>NODE_19B_DESC</v>
      </c>
      <c r="E57" s="33" t="s">
        <v>481</v>
      </c>
      <c r="F57" s="21"/>
      <c r="G57" s="35" t="s">
        <v>450</v>
      </c>
    </row>
    <row r="58" spans="1:7" x14ac:dyDescent="0.3">
      <c r="A58" s="27" t="s">
        <v>444</v>
      </c>
      <c r="B58" s="19" t="s">
        <v>391</v>
      </c>
      <c r="C58" s="19"/>
      <c r="D58" s="20" t="str">
        <f t="shared" si="2"/>
        <v>NODE_20_DESC</v>
      </c>
      <c r="E58" s="33" t="s">
        <v>482</v>
      </c>
      <c r="F58" s="21"/>
      <c r="G58" s="35" t="s">
        <v>451</v>
      </c>
    </row>
    <row r="59" spans="1:7" x14ac:dyDescent="0.3">
      <c r="A59" s="27" t="s">
        <v>444</v>
      </c>
      <c r="B59" s="19" t="s">
        <v>392</v>
      </c>
      <c r="C59" s="19"/>
      <c r="D59" s="20" t="str">
        <f t="shared" si="2"/>
        <v>NODE_21A_DESC</v>
      </c>
      <c r="E59" s="33" t="s">
        <v>483</v>
      </c>
      <c r="F59" s="21"/>
      <c r="G59" s="35" t="s">
        <v>452</v>
      </c>
    </row>
    <row r="60" spans="1:7" x14ac:dyDescent="0.3">
      <c r="A60" s="27" t="s">
        <v>444</v>
      </c>
      <c r="B60" s="19" t="s">
        <v>393</v>
      </c>
      <c r="C60" s="19"/>
      <c r="D60" s="20" t="str">
        <f t="shared" si="2"/>
        <v>NODE_21B_DESC</v>
      </c>
      <c r="E60" s="33" t="s">
        <v>485</v>
      </c>
      <c r="F60" s="21"/>
      <c r="G60" s="35" t="s">
        <v>453</v>
      </c>
    </row>
    <row r="61" spans="1:7" x14ac:dyDescent="0.3">
      <c r="A61" s="27" t="s">
        <v>444</v>
      </c>
      <c r="B61" s="19" t="s">
        <v>394</v>
      </c>
      <c r="C61" s="19"/>
      <c r="D61" s="20" t="str">
        <f t="shared" si="2"/>
        <v>NODE_22_DESC</v>
      </c>
      <c r="E61" s="33" t="s">
        <v>486</v>
      </c>
      <c r="F61" s="21"/>
      <c r="G61" s="35" t="s">
        <v>454</v>
      </c>
    </row>
    <row r="62" spans="1:7" x14ac:dyDescent="0.3">
      <c r="A62" s="27" t="s">
        <v>444</v>
      </c>
      <c r="B62" s="19" t="s">
        <v>395</v>
      </c>
      <c r="C62" s="19"/>
      <c r="D62" s="20" t="str">
        <f t="shared" si="2"/>
        <v>NODE_23A_DESC</v>
      </c>
      <c r="E62" s="33" t="s">
        <v>487</v>
      </c>
      <c r="F62" s="21"/>
      <c r="G62" s="35" t="s">
        <v>455</v>
      </c>
    </row>
    <row r="63" spans="1:7" x14ac:dyDescent="0.3">
      <c r="A63" s="27" t="s">
        <v>444</v>
      </c>
      <c r="B63" s="19" t="s">
        <v>396</v>
      </c>
      <c r="C63" s="19"/>
      <c r="D63" s="20" t="str">
        <f t="shared" si="2"/>
        <v>NODE_23B_DESC</v>
      </c>
      <c r="E63" s="33" t="s">
        <v>488</v>
      </c>
      <c r="F63" s="21"/>
      <c r="G63" s="35" t="s">
        <v>456</v>
      </c>
    </row>
    <row r="64" spans="1:7" x14ac:dyDescent="0.3">
      <c r="A64" s="27" t="s">
        <v>444</v>
      </c>
      <c r="B64" s="19" t="s">
        <v>397</v>
      </c>
      <c r="C64" s="19"/>
      <c r="D64" s="20" t="str">
        <f t="shared" si="2"/>
        <v>NODE_24A_DESC</v>
      </c>
      <c r="E64" s="33" t="s">
        <v>489</v>
      </c>
      <c r="F64" s="21"/>
      <c r="G64" s="35" t="s">
        <v>457</v>
      </c>
    </row>
    <row r="65" spans="1:7" x14ac:dyDescent="0.3">
      <c r="A65" s="27" t="s">
        <v>444</v>
      </c>
      <c r="B65" s="19" t="s">
        <v>398</v>
      </c>
      <c r="C65" s="19"/>
      <c r="D65" s="20" t="str">
        <f t="shared" si="2"/>
        <v>NODE_24B_DESC</v>
      </c>
      <c r="E65" s="33" t="s">
        <v>490</v>
      </c>
      <c r="F65" s="21"/>
      <c r="G65" s="35" t="s">
        <v>458</v>
      </c>
    </row>
    <row r="66" spans="1:7" x14ac:dyDescent="0.3">
      <c r="A66" s="27" t="s">
        <v>444</v>
      </c>
      <c r="B66" s="19" t="s">
        <v>399</v>
      </c>
      <c r="C66" s="19"/>
      <c r="D66" s="20" t="str">
        <f t="shared" si="2"/>
        <v>NODE_25_DESC</v>
      </c>
      <c r="E66" s="33" t="s">
        <v>474</v>
      </c>
      <c r="F66" s="21"/>
      <c r="G66" s="35" t="s">
        <v>459</v>
      </c>
    </row>
    <row r="67" spans="1:7" x14ac:dyDescent="0.3">
      <c r="A67" s="27" t="s">
        <v>444</v>
      </c>
      <c r="B67" s="19" t="s">
        <v>400</v>
      </c>
      <c r="C67" s="19"/>
      <c r="D67" s="20" t="str">
        <f t="shared" si="2"/>
        <v>NODE_26_DESC</v>
      </c>
      <c r="E67" s="33" t="s">
        <v>474</v>
      </c>
      <c r="F67" s="21"/>
      <c r="G67" s="35" t="s">
        <v>460</v>
      </c>
    </row>
    <row r="68" spans="1:7" x14ac:dyDescent="0.3">
      <c r="A68" s="27" t="s">
        <v>444</v>
      </c>
      <c r="B68" s="19" t="s">
        <v>401</v>
      </c>
      <c r="C68" s="19"/>
      <c r="D68" s="20" t="str">
        <f t="shared" si="2"/>
        <v>NODE_27_DESC</v>
      </c>
      <c r="E68" s="33" t="s">
        <v>474</v>
      </c>
      <c r="F68" s="21"/>
      <c r="G68" s="35" t="s">
        <v>434</v>
      </c>
    </row>
    <row r="69" spans="1:7" x14ac:dyDescent="0.3">
      <c r="A69" s="27" t="s">
        <v>444</v>
      </c>
      <c r="B69" s="22" t="s">
        <v>402</v>
      </c>
      <c r="C69" s="22"/>
      <c r="D69" s="20" t="str">
        <f t="shared" si="2"/>
        <v>NODE_28_DESC</v>
      </c>
      <c r="E69" s="33" t="s">
        <v>474</v>
      </c>
      <c r="F69" s="24"/>
      <c r="G69" s="35" t="s">
        <v>435</v>
      </c>
    </row>
    <row r="70" spans="1:7" x14ac:dyDescent="0.3">
      <c r="A70" s="27" t="s">
        <v>444</v>
      </c>
      <c r="B70" s="19" t="s">
        <v>403</v>
      </c>
      <c r="C70" s="19"/>
      <c r="D70" s="20" t="str">
        <f>UPPER(B70)&amp;"_DESC"</f>
        <v>NODE_29_DESC</v>
      </c>
      <c r="E70" s="33" t="s">
        <v>474</v>
      </c>
      <c r="F70" s="21"/>
      <c r="G70" s="35" t="s">
        <v>436</v>
      </c>
    </row>
    <row r="71" spans="1:7" x14ac:dyDescent="0.2">
      <c r="A71" s="21" t="s">
        <v>439</v>
      </c>
      <c r="B71" s="25" t="s">
        <v>370</v>
      </c>
      <c r="C71" s="26">
        <v>1</v>
      </c>
      <c r="D71" s="20" t="str">
        <f t="shared" ref="D71:D93" si="3">UPPER(B71)&amp;"_CHOICE_"&amp;C71</f>
        <v>NODE_1_CHOICE_1</v>
      </c>
      <c r="E71" s="29"/>
      <c r="F71" s="21"/>
    </row>
    <row r="72" spans="1:7" x14ac:dyDescent="0.2">
      <c r="A72" s="21" t="s">
        <v>439</v>
      </c>
      <c r="B72" s="25" t="s">
        <v>370</v>
      </c>
      <c r="C72" s="26">
        <v>2</v>
      </c>
      <c r="D72" s="20" t="str">
        <f t="shared" si="3"/>
        <v>NODE_1_CHOICE_2</v>
      </c>
      <c r="E72" s="29"/>
      <c r="F72" s="21"/>
    </row>
    <row r="73" spans="1:7" x14ac:dyDescent="0.2">
      <c r="A73" s="21" t="s">
        <v>439</v>
      </c>
      <c r="B73" s="25" t="s">
        <v>374</v>
      </c>
      <c r="C73" s="26">
        <v>1</v>
      </c>
      <c r="D73" s="20" t="str">
        <f t="shared" si="3"/>
        <v>NODE_5_CHOICE_1</v>
      </c>
      <c r="E73" s="29"/>
      <c r="F73" s="21"/>
    </row>
    <row r="74" spans="1:7" x14ac:dyDescent="0.2">
      <c r="A74" s="21" t="s">
        <v>439</v>
      </c>
      <c r="B74" s="25" t="s">
        <v>374</v>
      </c>
      <c r="C74" s="26">
        <v>2</v>
      </c>
      <c r="D74" s="20" t="str">
        <f t="shared" si="3"/>
        <v>NODE_5_CHOICE_2</v>
      </c>
      <c r="E74" s="29"/>
      <c r="F74" s="21"/>
    </row>
    <row r="75" spans="1:7" x14ac:dyDescent="0.2">
      <c r="A75" s="21" t="s">
        <v>439</v>
      </c>
      <c r="B75" s="25" t="s">
        <v>375</v>
      </c>
      <c r="C75" s="26">
        <v>1</v>
      </c>
      <c r="D75" s="20" t="str">
        <f t="shared" si="3"/>
        <v>NODE_6_CHOICE_1</v>
      </c>
      <c r="E75" s="29"/>
      <c r="F75" s="21"/>
    </row>
    <row r="76" spans="1:7" x14ac:dyDescent="0.2">
      <c r="A76" s="21" t="s">
        <v>439</v>
      </c>
      <c r="B76" s="25" t="s">
        <v>375</v>
      </c>
      <c r="C76" s="26">
        <v>2</v>
      </c>
      <c r="D76" s="20" t="str">
        <f t="shared" si="3"/>
        <v>NODE_6_CHOICE_2</v>
      </c>
      <c r="E76" s="29"/>
      <c r="F76" s="21"/>
    </row>
    <row r="77" spans="1:7" x14ac:dyDescent="0.2">
      <c r="A77" s="21" t="s">
        <v>439</v>
      </c>
      <c r="B77" s="25" t="s">
        <v>376</v>
      </c>
      <c r="C77" s="26">
        <v>1</v>
      </c>
      <c r="D77" s="20" t="str">
        <f t="shared" si="3"/>
        <v>NODE_7_CHOICE_1</v>
      </c>
      <c r="E77" s="29"/>
      <c r="F77" s="21"/>
    </row>
    <row r="78" spans="1:7" x14ac:dyDescent="0.2">
      <c r="A78" s="21" t="s">
        <v>439</v>
      </c>
      <c r="B78" s="25" t="s">
        <v>376</v>
      </c>
      <c r="C78" s="26">
        <v>2</v>
      </c>
      <c r="D78" s="20" t="str">
        <f t="shared" si="3"/>
        <v>NODE_7_CHOICE_2</v>
      </c>
      <c r="E78" s="29"/>
      <c r="F78" s="21"/>
    </row>
    <row r="79" spans="1:7" x14ac:dyDescent="0.2">
      <c r="A79" s="21" t="s">
        <v>439</v>
      </c>
      <c r="B79" s="25" t="s">
        <v>379</v>
      </c>
      <c r="C79" s="26">
        <v>1</v>
      </c>
      <c r="D79" s="20" t="str">
        <f t="shared" si="3"/>
        <v>NODE_10_CHOICE_1</v>
      </c>
      <c r="E79" s="29"/>
      <c r="F79" s="21"/>
    </row>
    <row r="80" spans="1:7" x14ac:dyDescent="0.2">
      <c r="A80" s="21" t="s">
        <v>439</v>
      </c>
      <c r="B80" s="25" t="s">
        <v>379</v>
      </c>
      <c r="C80" s="26">
        <v>2</v>
      </c>
      <c r="D80" s="20" t="str">
        <f t="shared" si="3"/>
        <v>NODE_10_CHOICE_2</v>
      </c>
      <c r="E80" s="29"/>
      <c r="F80" s="21"/>
    </row>
    <row r="81" spans="1:6" x14ac:dyDescent="0.2">
      <c r="A81" s="21" t="s">
        <v>439</v>
      </c>
      <c r="B81" s="25" t="s">
        <v>382</v>
      </c>
      <c r="C81" s="26">
        <v>1</v>
      </c>
      <c r="D81" s="20" t="str">
        <f t="shared" si="3"/>
        <v>NODE_12B_CHOICE_1</v>
      </c>
      <c r="E81" s="29"/>
      <c r="F81" s="21"/>
    </row>
    <row r="82" spans="1:6" x14ac:dyDescent="0.2">
      <c r="A82" s="21" t="s">
        <v>439</v>
      </c>
      <c r="B82" s="25" t="s">
        <v>382</v>
      </c>
      <c r="C82" s="26">
        <v>2</v>
      </c>
      <c r="D82" s="20" t="str">
        <f t="shared" si="3"/>
        <v>NODE_12B_CHOICE_2</v>
      </c>
      <c r="E82" s="29"/>
      <c r="F82" s="21"/>
    </row>
    <row r="83" spans="1:6" x14ac:dyDescent="0.2">
      <c r="A83" s="21" t="s">
        <v>439</v>
      </c>
      <c r="B83" s="25" t="s">
        <v>384</v>
      </c>
      <c r="C83" s="26">
        <v>1</v>
      </c>
      <c r="D83" s="20" t="str">
        <f t="shared" si="3"/>
        <v>NODE_14_CHOICE_1</v>
      </c>
      <c r="E83" s="29"/>
      <c r="F83" s="21"/>
    </row>
    <row r="84" spans="1:6" x14ac:dyDescent="0.2">
      <c r="A84" s="21" t="s">
        <v>439</v>
      </c>
      <c r="B84" s="25" t="s">
        <v>384</v>
      </c>
      <c r="C84" s="26">
        <v>2</v>
      </c>
      <c r="D84" s="20" t="str">
        <f t="shared" si="3"/>
        <v>NODE_14_CHOICE_2</v>
      </c>
      <c r="E84" s="29"/>
      <c r="F84" s="21"/>
    </row>
    <row r="85" spans="1:6" x14ac:dyDescent="0.2">
      <c r="A85" s="21" t="s">
        <v>439</v>
      </c>
      <c r="B85" s="25" t="s">
        <v>385</v>
      </c>
      <c r="C85" s="26">
        <v>1</v>
      </c>
      <c r="D85" s="20" t="str">
        <f t="shared" si="3"/>
        <v>NODE_15_CHOICE_1</v>
      </c>
      <c r="E85" s="29"/>
      <c r="F85" s="21"/>
    </row>
    <row r="86" spans="1:6" x14ac:dyDescent="0.2">
      <c r="A86" s="21" t="s">
        <v>439</v>
      </c>
      <c r="B86" s="25" t="s">
        <v>385</v>
      </c>
      <c r="C86" s="26">
        <v>2</v>
      </c>
      <c r="D86" s="20" t="str">
        <f t="shared" si="3"/>
        <v>NODE_15_CHOICE_2</v>
      </c>
      <c r="E86" s="29"/>
      <c r="F86" s="21"/>
    </row>
    <row r="87" spans="1:6" x14ac:dyDescent="0.2">
      <c r="A87" s="21" t="s">
        <v>439</v>
      </c>
      <c r="B87" s="25" t="s">
        <v>386</v>
      </c>
      <c r="C87" s="26">
        <v>1</v>
      </c>
      <c r="D87" s="20" t="str">
        <f t="shared" si="3"/>
        <v>NODE_16_CHOICE_1</v>
      </c>
      <c r="E87" s="29"/>
      <c r="F87" s="21"/>
    </row>
    <row r="88" spans="1:6" x14ac:dyDescent="0.2">
      <c r="A88" s="21" t="s">
        <v>439</v>
      </c>
      <c r="B88" s="25" t="s">
        <v>386</v>
      </c>
      <c r="C88" s="26">
        <v>2</v>
      </c>
      <c r="D88" s="20" t="str">
        <f t="shared" si="3"/>
        <v>NODE_16_CHOICE_2</v>
      </c>
      <c r="E88" s="29"/>
      <c r="F88" s="21"/>
    </row>
    <row r="89" spans="1:6" x14ac:dyDescent="0.2">
      <c r="A89" s="21" t="s">
        <v>439</v>
      </c>
      <c r="B89" s="25" t="s">
        <v>390</v>
      </c>
      <c r="C89" s="26">
        <v>1</v>
      </c>
      <c r="D89" s="20" t="str">
        <f t="shared" si="3"/>
        <v>NODE_19B_CHOICE_1</v>
      </c>
      <c r="E89" s="29"/>
      <c r="F89" s="21"/>
    </row>
    <row r="90" spans="1:6" x14ac:dyDescent="0.2">
      <c r="A90" s="21" t="s">
        <v>439</v>
      </c>
      <c r="B90" s="25" t="s">
        <v>390</v>
      </c>
      <c r="C90" s="26">
        <v>2</v>
      </c>
      <c r="D90" s="20" t="str">
        <f t="shared" si="3"/>
        <v>NODE_19B_CHOICE_2</v>
      </c>
      <c r="E90" s="29"/>
      <c r="F90" s="21"/>
    </row>
    <row r="91" spans="1:6" x14ac:dyDescent="0.2">
      <c r="A91" s="21" t="s">
        <v>439</v>
      </c>
      <c r="B91" s="25" t="s">
        <v>393</v>
      </c>
      <c r="C91" s="26">
        <v>1</v>
      </c>
      <c r="D91" s="20" t="str">
        <f t="shared" si="3"/>
        <v>NODE_21B_CHOICE_1</v>
      </c>
      <c r="E91" s="29"/>
      <c r="F91" s="21"/>
    </row>
    <row r="92" spans="1:6" x14ac:dyDescent="0.2">
      <c r="A92" s="21" t="s">
        <v>439</v>
      </c>
      <c r="B92" s="25" t="s">
        <v>393</v>
      </c>
      <c r="C92" s="26">
        <v>2</v>
      </c>
      <c r="D92" s="20" t="str">
        <f t="shared" si="3"/>
        <v>NODE_21B_CHOICE_2</v>
      </c>
      <c r="E92" s="29"/>
      <c r="F92" s="21"/>
    </row>
    <row r="93" spans="1:6" x14ac:dyDescent="0.2">
      <c r="A93" s="21" t="s">
        <v>439</v>
      </c>
      <c r="B93" s="25" t="s">
        <v>399</v>
      </c>
      <c r="C93" s="26">
        <v>1</v>
      </c>
      <c r="D93" s="20" t="str">
        <f t="shared" si="3"/>
        <v>NODE_25_CHOICE_1</v>
      </c>
      <c r="E93" s="29"/>
      <c r="F93" s="21"/>
    </row>
    <row r="94" spans="1:6" x14ac:dyDescent="0.2">
      <c r="A94" s="21" t="s">
        <v>439</v>
      </c>
      <c r="B94" s="25" t="s">
        <v>399</v>
      </c>
      <c r="C94" s="26">
        <v>2</v>
      </c>
      <c r="D94" s="20" t="str">
        <f>UPPER(B94)&amp;"_CHOICE_"&amp;C94</f>
        <v>NODE_25_CHOICE_2</v>
      </c>
      <c r="E94" s="29"/>
      <c r="F94" s="21"/>
    </row>
    <row r="95" spans="1:6" x14ac:dyDescent="0.2">
      <c r="A95" s="21" t="s">
        <v>441</v>
      </c>
      <c r="B95" s="25" t="s">
        <v>370</v>
      </c>
      <c r="C95" s="26">
        <v>1</v>
      </c>
      <c r="D95" s="20" t="str">
        <f>UPPER(B95)&amp;"_CHOICE_"&amp;C95&amp;"_DESC"</f>
        <v>NODE_1_CHOICE_1_DESC</v>
      </c>
      <c r="E95" s="29" t="str">
        <f t="shared" ref="E95:E118" si="4">"선택"&amp;C95</f>
        <v>선택1</v>
      </c>
      <c r="F95" s="21"/>
    </row>
    <row r="96" spans="1:6" x14ac:dyDescent="0.2">
      <c r="A96" s="21" t="s">
        <v>441</v>
      </c>
      <c r="B96" s="25" t="s">
        <v>370</v>
      </c>
      <c r="C96" s="26">
        <v>2</v>
      </c>
      <c r="D96" s="20" t="str">
        <f t="shared" ref="D96:D118" si="5">UPPER(B96)&amp;"_CHOICE_"&amp;C96&amp;"_DESC"</f>
        <v>NODE_1_CHOICE_2_DESC</v>
      </c>
      <c r="E96" s="29" t="str">
        <f t="shared" si="4"/>
        <v>선택2</v>
      </c>
      <c r="F96" s="21"/>
    </row>
    <row r="97" spans="1:6" x14ac:dyDescent="0.2">
      <c r="A97" s="21" t="s">
        <v>441</v>
      </c>
      <c r="B97" s="25" t="s">
        <v>491</v>
      </c>
      <c r="C97" s="26">
        <v>1</v>
      </c>
      <c r="D97" s="20" t="str">
        <f t="shared" si="5"/>
        <v>NODE_5_CHOICE_1_DESC</v>
      </c>
      <c r="E97" s="29" t="str">
        <f t="shared" si="4"/>
        <v>선택1</v>
      </c>
      <c r="F97" s="21"/>
    </row>
    <row r="98" spans="1:6" x14ac:dyDescent="0.2">
      <c r="A98" s="21" t="s">
        <v>441</v>
      </c>
      <c r="B98" s="25" t="s">
        <v>491</v>
      </c>
      <c r="C98" s="26">
        <v>2</v>
      </c>
      <c r="D98" s="20" t="str">
        <f t="shared" si="5"/>
        <v>NODE_5_CHOICE_2_DESC</v>
      </c>
      <c r="E98" s="29" t="str">
        <f t="shared" si="4"/>
        <v>선택2</v>
      </c>
      <c r="F98" s="21"/>
    </row>
    <row r="99" spans="1:6" x14ac:dyDescent="0.2">
      <c r="A99" s="21" t="s">
        <v>441</v>
      </c>
      <c r="B99" s="25" t="s">
        <v>375</v>
      </c>
      <c r="C99" s="26">
        <v>1</v>
      </c>
      <c r="D99" s="20" t="str">
        <f t="shared" si="5"/>
        <v>NODE_6_CHOICE_1_DESC</v>
      </c>
      <c r="E99" s="29" t="str">
        <f t="shared" si="4"/>
        <v>선택1</v>
      </c>
      <c r="F99" s="21"/>
    </row>
    <row r="100" spans="1:6" x14ac:dyDescent="0.2">
      <c r="A100" s="21" t="s">
        <v>441</v>
      </c>
      <c r="B100" s="25" t="s">
        <v>375</v>
      </c>
      <c r="C100" s="26">
        <v>2</v>
      </c>
      <c r="D100" s="20" t="str">
        <f t="shared" si="5"/>
        <v>NODE_6_CHOICE_2_DESC</v>
      </c>
      <c r="E100" s="29" t="str">
        <f t="shared" si="4"/>
        <v>선택2</v>
      </c>
      <c r="F100" s="21"/>
    </row>
    <row r="101" spans="1:6" x14ac:dyDescent="0.2">
      <c r="A101" s="21" t="s">
        <v>441</v>
      </c>
      <c r="B101" s="25" t="s">
        <v>376</v>
      </c>
      <c r="C101" s="26">
        <v>1</v>
      </c>
      <c r="D101" s="20" t="str">
        <f t="shared" si="5"/>
        <v>NODE_7_CHOICE_1_DESC</v>
      </c>
      <c r="E101" s="29" t="str">
        <f t="shared" si="4"/>
        <v>선택1</v>
      </c>
      <c r="F101" s="21"/>
    </row>
    <row r="102" spans="1:6" x14ac:dyDescent="0.2">
      <c r="A102" s="21" t="s">
        <v>441</v>
      </c>
      <c r="B102" s="25" t="s">
        <v>376</v>
      </c>
      <c r="C102" s="26">
        <v>2</v>
      </c>
      <c r="D102" s="20" t="str">
        <f t="shared" si="5"/>
        <v>NODE_7_CHOICE_2_DESC</v>
      </c>
      <c r="E102" s="29" t="str">
        <f t="shared" si="4"/>
        <v>선택2</v>
      </c>
      <c r="F102" s="21"/>
    </row>
    <row r="103" spans="1:6" x14ac:dyDescent="0.2">
      <c r="A103" s="21" t="s">
        <v>441</v>
      </c>
      <c r="B103" s="25" t="s">
        <v>379</v>
      </c>
      <c r="C103" s="26">
        <v>1</v>
      </c>
      <c r="D103" s="20" t="str">
        <f t="shared" si="5"/>
        <v>NODE_10_CHOICE_1_DESC</v>
      </c>
      <c r="E103" s="29" t="str">
        <f t="shared" si="4"/>
        <v>선택1</v>
      </c>
      <c r="F103" s="21"/>
    </row>
    <row r="104" spans="1:6" x14ac:dyDescent="0.2">
      <c r="A104" s="21" t="s">
        <v>441</v>
      </c>
      <c r="B104" s="25" t="s">
        <v>379</v>
      </c>
      <c r="C104" s="26">
        <v>2</v>
      </c>
      <c r="D104" s="20" t="str">
        <f t="shared" si="5"/>
        <v>NODE_10_CHOICE_2_DESC</v>
      </c>
      <c r="E104" s="29" t="str">
        <f t="shared" si="4"/>
        <v>선택2</v>
      </c>
      <c r="F104" s="21"/>
    </row>
    <row r="105" spans="1:6" x14ac:dyDescent="0.2">
      <c r="A105" s="21" t="s">
        <v>441</v>
      </c>
      <c r="B105" s="25" t="s">
        <v>382</v>
      </c>
      <c r="C105" s="26">
        <v>1</v>
      </c>
      <c r="D105" s="20" t="str">
        <f t="shared" si="5"/>
        <v>NODE_12B_CHOICE_1_DESC</v>
      </c>
      <c r="E105" s="29" t="str">
        <f t="shared" si="4"/>
        <v>선택1</v>
      </c>
      <c r="F105" s="21"/>
    </row>
    <row r="106" spans="1:6" x14ac:dyDescent="0.2">
      <c r="A106" s="21" t="s">
        <v>441</v>
      </c>
      <c r="B106" s="25" t="s">
        <v>382</v>
      </c>
      <c r="C106" s="26">
        <v>2</v>
      </c>
      <c r="D106" s="20" t="str">
        <f t="shared" si="5"/>
        <v>NODE_12B_CHOICE_2_DESC</v>
      </c>
      <c r="E106" s="29" t="str">
        <f t="shared" si="4"/>
        <v>선택2</v>
      </c>
      <c r="F106" s="21"/>
    </row>
    <row r="107" spans="1:6" x14ac:dyDescent="0.2">
      <c r="A107" s="21" t="s">
        <v>441</v>
      </c>
      <c r="B107" s="25" t="s">
        <v>384</v>
      </c>
      <c r="C107" s="26">
        <v>1</v>
      </c>
      <c r="D107" s="20" t="str">
        <f t="shared" si="5"/>
        <v>NODE_14_CHOICE_1_DESC</v>
      </c>
      <c r="E107" s="29" t="str">
        <f t="shared" si="4"/>
        <v>선택1</v>
      </c>
      <c r="F107" s="21"/>
    </row>
    <row r="108" spans="1:6" x14ac:dyDescent="0.2">
      <c r="A108" s="21" t="s">
        <v>441</v>
      </c>
      <c r="B108" s="25" t="s">
        <v>384</v>
      </c>
      <c r="C108" s="26">
        <v>2</v>
      </c>
      <c r="D108" s="20" t="str">
        <f t="shared" si="5"/>
        <v>NODE_14_CHOICE_2_DESC</v>
      </c>
      <c r="E108" s="29" t="str">
        <f t="shared" si="4"/>
        <v>선택2</v>
      </c>
      <c r="F108" s="21"/>
    </row>
    <row r="109" spans="1:6" x14ac:dyDescent="0.2">
      <c r="A109" s="21" t="s">
        <v>441</v>
      </c>
      <c r="B109" s="25" t="s">
        <v>385</v>
      </c>
      <c r="C109" s="26">
        <v>1</v>
      </c>
      <c r="D109" s="20" t="str">
        <f t="shared" si="5"/>
        <v>NODE_15_CHOICE_1_DESC</v>
      </c>
      <c r="E109" s="29" t="str">
        <f t="shared" si="4"/>
        <v>선택1</v>
      </c>
      <c r="F109" s="21"/>
    </row>
    <row r="110" spans="1:6" x14ac:dyDescent="0.2">
      <c r="A110" s="21" t="s">
        <v>441</v>
      </c>
      <c r="B110" s="25" t="s">
        <v>385</v>
      </c>
      <c r="C110" s="26">
        <v>2</v>
      </c>
      <c r="D110" s="20" t="str">
        <f t="shared" si="5"/>
        <v>NODE_15_CHOICE_2_DESC</v>
      </c>
      <c r="E110" s="29" t="str">
        <f t="shared" si="4"/>
        <v>선택2</v>
      </c>
      <c r="F110" s="21"/>
    </row>
    <row r="111" spans="1:6" x14ac:dyDescent="0.2">
      <c r="A111" s="21" t="s">
        <v>441</v>
      </c>
      <c r="B111" s="25" t="s">
        <v>386</v>
      </c>
      <c r="C111" s="26">
        <v>1</v>
      </c>
      <c r="D111" s="20" t="str">
        <f t="shared" si="5"/>
        <v>NODE_16_CHOICE_1_DESC</v>
      </c>
      <c r="E111" s="29" t="str">
        <f t="shared" si="4"/>
        <v>선택1</v>
      </c>
      <c r="F111" s="21"/>
    </row>
    <row r="112" spans="1:6" x14ac:dyDescent="0.2">
      <c r="A112" s="21" t="s">
        <v>441</v>
      </c>
      <c r="B112" s="25" t="s">
        <v>386</v>
      </c>
      <c r="C112" s="26">
        <v>2</v>
      </c>
      <c r="D112" s="20" t="str">
        <f t="shared" si="5"/>
        <v>NODE_16_CHOICE_2_DESC</v>
      </c>
      <c r="E112" s="29" t="str">
        <f t="shared" si="4"/>
        <v>선택2</v>
      </c>
      <c r="F112" s="21"/>
    </row>
    <row r="113" spans="1:6" x14ac:dyDescent="0.2">
      <c r="A113" s="21" t="s">
        <v>441</v>
      </c>
      <c r="B113" s="25" t="s">
        <v>390</v>
      </c>
      <c r="C113" s="26">
        <v>1</v>
      </c>
      <c r="D113" s="20" t="str">
        <f t="shared" si="5"/>
        <v>NODE_19B_CHOICE_1_DESC</v>
      </c>
      <c r="E113" s="29" t="str">
        <f t="shared" si="4"/>
        <v>선택1</v>
      </c>
      <c r="F113" s="21"/>
    </row>
    <row r="114" spans="1:6" x14ac:dyDescent="0.2">
      <c r="A114" s="21" t="s">
        <v>441</v>
      </c>
      <c r="B114" s="25" t="s">
        <v>390</v>
      </c>
      <c r="C114" s="26">
        <v>2</v>
      </c>
      <c r="D114" s="20" t="str">
        <f t="shared" si="5"/>
        <v>NODE_19B_CHOICE_2_DESC</v>
      </c>
      <c r="E114" s="29" t="str">
        <f t="shared" si="4"/>
        <v>선택2</v>
      </c>
      <c r="F114" s="21"/>
    </row>
    <row r="115" spans="1:6" x14ac:dyDescent="0.2">
      <c r="A115" s="21" t="s">
        <v>441</v>
      </c>
      <c r="B115" s="25" t="s">
        <v>393</v>
      </c>
      <c r="C115" s="26">
        <v>1</v>
      </c>
      <c r="D115" s="20" t="str">
        <f t="shared" si="5"/>
        <v>NODE_21B_CHOICE_1_DESC</v>
      </c>
      <c r="E115" s="29" t="str">
        <f t="shared" si="4"/>
        <v>선택1</v>
      </c>
      <c r="F115" s="21"/>
    </row>
    <row r="116" spans="1:6" x14ac:dyDescent="0.2">
      <c r="A116" s="21" t="s">
        <v>441</v>
      </c>
      <c r="B116" s="25" t="s">
        <v>393</v>
      </c>
      <c r="C116" s="26">
        <v>2</v>
      </c>
      <c r="D116" s="20" t="str">
        <f t="shared" si="5"/>
        <v>NODE_21B_CHOICE_2_DESC</v>
      </c>
      <c r="E116" s="29" t="str">
        <f t="shared" si="4"/>
        <v>선택2</v>
      </c>
      <c r="F116" s="21"/>
    </row>
    <row r="117" spans="1:6" x14ac:dyDescent="0.2">
      <c r="A117" s="21" t="s">
        <v>441</v>
      </c>
      <c r="B117" s="25" t="s">
        <v>399</v>
      </c>
      <c r="C117" s="26">
        <v>1</v>
      </c>
      <c r="D117" s="20" t="str">
        <f t="shared" si="5"/>
        <v>NODE_25_CHOICE_1_DESC</v>
      </c>
      <c r="E117" s="29" t="str">
        <f t="shared" si="4"/>
        <v>선택1</v>
      </c>
      <c r="F117" s="21"/>
    </row>
    <row r="118" spans="1:6" x14ac:dyDescent="0.2">
      <c r="A118" s="21" t="s">
        <v>441</v>
      </c>
      <c r="B118" s="25" t="s">
        <v>399</v>
      </c>
      <c r="C118" s="26">
        <v>2</v>
      </c>
      <c r="D118" s="20" t="str">
        <f t="shared" si="5"/>
        <v>NODE_25_CHOICE_2_DESC</v>
      </c>
      <c r="E118" s="29" t="str">
        <f t="shared" si="4"/>
        <v>선택2</v>
      </c>
      <c r="F118" s="2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Overview</vt:lpstr>
      <vt:lpstr>String</vt:lpstr>
      <vt:lpstr>String_Mission</vt:lpstr>
      <vt:lpstr>String_Hero</vt:lpstr>
      <vt:lpstr>String_Treasure</vt:lpstr>
      <vt:lpstr>String_ScenarioTalk</vt:lpstr>
      <vt:lpstr>String_Story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2026-07-08T10:14:07Z</dcterms:modified>
</cp:coreProperties>
</file>