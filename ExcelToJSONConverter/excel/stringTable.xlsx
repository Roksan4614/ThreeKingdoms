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619E4047-4440-425B-8060-E12B6404FF1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" i="3" l="1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48" i="5"/>
  <c r="E52" i="5"/>
  <c r="E51" i="5"/>
  <c r="E53" i="5"/>
  <c r="E54" i="5"/>
  <c r="E55" i="5"/>
  <c r="E56" i="5"/>
  <c r="E57" i="5"/>
  <c r="A35" i="5"/>
  <c r="C35" i="5" s="1"/>
  <c r="B35" i="5"/>
  <c r="A36" i="5"/>
  <c r="C36" i="5" s="1"/>
  <c r="B36" i="5"/>
  <c r="A37" i="5"/>
  <c r="B37" i="5"/>
  <c r="A38" i="5"/>
  <c r="B38" i="5"/>
  <c r="C38" i="5"/>
  <c r="A39" i="5"/>
  <c r="B39" i="5"/>
  <c r="C39" i="5"/>
  <c r="A40" i="5"/>
  <c r="B40" i="5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C40" i="5"/>
  <c r="A41" i="5"/>
  <c r="C41" i="5" s="1"/>
  <c r="E49" i="5"/>
  <c r="E37" i="5"/>
  <c r="E42" i="5"/>
  <c r="E46" i="5"/>
  <c r="E45" i="5"/>
  <c r="E44" i="5"/>
  <c r="E43" i="5"/>
  <c r="E40" i="5"/>
  <c r="E39" i="5"/>
  <c r="E35" i="5"/>
  <c r="E34" i="5"/>
  <c r="C34" i="5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70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37" i="5" l="1"/>
  <c r="A42" i="5"/>
  <c r="B12" i="6"/>
  <c r="B11" i="6"/>
  <c r="B10" i="6"/>
  <c r="B9" i="6"/>
  <c r="B8" i="6"/>
  <c r="B7" i="6"/>
  <c r="B6" i="6"/>
  <c r="B5" i="6"/>
  <c r="B4" i="6"/>
  <c r="B3" i="6"/>
  <c r="B33" i="5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C42" i="5" l="1"/>
  <c r="A43" i="5"/>
  <c r="A23" i="5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43" i="5" l="1"/>
  <c r="A44" i="5"/>
  <c r="C23" i="5"/>
  <c r="A24" i="5"/>
  <c r="A5" i="5"/>
  <c r="C5" i="5" s="1"/>
  <c r="C4" i="5"/>
  <c r="C44" i="5" l="1"/>
  <c r="A45" i="5"/>
  <c r="A25" i="5"/>
  <c r="C24" i="5"/>
  <c r="A6" i="5"/>
  <c r="C6" i="5" s="1"/>
  <c r="C45" i="5" l="1"/>
  <c r="A46" i="5"/>
  <c r="C25" i="5"/>
  <c r="A26" i="5"/>
  <c r="A7" i="5"/>
  <c r="C7" i="5" s="1"/>
  <c r="C46" i="5" l="1"/>
  <c r="A47" i="5"/>
  <c r="A27" i="5"/>
  <c r="C26" i="5"/>
  <c r="A8" i="5"/>
  <c r="C8" i="5" s="1"/>
  <c r="C47" i="5" l="1"/>
  <c r="A48" i="5"/>
  <c r="A28" i="5"/>
  <c r="C27" i="5"/>
  <c r="A9" i="5"/>
  <c r="C9" i="5" s="1"/>
  <c r="C48" i="5" l="1"/>
  <c r="A49" i="5"/>
  <c r="A29" i="5"/>
  <c r="C28" i="5"/>
  <c r="A10" i="5"/>
  <c r="C10" i="5" s="1"/>
  <c r="C49" i="5" l="1"/>
  <c r="A50" i="5"/>
  <c r="A30" i="5"/>
  <c r="C29" i="5"/>
  <c r="A11" i="5"/>
  <c r="A51" i="5" l="1"/>
  <c r="C50" i="5"/>
  <c r="A31" i="5"/>
  <c r="C30" i="5"/>
  <c r="A12" i="5"/>
  <c r="C11" i="5"/>
  <c r="A13" i="5"/>
  <c r="A52" i="5" l="1"/>
  <c r="C51" i="5"/>
  <c r="A32" i="5"/>
  <c r="C31" i="5"/>
  <c r="C13" i="5"/>
  <c r="A15" i="5"/>
  <c r="A14" i="5"/>
  <c r="C12" i="5"/>
  <c r="C32" i="5" l="1"/>
  <c r="A33" i="5"/>
  <c r="C33" i="5" s="1"/>
  <c r="A53" i="5"/>
  <c r="C52" i="5"/>
  <c r="C15" i="5"/>
  <c r="A17" i="5"/>
  <c r="C17" i="5" s="1"/>
  <c r="C14" i="5"/>
  <c r="A16" i="5"/>
  <c r="C53" i="5" l="1"/>
  <c r="A54" i="5"/>
  <c r="C16" i="5"/>
  <c r="A18" i="5"/>
  <c r="C18" i="5" s="1"/>
  <c r="C54" i="5" l="1"/>
  <c r="A55" i="5"/>
  <c r="A56" i="5" l="1"/>
  <c r="C55" i="5"/>
  <c r="C56" i="5" l="1"/>
  <c r="A57" i="5"/>
  <c r="C57" i="5" s="1"/>
</calcChain>
</file>

<file path=xl/sharedStrings.xml><?xml version="1.0" encoding="utf-8"?>
<sst xmlns="http://schemas.openxmlformats.org/spreadsheetml/2006/main" count="1041" uniqueCount="581">
  <si>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</si>
  <si>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</si>
  <si>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</si>
  <si>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</si>
  <si>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</si>
  <si>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</si>
  <si>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</si>
  <si>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</si>
  <si>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</si>
  <si>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</si>
  <si>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</si>
  <si>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</si>
  <si>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</si>
  <si>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</si>
  <si>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</si>
  <si>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</si>
  <si>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</si>
  <si>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</si>
  <si>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</si>
  <si>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</si>
  <si>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</si>
  <si>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</si>
  <si>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</si>
  <si>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</si>
  <si>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</si>
  <si>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</si>
  <si>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</si>
  <si>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</si>
  <si>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</si>
  <si>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</si>
  <si>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</si>
  <si>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</si>
  <si>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</si>
  <si>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</si>
  <si>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</si>
  <si>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</si>
  <si>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</si>
  <si>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</si>
  <si>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</si>
  <si>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</si>
  <si>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</si>
  <si>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</si>
  <si>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</si>
  <si>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</si>
  <si>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</si>
  <si>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</si>
  <si>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</si>
  <si>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</si>
  <si>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</si>
  <si>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</si>
  <si>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</si>
  <si>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</si>
  <si>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</si>
  <si>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</si>
  <si>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</si>
  <si>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</si>
  <si>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</si>
  <si>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</si>
  <si>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</si>
  <si>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</si>
  <si>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</si>
  <si>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</si>
  <si>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</si>
  <si>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</si>
  <si>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</si>
  <si>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</si>
  <si>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</si>
  <si>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</si>
  <si>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</si>
  <si>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</si>
  <si>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</si>
  <si>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</si>
  <si>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</si>
  <si>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</si>
  <si>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</si>
  <si>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</si>
  <si>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</si>
  <si>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</si>
  <si>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</si>
  <si>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</si>
  <si>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</si>
  <si>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</si>
  <si>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</si>
  <si>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</si>
  <si>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</si>
  <si>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</si>
  <si>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</si>
  <si>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</si>
  <si>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</si>
  <si>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</si>
  <si>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</si>
  <si>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</si>
  <si>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</si>
  <si>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</si>
  <si>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</si>
  <si>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</si>
  <si>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</si>
  <si>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</si>
  <si>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</si>
  <si>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</si>
  <si>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</si>
  <si>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</si>
  <si>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</si>
  <si>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</si>
  <si>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</si>
  <si>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</si>
  <si>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</si>
  <si>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</si>
  <si>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</si>
  <si>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</si>
  <si>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</si>
  <si>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</si>
  <si>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</si>
  <si>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</si>
  <si>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</si>
  <si>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</si>
  <si>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</si>
  <si>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</si>
  <si>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</si>
  <si>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</si>
  <si>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</si>
  <si>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</si>
  <si>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</si>
  <si>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</si>
  <si>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</si>
  <si>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</si>
  <si>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</si>
  <si>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</si>
  <si>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</si>
  <si>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</si>
  <si>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</si>
  <si>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</si>
  <si>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</si>
  <si>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</si>
  <si>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</si>
  <si>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</si>
  <si>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</si>
  <si>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</si>
  <si>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</si>
  <si>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</si>
  <si>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</si>
  <si>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</si>
  <si>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</si>
  <si>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</si>
  <si>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</si>
  <si>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</si>
  <si>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</si>
  <si>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</si>
  <si>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</si>
  <si>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</si>
  <si>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</si>
  <si>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</si>
  <si>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</si>
  <si>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</si>
  <si>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</si>
  <si>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</si>
  <si>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</si>
  <si>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</si>
  <si>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</si>
  <si>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</si>
  <si>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</si>
  <si>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</si>
  <si>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</si>
  <si>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</si>
  <si>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</si>
  <si>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</si>
  <si>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</si>
  <si>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</si>
  <si>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</si>
  <si>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</si>
  <si>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</si>
  <si>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</si>
  <si>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</si>
  <si>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</si>
  <si>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</si>
  <si>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</si>
  <si>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</si>
  <si>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</si>
  <si>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</si>
  <si>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</si>
  <si>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</si>
  <si>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</si>
  <si>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</si>
  <si>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</si>
  <si>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</si>
  <si>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</si>
  <si>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</si>
  <si>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</si>
  <si>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</si>
  <si>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</si>
  <si>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</si>
  <si>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</si>
  <si>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</si>
  <si>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</si>
  <si>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</si>
  <si>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</si>
  <si>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</si>
  <si>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</si>
  <si>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</si>
  <si>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</si>
  <si>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</si>
  <si>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</si>
  <si>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</si>
  <si>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</si>
  <si>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</si>
  <si>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</si>
  <si>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</si>
  <si>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</si>
  <si>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</si>
  <si>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</si>
  <si>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</si>
  <si>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</si>
  <si>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</si>
  <si>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</si>
  <si>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</si>
  <si>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</si>
  <si>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</si>
  <si>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</si>
  <si>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</si>
  <si>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</si>
  <si>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</si>
  <si>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</si>
  <si>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</si>
  <si>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</si>
  <si>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</si>
  <si>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</si>
  <si>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</si>
  <si>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</si>
  <si>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</si>
  <si>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</si>
  <si>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</si>
  <si>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</si>
  <si>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</si>
  <si>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</si>
  <si>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</si>
  <si>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</si>
  <si>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</si>
  <si>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</si>
  <si>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</si>
  <si>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</si>
  <si>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</si>
  <si>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</si>
  <si>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</si>
  <si>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</si>
  <si>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</si>
  <si>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</si>
  <si>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</si>
  <si>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</si>
  <si>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</si>
  <si>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</si>
  <si>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</si>
  <si>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</si>
  <si>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</si>
  <si>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</si>
  <si>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</si>
  <si>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</si>
  <si>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</si>
  <si>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</si>
  <si>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</si>
  <si>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</si>
  <si>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</si>
  <si>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</si>
  <si>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</si>
  <si>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</si>
  <si>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</si>
  <si>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</si>
  <si>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</si>
  <si>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</si>
  <si>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</si>
  <si>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</si>
  <si>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</si>
  <si>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</si>
  <si>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</si>
  <si>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</si>
  <si>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</si>
  <si>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</si>
  <si>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</si>
  <si>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</si>
  <si>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</si>
  <si>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</si>
  <si>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</si>
  <si>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</si>
  <si>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</si>
  <si>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</si>
  <si>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</si>
  <si>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</si>
  <si>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</si>
  <si>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</si>
  <si>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</si>
  <si>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</si>
  <si>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</si>
  <si>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</si>
  <si>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</si>
  <si>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</si>
  <si>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</si>
  <si>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</si>
  <si>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</si>
  <si>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</si>
  <si>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</si>
  <si>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</si>
  <si>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</si>
  <si>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</si>
  <si>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</si>
  <si>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</si>
  <si>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</si>
  <si>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</si>
  <si>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</si>
  <si>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</si>
  <si>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</si>
  <si>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</si>
  <si>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</si>
  <si>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</si>
  <si>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</si>
  <si>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</si>
  <si>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</si>
  <si>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</si>
  <si>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</si>
  <si>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</si>
  <si>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</si>
  <si>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</si>
  <si>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</si>
  <si>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</si>
  <si>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</si>
  <si>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</si>
  <si>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</si>
  <si>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</si>
  <si>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</si>
  <si>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</si>
  <si>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</si>
  <si>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</si>
  <si>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</si>
  <si>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</si>
  <si>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</si>
  <si>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</si>
  <si>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</si>
  <si>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</si>
  <si>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</si>
  <si>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</si>
  <si>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</si>
  <si>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</si>
  <si>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</si>
  <si>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</si>
  <si>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</si>
  <si>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</si>
  <si>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</si>
  <si>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</si>
  <si>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</si>
  <si>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</si>
  <si>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</si>
  <si>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</si>
  <si>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</si>
  <si>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</si>
  <si>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</si>
  <si>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</si>
  <si>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</si>
  <si>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</si>
  <si>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</si>
  <si>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</si>
  <si>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</si>
  <si>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</si>
  <si>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</si>
  <si>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</si>
  <si>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</si>
  <si>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</si>
  <si>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</si>
  <si>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</si>
  <si>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</si>
  <si>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</si>
  <si>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</si>
  <si>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</si>
  <si>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</si>
  <si>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</si>
  <si>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</si>
  <si>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</si>
  <si>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</si>
  <si>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</si>
  <si>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</si>
  <si>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</si>
  <si>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강동의 미주랑</t>
  </si>
  <si>
    <t>칠척극</t>
  </si>
  <si>
    <t>헌제 옹립</t>
  </si>
  <si>
    <t>백호 사냥 A</t>
  </si>
  <si>
    <t>백호 사냥 B</t>
  </si>
  <si>
    <t>청매자주논영웅</t>
  </si>
  <si>
    <t>용의 산책</t>
  </si>
  <si>
    <t>의의 갈림길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</si>
  <si>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</si>
  <si>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</si>
  <si>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</si>
  <si>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</si>
  <si>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</si>
  <si>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</si>
  <si>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</si>
  <si>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</si>
  <si>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</si>
  <si>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</si>
  <si>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</si>
  <si>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</si>
  <si>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</si>
  <si>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백발의 명궁</t>
  </si>
  <si>
    <t>의의 갈림길 2</t>
  </si>
  <si>
    <t>의의 갈림길 3</t>
  </si>
  <si>
    <t>의의 갈림길 4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</si>
  <si>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</si>
  <si>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</si>
  <si>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</si>
  <si>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</si>
  <si>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</si>
  <si>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REGION_NAME_FULL_ALL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</si>
  <si>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</si>
  <si>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</si>
  <si>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</si>
  <si>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</si>
  <si>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"외사는 주유에게, 내사는 장소에게 물어라"</t>
  </si>
  <si>
    <t>"나는 상산 진정 사람으로 성은 조요 이름은 운이며 자는 자룡이라"</t>
  </si>
  <si>
    <t>"십승십패로 원본초를 무너뜨리리"</t>
  </si>
  <si>
    <t>"오직 봉효만이 내 뜻을 아나니"</t>
  </si>
  <si>
    <t>"와룡과 봉추, 둘 중 하나만 얻어도 천하를 안정시키리"</t>
  </si>
  <si>
    <t>"나는 상산의 조자룡이다"</t>
  </si>
  <si>
    <t>"필마단기로 주인을 구하다"</t>
  </si>
  <si>
    <t>"기적적으로 사지를 벗어나 조운과 함께 돌아온 두 부인과 아두"</t>
  </si>
  <si>
    <t>"공명과 주유의 날카로운 도발, 강동의 젊은 호랑이가 보검을 뽑아 들다"</t>
  </si>
  <si>
    <t>"뜻밖의 동맹 엄백호의 외침, 동오 전체의 의기가 하나로 모이다"</t>
  </si>
  <si>
    <t>"오판이 부른 지옥의 동풍, 장강을 덮은 백만 대군의 비명"</t>
  </si>
  <si>
    <t>"화공의 덫을 꿰뚫은 혜안, 불타는 불길 속 사선을 뚫어내다"</t>
  </si>
  <si>
    <t>"목숨을 빚진 자와 목숨을 구걸하는 자, 의리로 통곡하다"</t>
  </si>
  <si>
    <t>"나이는 숫자에 불과하니, 시위를 당겨 천하를 꿰뚫다"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</si>
  <si>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</si>
  <si>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</si>
  <si>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</si>
  <si>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</si>
  <si>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</si>
  <si>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</si>
  <si>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</si>
  <si>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</si>
  <si>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</si>
  <si>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</si>
  <si>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</si>
  <si>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</si>
  <si>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</si>
  <si>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</si>
  <si>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</si>
  <si>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</si>
  <si>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</si>
  <si>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</si>
  <si>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</si>
  <si>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</si>
  <si>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</si>
  <si>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</si>
  <si>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</si>
  <si>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</si>
  <si>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</si>
  <si>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</si>
  <si>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</si>
  <si>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</si>
  <si>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</si>
  <si>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</si>
  <si>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</si>
  <si>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</si>
  <si>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</si>
  <si>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</si>
  <si>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</si>
  <si>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걱정마라 아만! 내가 있는데 뭐가 걱정인게야 캬캬캬!</t>
    <phoneticPr fontId="1" type="noConversion"/>
  </si>
  <si>
    <t>하후연</t>
    <phoneticPr fontId="1" type="noConversion"/>
  </si>
  <si>
    <t>형님 때문에 더 걱정입니다. 저번에도 혼자 돌격하시고.</t>
    <phoneticPr fontId="1" type="noConversion"/>
  </si>
  <si>
    <t>이 난세를 헤쳐 나가려면 힘을 키워야 한다.</t>
    <phoneticPr fontId="1" type="noConversion"/>
  </si>
  <si>
    <t>뒤에서 활이나 쏘는 주제에 말이 많구나ㅋㅋ</t>
    <phoneticPr fontId="1" type="noConversion"/>
  </si>
  <si>
    <t>하하하!! 맹덕 형님! 나 자효가 왔습니다!!</t>
    <phoneticPr fontId="1" type="noConversion"/>
  </si>
  <si>
    <t>형님, 사적인 정은 이제 접어두겠소.</t>
    <phoneticPr fontId="1" type="noConversion"/>
  </si>
  <si>
    <t>오늘부로 저와 제 군사는 오직 주공의 명만을 따를 것이니, 부디 천하를 바로잡아 주십시오!</t>
    <phoneticPr fontId="1" type="noConversion"/>
  </si>
  <si>
    <t>일어나시게ㅋ 이제 곧 큰 싸움이 일어날텐데, 자효 그대의 활약을 기대하겠네.</t>
    <phoneticPr fontId="1" type="noConversion"/>
  </si>
  <si>
    <t>주공!!</t>
    <phoneticPr fontId="1" type="noConversion"/>
  </si>
  <si>
    <t>오오, 자효!! 이렇게 와주니 정말 고맙구만!!</t>
    <phoneticPr fontId="1" type="noConversion"/>
  </si>
  <si>
    <t>뭐야ㅋㅋ 자효잖아?ㅋ</t>
    <phoneticPr fontId="1" type="noConversion"/>
  </si>
  <si>
    <t>NODE_2</t>
    <phoneticPr fontId="1" type="noConversion"/>
  </si>
  <si>
    <t>주공! 성 밖에 1000여명 되는 무리들이 이 쪽을 향해 오고 있습니다!</t>
    <phoneticPr fontId="1" type="noConversion"/>
  </si>
  <si>
    <t>대장!! 조조님이 드디어 거병하셨답니다!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</si>
  <si>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</si>
  <si>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</si>
  <si>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</si>
  <si>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</si>
  <si>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좋다!! 우리도 가서 힘을 보태자.\n너희들도 나를 따라오너라!</t>
    <phoneticPr fontId="1" type="noConversion"/>
  </si>
  <si>
    <t>호오..</t>
    <phoneticPr fontId="1" type="noConversion"/>
  </si>
  <si>
    <t>야야 가만히 있지만 말고 니들도 나가서...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</si>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</sst>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5"/>
  <sheetViews>
    <sheetView topLeftCell="A36" workbookViewId="0">
      <selection activeCell="A42" sqref="A42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117</v>
      </c>
      <c r="B3" t="s">
        <v>118</v>
      </c>
    </row>
    <row r="4" spans="1:3" x14ac:dyDescent="0.3">
      <c r="A4" t="s">
        <v>120</v>
      </c>
      <c r="B4" s="3" t="s">
        <v>129</v>
      </c>
    </row>
    <row r="5" spans="1:3" x14ac:dyDescent="0.3">
      <c r="A5" t="s">
        <v>127</v>
      </c>
      <c r="B5" s="3" t="s">
        <v>136</v>
      </c>
    </row>
    <row r="6" spans="1:3" x14ac:dyDescent="0.3">
      <c r="A6" t="s">
        <v>125</v>
      </c>
      <c r="B6" s="3" t="s">
        <v>134</v>
      </c>
    </row>
    <row r="7" spans="1:3" x14ac:dyDescent="0.3">
      <c r="A7" t="s">
        <v>126</v>
      </c>
      <c r="B7" s="3" t="s">
        <v>135</v>
      </c>
    </row>
    <row r="8" spans="1:3" x14ac:dyDescent="0.3">
      <c r="A8" t="s">
        <v>124</v>
      </c>
      <c r="B8" s="3" t="s">
        <v>133</v>
      </c>
    </row>
    <row r="9" spans="1:3" x14ac:dyDescent="0.3">
      <c r="A9" t="s">
        <v>119</v>
      </c>
      <c r="B9" s="3" t="s">
        <v>128</v>
      </c>
    </row>
    <row r="10" spans="1:3" x14ac:dyDescent="0.3">
      <c r="A10" t="s">
        <v>121</v>
      </c>
      <c r="B10" s="3" t="s">
        <v>130</v>
      </c>
    </row>
    <row r="11" spans="1:3" x14ac:dyDescent="0.3">
      <c r="A11" t="s">
        <v>123</v>
      </c>
      <c r="B11" s="3" t="s">
        <v>132</v>
      </c>
    </row>
    <row r="12" spans="1:3" x14ac:dyDescent="0.3">
      <c r="A12" t="s">
        <v>122</v>
      </c>
      <c r="B12" s="3" t="s">
        <v>131</v>
      </c>
    </row>
    <row r="13" spans="1:3" x14ac:dyDescent="0.3">
      <c r="A13" t="s">
        <v>148</v>
      </c>
      <c r="B13" s="3" t="s">
        <v>157</v>
      </c>
    </row>
    <row r="14" spans="1:3" x14ac:dyDescent="0.3">
      <c r="A14" t="s">
        <v>152</v>
      </c>
      <c r="B14" t="s">
        <v>153</v>
      </c>
    </row>
    <row r="15" spans="1:3" x14ac:dyDescent="0.3">
      <c r="A15" t="s">
        <v>149</v>
      </c>
      <c r="B15" s="3" t="s">
        <v>156</v>
      </c>
    </row>
    <row r="16" spans="1:3" x14ac:dyDescent="0.3">
      <c r="A16" t="s">
        <v>151</v>
      </c>
      <c r="B16" t="s">
        <v>154</v>
      </c>
    </row>
    <row r="17" spans="1:2" x14ac:dyDescent="0.3">
      <c r="A17" t="s">
        <v>150</v>
      </c>
      <c r="B17" t="s">
        <v>155</v>
      </c>
    </row>
    <row r="18" spans="1:2" x14ac:dyDescent="0.3">
      <c r="A18" t="s">
        <v>147</v>
      </c>
      <c r="B18" s="3" t="s">
        <v>158</v>
      </c>
    </row>
    <row r="19" spans="1:2" x14ac:dyDescent="0.3">
      <c r="A19" t="s">
        <v>140</v>
      </c>
      <c r="B19" s="3" t="s">
        <v>145</v>
      </c>
    </row>
    <row r="20" spans="1:2" x14ac:dyDescent="0.3">
      <c r="A20" t="s">
        <v>146</v>
      </c>
      <c r="B20" s="3" t="s">
        <v>143</v>
      </c>
    </row>
    <row r="21" spans="1:2" x14ac:dyDescent="0.3">
      <c r="A21" t="s">
        <v>137</v>
      </c>
      <c r="B21" s="3" t="s">
        <v>141</v>
      </c>
    </row>
    <row r="22" spans="1:2" x14ac:dyDescent="0.3">
      <c r="A22" t="s">
        <v>139</v>
      </c>
      <c r="B22" s="3" t="s">
        <v>144</v>
      </c>
    </row>
    <row r="23" spans="1:2" x14ac:dyDescent="0.3">
      <c r="A23" t="s">
        <v>138</v>
      </c>
      <c r="B23" s="3" t="s">
        <v>142</v>
      </c>
    </row>
    <row r="24" spans="1:2" x14ac:dyDescent="0.3">
      <c r="A24" s="17" t="s">
        <v>188</v>
      </c>
      <c r="B24" s="17" t="s">
        <v>180</v>
      </c>
    </row>
    <row r="25" spans="1:2" x14ac:dyDescent="0.3">
      <c r="A25" s="17" t="s">
        <v>189</v>
      </c>
      <c r="B25" s="17" t="s">
        <v>181</v>
      </c>
    </row>
    <row r="26" spans="1:2" x14ac:dyDescent="0.3">
      <c r="A26" s="17" t="s">
        <v>190</v>
      </c>
      <c r="B26" s="17" t="s">
        <v>182</v>
      </c>
    </row>
    <row r="27" spans="1:2" x14ac:dyDescent="0.3">
      <c r="A27" s="17" t="s">
        <v>191</v>
      </c>
      <c r="B27" s="17" t="s">
        <v>183</v>
      </c>
    </row>
    <row r="28" spans="1:2" x14ac:dyDescent="0.3">
      <c r="A28" s="17" t="s">
        <v>187</v>
      </c>
      <c r="B28" s="17" t="s">
        <v>75</v>
      </c>
    </row>
    <row r="29" spans="1:2" x14ac:dyDescent="0.3">
      <c r="A29" t="s">
        <v>76</v>
      </c>
      <c r="B29" s="3" t="s">
        <v>77</v>
      </c>
    </row>
    <row r="30" spans="1:2" x14ac:dyDescent="0.3">
      <c r="A30" t="s">
        <v>78</v>
      </c>
      <c r="B30" s="3" t="s">
        <v>81</v>
      </c>
    </row>
    <row r="31" spans="1:2" x14ac:dyDescent="0.3">
      <c r="A31" t="s">
        <v>79</v>
      </c>
      <c r="B31" s="3" t="s">
        <v>80</v>
      </c>
    </row>
    <row r="32" spans="1:2" x14ac:dyDescent="0.3">
      <c r="A32" t="s">
        <v>82</v>
      </c>
      <c r="B32" s="3" t="s">
        <v>83</v>
      </c>
    </row>
    <row r="33" spans="1:3" x14ac:dyDescent="0.3">
      <c r="A33" t="s">
        <v>74</v>
      </c>
      <c r="B33" s="3" t="s">
        <v>75</v>
      </c>
    </row>
    <row r="34" spans="1:3" x14ac:dyDescent="0.3">
      <c r="A34" t="s">
        <v>185</v>
      </c>
      <c r="B34" t="s">
        <v>108</v>
      </c>
    </row>
    <row r="35" spans="1:3" x14ac:dyDescent="0.3">
      <c r="A35" t="s">
        <v>105</v>
      </c>
      <c r="B35" t="s">
        <v>106</v>
      </c>
    </row>
    <row r="36" spans="1:3" x14ac:dyDescent="0.3">
      <c r="A36" t="s">
        <v>184</v>
      </c>
      <c r="B36" t="s">
        <v>110</v>
      </c>
    </row>
    <row r="37" spans="1:3" x14ac:dyDescent="0.3">
      <c r="A37" t="s">
        <v>111</v>
      </c>
      <c r="B37" t="s">
        <v>107</v>
      </c>
    </row>
    <row r="38" spans="1:3" x14ac:dyDescent="0.3">
      <c r="A38" t="s">
        <v>186</v>
      </c>
      <c r="B38" t="s">
        <v>109</v>
      </c>
    </row>
    <row r="39" spans="1:3" x14ac:dyDescent="0.3">
      <c r="A39" t="s">
        <v>53</v>
      </c>
      <c r="B39" s="3" t="s">
        <v>54</v>
      </c>
      <c r="C39" s="3"/>
    </row>
    <row r="40" spans="1:3" x14ac:dyDescent="0.3">
      <c r="A40" t="s">
        <v>198</v>
      </c>
      <c r="B40" t="s">
        <v>199</v>
      </c>
    </row>
    <row r="41" spans="1:3" x14ac:dyDescent="0.3">
      <c r="A41" t="s">
        <v>408</v>
      </c>
      <c r="B41" t="s">
        <v>409</v>
      </c>
    </row>
    <row r="42" spans="1:3" x14ac:dyDescent="0.3">
      <c r="A42" t="s">
        <v>301</v>
      </c>
      <c r="B42" t="s">
        <v>297</v>
      </c>
    </row>
    <row r="43" spans="1:3" x14ac:dyDescent="0.3">
      <c r="A43" t="s">
        <v>299</v>
      </c>
      <c r="B43" t="s">
        <v>295</v>
      </c>
    </row>
    <row r="44" spans="1:3" x14ac:dyDescent="0.3">
      <c r="A44" t="s">
        <v>298</v>
      </c>
      <c r="B44" t="s">
        <v>294</v>
      </c>
    </row>
    <row r="45" spans="1:3" x14ac:dyDescent="0.3">
      <c r="A45" t="s">
        <v>300</v>
      </c>
      <c r="B45" t="s">
        <v>296</v>
      </c>
    </row>
    <row r="46" spans="1:3" x14ac:dyDescent="0.3">
      <c r="A46" t="s">
        <v>197</v>
      </c>
      <c r="B46" t="s">
        <v>193</v>
      </c>
    </row>
    <row r="47" spans="1:3" x14ac:dyDescent="0.3">
      <c r="A47" t="s">
        <v>195</v>
      </c>
      <c r="B47" t="s">
        <v>192</v>
      </c>
    </row>
    <row r="48" spans="1:3" x14ac:dyDescent="0.3">
      <c r="A48" t="s">
        <v>196</v>
      </c>
      <c r="B48" t="s">
        <v>194</v>
      </c>
    </row>
    <row r="49" spans="1:3" x14ac:dyDescent="0.3">
      <c r="A49" t="s">
        <v>320</v>
      </c>
      <c r="B49" t="s">
        <v>326</v>
      </c>
      <c r="C49" t="s">
        <v>333</v>
      </c>
    </row>
    <row r="50" spans="1:3" x14ac:dyDescent="0.3">
      <c r="A50" t="s">
        <v>316</v>
      </c>
      <c r="B50" t="s">
        <v>315</v>
      </c>
      <c r="C50" t="s">
        <v>329</v>
      </c>
    </row>
    <row r="51" spans="1:3" x14ac:dyDescent="0.3">
      <c r="A51" t="s">
        <v>321</v>
      </c>
      <c r="B51" t="s">
        <v>327</v>
      </c>
      <c r="C51" t="s">
        <v>334</v>
      </c>
    </row>
    <row r="52" spans="1:3" x14ac:dyDescent="0.3">
      <c r="A52" t="s">
        <v>322</v>
      </c>
      <c r="B52" t="s">
        <v>328</v>
      </c>
      <c r="C52" t="s">
        <v>335</v>
      </c>
    </row>
    <row r="53" spans="1:3" x14ac:dyDescent="0.3">
      <c r="A53" t="s">
        <v>319</v>
      </c>
      <c r="B53" t="s">
        <v>325</v>
      </c>
      <c r="C53" t="s">
        <v>332</v>
      </c>
    </row>
    <row r="54" spans="1:3" x14ac:dyDescent="0.3">
      <c r="A54" t="s">
        <v>317</v>
      </c>
      <c r="B54" t="s">
        <v>323</v>
      </c>
      <c r="C54" t="s">
        <v>330</v>
      </c>
    </row>
    <row r="55" spans="1:3" x14ac:dyDescent="0.3">
      <c r="A55" t="s">
        <v>318</v>
      </c>
      <c r="B55" t="s">
        <v>324</v>
      </c>
      <c r="C55" t="s">
        <v>331</v>
      </c>
    </row>
  </sheetData>
  <sortState xmlns:xlrd2="http://schemas.microsoft.com/office/spreadsheetml/2017/richdata2" ref="A3:C54">
    <sortCondition ref="A2:A5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159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160</v>
      </c>
      <c r="B3" s="17" t="str">
        <f>UPPER(A3)&amp;"_TITLE"</f>
        <v>MILITARY_TRAINING_TITLE</v>
      </c>
      <c r="C3" s="16" t="s">
        <v>170</v>
      </c>
      <c r="D3" s="18"/>
    </row>
    <row r="4" spans="1:4" x14ac:dyDescent="0.3">
      <c r="A4" s="16" t="s">
        <v>161</v>
      </c>
      <c r="B4" s="17" t="str">
        <f t="shared" ref="B4:B12" si="0">UPPER(A4)&amp;"_TITLE"</f>
        <v>RALLY_REMNANTS_TITLE</v>
      </c>
      <c r="C4" s="16" t="s">
        <v>171</v>
      </c>
      <c r="D4" s="18"/>
    </row>
    <row r="5" spans="1:4" x14ac:dyDescent="0.3">
      <c r="A5" s="16" t="s">
        <v>162</v>
      </c>
      <c r="B5" s="17" t="str">
        <f t="shared" si="0"/>
        <v>BANDIT_SUBJUGATION_TITLE</v>
      </c>
      <c r="C5" s="16" t="s">
        <v>172</v>
      </c>
      <c r="D5" s="18"/>
    </row>
    <row r="6" spans="1:4" x14ac:dyDescent="0.3">
      <c r="A6" s="16" t="s">
        <v>163</v>
      </c>
      <c r="B6" s="17" t="str">
        <f t="shared" si="0"/>
        <v>BORDER_DEFENSE_TITLE</v>
      </c>
      <c r="C6" s="16" t="s">
        <v>173</v>
      </c>
      <c r="D6" s="18"/>
    </row>
    <row r="7" spans="1:4" x14ac:dyDescent="0.3">
      <c r="A7" s="16" t="s">
        <v>164</v>
      </c>
      <c r="B7" s="17" t="str">
        <f t="shared" si="0"/>
        <v>TAX_REFORM_TITLE</v>
      </c>
      <c r="C7" s="16" t="s">
        <v>174</v>
      </c>
      <c r="D7" s="18"/>
    </row>
    <row r="8" spans="1:4" x14ac:dyDescent="0.3">
      <c r="A8" s="16" t="s">
        <v>165</v>
      </c>
      <c r="B8" s="17" t="str">
        <f t="shared" si="0"/>
        <v>FOREIGN_DIPLOMACY_TITLE</v>
      </c>
      <c r="C8" s="16" t="s">
        <v>175</v>
      </c>
      <c r="D8" s="18"/>
    </row>
    <row r="9" spans="1:4" x14ac:dyDescent="0.3">
      <c r="A9" s="16" t="s">
        <v>166</v>
      </c>
      <c r="B9" s="17" t="str">
        <f t="shared" si="0"/>
        <v>ENEMY_INTELLIGENCE_TITLE</v>
      </c>
      <c r="C9" s="16" t="s">
        <v>176</v>
      </c>
      <c r="D9" s="18"/>
    </row>
    <row r="10" spans="1:4" x14ac:dyDescent="0.3">
      <c r="A10" s="16" t="s">
        <v>167</v>
      </c>
      <c r="B10" s="17" t="str">
        <f t="shared" si="0"/>
        <v>TACTICS_RESEARCH_TITLE</v>
      </c>
      <c r="C10" s="16" t="s">
        <v>177</v>
      </c>
      <c r="D10" s="18"/>
    </row>
    <row r="11" spans="1:4" x14ac:dyDescent="0.3">
      <c r="A11" s="16" t="s">
        <v>168</v>
      </c>
      <c r="B11" s="17" t="str">
        <f t="shared" si="0"/>
        <v>REFUGEE_PERSUASION_TITLE</v>
      </c>
      <c r="C11" s="16" t="s">
        <v>178</v>
      </c>
      <c r="D11" s="18"/>
    </row>
    <row r="12" spans="1:4" x14ac:dyDescent="0.3">
      <c r="A12" s="16" t="s">
        <v>169</v>
      </c>
      <c r="B12" s="17" t="str">
        <f t="shared" si="0"/>
        <v>RECRUIT_TALENT_TITLE</v>
      </c>
      <c r="C12" s="16" t="s">
        <v>179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6"/>
  <sheetViews>
    <sheetView tabSelected="1" workbookViewId="0">
      <selection activeCell="D19" sqref="D19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517</v>
      </c>
      <c r="B1" s="1" t="s">
        <v>55</v>
      </c>
      <c r="C1" s="1" t="s">
        <v>512</v>
      </c>
      <c r="D1" s="1" t="s">
        <v>3</v>
      </c>
      <c r="E1" s="2" t="s">
        <v>0</v>
      </c>
      <c r="F1" s="2" t="s">
        <v>1</v>
      </c>
      <c r="G1" s="1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2"/>
    </row>
    <row r="3" spans="1:7" x14ac:dyDescent="0.3">
      <c r="D3" t="s">
        <v>29</v>
      </c>
      <c r="E3" s="3" t="s">
        <v>27</v>
      </c>
      <c r="F3" s="3" t="s">
        <v>24</v>
      </c>
    </row>
    <row r="4" spans="1:7" x14ac:dyDescent="0.3">
      <c r="D4" t="s">
        <v>116</v>
      </c>
      <c r="E4" s="3" t="s">
        <v>18</v>
      </c>
      <c r="F4" s="3" t="s">
        <v>19</v>
      </c>
    </row>
    <row r="5" spans="1:7" x14ac:dyDescent="0.3">
      <c r="D5" t="s">
        <v>115</v>
      </c>
      <c r="E5" s="3" t="s">
        <v>28</v>
      </c>
      <c r="F5" s="3" t="s">
        <v>23</v>
      </c>
    </row>
    <row r="6" spans="1:7" x14ac:dyDescent="0.3">
      <c r="D6" t="s">
        <v>15</v>
      </c>
      <c r="E6" s="3" t="s">
        <v>16</v>
      </c>
      <c r="F6" s="3" t="s">
        <v>17</v>
      </c>
    </row>
    <row r="7" spans="1:7" x14ac:dyDescent="0.3">
      <c r="D7" t="s">
        <v>30</v>
      </c>
      <c r="E7" s="3" t="s">
        <v>26</v>
      </c>
      <c r="F7" s="3" t="s">
        <v>25</v>
      </c>
    </row>
    <row r="8" spans="1:7" x14ac:dyDescent="0.3">
      <c r="D8" t="s">
        <v>20</v>
      </c>
      <c r="E8" s="3" t="s">
        <v>21</v>
      </c>
      <c r="F8" s="3" t="s">
        <v>22</v>
      </c>
    </row>
    <row r="9" spans="1:7" x14ac:dyDescent="0.3">
      <c r="A9" t="s">
        <v>546</v>
      </c>
      <c r="B9" s="3" t="s">
        <v>292</v>
      </c>
      <c r="C9" s="3" t="s">
        <v>516</v>
      </c>
      <c r="D9" t="str">
        <f>UPPER(A9)&amp;"_"&amp;UPPER(C9)&amp;"_"&amp;UPPER(B9)</f>
        <v>COURTESY_ETC_LUBU</v>
      </c>
      <c r="E9" s="3" t="s">
        <v>293</v>
      </c>
      <c r="F9" s="3" t="s">
        <v>574</v>
      </c>
    </row>
    <row r="10" spans="1:7" x14ac:dyDescent="0.3">
      <c r="A10" t="s">
        <v>546</v>
      </c>
      <c r="B10" s="3" t="s">
        <v>8</v>
      </c>
      <c r="C10" s="3" t="s">
        <v>513</v>
      </c>
      <c r="D10" t="str">
        <f>UPPER(A10)&amp;"_"&amp;UPPER(C10)&amp;"_"&amp;UPPER(B10)</f>
        <v>COURTESY_SHU_GUANYU</v>
      </c>
      <c r="E10" s="3" t="s">
        <v>32</v>
      </c>
      <c r="F10" s="3" t="s">
        <v>575</v>
      </c>
    </row>
    <row r="11" spans="1:7" x14ac:dyDescent="0.3">
      <c r="A11" t="s">
        <v>546</v>
      </c>
      <c r="B11" t="s">
        <v>497</v>
      </c>
      <c r="C11" s="3" t="s">
        <v>513</v>
      </c>
      <c r="D11" t="str">
        <f>UPPER(A11)&amp;"_"&amp;UPPER(C11)&amp;"_"&amp;UPPER(B11)</f>
        <v>COURTESY_SHU_HUANGZHONG</v>
      </c>
      <c r="E11" s="3" t="s">
        <v>547</v>
      </c>
      <c r="F11" s="3" t="s">
        <v>576</v>
      </c>
    </row>
    <row r="12" spans="1:7" x14ac:dyDescent="0.3">
      <c r="A12" t="s">
        <v>546</v>
      </c>
      <c r="B12" s="3" t="s">
        <v>6</v>
      </c>
      <c r="C12" s="3" t="s">
        <v>513</v>
      </c>
      <c r="D12" t="str">
        <f>UPPER(A12)&amp;"_"&amp;UPPER(C12)&amp;"_"&amp;UPPER(B12)</f>
        <v>COURTESY_SHU_LIUBEI</v>
      </c>
      <c r="E12" s="3" t="s">
        <v>31</v>
      </c>
      <c r="F12" s="3" t="s">
        <v>577</v>
      </c>
    </row>
    <row r="13" spans="1:7" x14ac:dyDescent="0.3">
      <c r="A13" t="s">
        <v>546</v>
      </c>
      <c r="B13" s="3" t="s">
        <v>10</v>
      </c>
      <c r="C13" s="3" t="s">
        <v>513</v>
      </c>
      <c r="D13" t="str">
        <f>UPPER(A13)&amp;"_"&amp;UPPER(C13)&amp;"_"&amp;UPPER(B13)</f>
        <v>COURTESY_SHU_ZHANGFEI</v>
      </c>
      <c r="E13" s="3" t="s">
        <v>33</v>
      </c>
      <c r="F13" s="3" t="s">
        <v>578</v>
      </c>
    </row>
    <row r="14" spans="1:7" x14ac:dyDescent="0.3">
      <c r="A14" t="s">
        <v>546</v>
      </c>
      <c r="B14" s="3" t="s">
        <v>13</v>
      </c>
      <c r="C14" s="3" t="s">
        <v>513</v>
      </c>
      <c r="D14" t="str">
        <f>UPPER(A14)&amp;"_"&amp;UPPER(C14)&amp;"_"&amp;UPPER(B14)</f>
        <v>COURTESY_SHU_ZHAYUN</v>
      </c>
      <c r="E14" s="3" t="s">
        <v>34</v>
      </c>
      <c r="F14" s="3" t="s">
        <v>579</v>
      </c>
    </row>
    <row r="15" spans="1:7" x14ac:dyDescent="0.3">
      <c r="A15" t="s">
        <v>546</v>
      </c>
      <c r="B15" s="3" t="s">
        <v>14</v>
      </c>
      <c r="C15" s="3" t="s">
        <v>513</v>
      </c>
      <c r="D15" t="str">
        <f>UPPER(A15)&amp;"_"&amp;UPPER(C15)&amp;"_"&amp;UPPER(B15)</f>
        <v>COURTESY_SHU_ZHUGELIANG</v>
      </c>
      <c r="E15" s="3" t="s">
        <v>35</v>
      </c>
      <c r="F15" s="3" t="s">
        <v>580</v>
      </c>
    </row>
    <row r="16" spans="1:7" x14ac:dyDescent="0.3">
      <c r="A16" t="s">
        <v>546</v>
      </c>
      <c r="B16" t="s">
        <v>52</v>
      </c>
      <c r="C16" s="3" t="s">
        <v>514</v>
      </c>
      <c r="D16" t="str">
        <f>UPPER(A16)&amp;"_"&amp;UPPER(C16)&amp;"_"&amp;UPPER(B16)</f>
        <v>COURTESY_WEI_CAOCAO</v>
      </c>
      <c r="E16" s="3" t="s">
        <v>548</v>
      </c>
      <c r="F16" t="s">
        <v>561</v>
      </c>
    </row>
    <row r="17" spans="1:6" x14ac:dyDescent="0.3">
      <c r="A17" t="s">
        <v>546</v>
      </c>
      <c r="B17" t="s">
        <v>485</v>
      </c>
      <c r="C17" s="3" t="s">
        <v>514</v>
      </c>
      <c r="D17" t="str">
        <f>UPPER(A17)&amp;"_"&amp;UPPER(C17)&amp;"_"&amp;UPPER(B17)</f>
        <v>COURTESY_WEI_CAOREN</v>
      </c>
      <c r="E17" s="3" t="s">
        <v>549</v>
      </c>
      <c r="F17" t="s">
        <v>562</v>
      </c>
    </row>
    <row r="18" spans="1:6" x14ac:dyDescent="0.3">
      <c r="A18" t="s">
        <v>546</v>
      </c>
      <c r="B18" t="s">
        <v>486</v>
      </c>
      <c r="C18" s="3" t="s">
        <v>514</v>
      </c>
      <c r="D18" t="str">
        <f>UPPER(A18)&amp;"_"&amp;UPPER(C18)&amp;"_"&amp;UPPER(B18)</f>
        <v>COURTESY_WEI_XIAHOUDUN</v>
      </c>
      <c r="E18" s="3" t="s">
        <v>550</v>
      </c>
      <c r="F18" s="3" t="s">
        <v>563</v>
      </c>
    </row>
    <row r="19" spans="1:6" x14ac:dyDescent="0.3">
      <c r="A19" t="s">
        <v>546</v>
      </c>
      <c r="B19" t="s">
        <v>488</v>
      </c>
      <c r="C19" s="3" t="s">
        <v>514</v>
      </c>
      <c r="D19" t="str">
        <f>UPPER(A19)&amp;"_"&amp;UPPER(C19)&amp;"_"&amp;UPPER(B19)</f>
        <v>COURTESY_WEI_XIAHOUYUAN</v>
      </c>
      <c r="E19" s="3" t="s">
        <v>551</v>
      </c>
      <c r="F19" s="3" t="s">
        <v>564</v>
      </c>
    </row>
    <row r="20" spans="1:6" x14ac:dyDescent="0.3">
      <c r="A20" t="s">
        <v>546</v>
      </c>
      <c r="B20" t="s">
        <v>489</v>
      </c>
      <c r="C20" s="3" t="s">
        <v>514</v>
      </c>
      <c r="D20" t="str">
        <f>UPPER(A20)&amp;"_"&amp;UPPER(C20)&amp;"_"&amp;UPPER(B20)</f>
        <v>COURTESY_WEI_XUNYU</v>
      </c>
      <c r="E20" s="3" t="s">
        <v>552</v>
      </c>
      <c r="F20" s="3" t="s">
        <v>565</v>
      </c>
    </row>
    <row r="21" spans="1:6" x14ac:dyDescent="0.3">
      <c r="A21" t="s">
        <v>546</v>
      </c>
      <c r="B21" t="s">
        <v>487</v>
      </c>
      <c r="C21" s="3" t="s">
        <v>514</v>
      </c>
      <c r="D21" t="str">
        <f>UPPER(A21)&amp;"_"&amp;UPPER(C21)&amp;"_"&amp;UPPER(B21)</f>
        <v>COURTESY_WEI_ZHANGLIAO</v>
      </c>
      <c r="E21" s="3" t="s">
        <v>553</v>
      </c>
      <c r="F21" s="3" t="s">
        <v>567</v>
      </c>
    </row>
    <row r="22" spans="1:6" x14ac:dyDescent="0.3">
      <c r="A22" t="s">
        <v>546</v>
      </c>
      <c r="B22" t="s">
        <v>495</v>
      </c>
      <c r="C22" s="3" t="s">
        <v>515</v>
      </c>
      <c r="D22" t="str">
        <f>UPPER(A22)&amp;"_"&amp;UPPER(C22)&amp;"_"&amp;UPPER(B22)</f>
        <v>COURTESY_WU_HANDANG</v>
      </c>
      <c r="E22" s="3" t="s">
        <v>554</v>
      </c>
      <c r="F22" t="s">
        <v>566</v>
      </c>
    </row>
    <row r="23" spans="1:6" x14ac:dyDescent="0.3">
      <c r="A23" t="s">
        <v>546</v>
      </c>
      <c r="B23" t="s">
        <v>492</v>
      </c>
      <c r="C23" s="3" t="s">
        <v>515</v>
      </c>
      <c r="D23" t="str">
        <f>UPPER(A23)&amp;"_"&amp;UPPER(C23)&amp;"_"&amp;UPPER(B23)</f>
        <v>COURTESY_WU_HUANGGAI</v>
      </c>
      <c r="E23" s="3" t="s">
        <v>555</v>
      </c>
      <c r="F23" t="s">
        <v>568</v>
      </c>
    </row>
    <row r="24" spans="1:6" x14ac:dyDescent="0.3">
      <c r="A24" t="s">
        <v>546</v>
      </c>
      <c r="B24" t="s">
        <v>493</v>
      </c>
      <c r="C24" s="3" t="s">
        <v>515</v>
      </c>
      <c r="D24" t="str">
        <f>UPPER(A24)&amp;"_"&amp;UPPER(C24)&amp;"_"&amp;UPPER(B24)</f>
        <v>COURTESY_WU_SUNCE</v>
      </c>
      <c r="E24" s="3" t="s">
        <v>556</v>
      </c>
      <c r="F24" t="s">
        <v>569</v>
      </c>
    </row>
    <row r="25" spans="1:6" x14ac:dyDescent="0.3">
      <c r="A25" t="s">
        <v>546</v>
      </c>
      <c r="B25" t="s">
        <v>490</v>
      </c>
      <c r="C25" s="3" t="s">
        <v>515</v>
      </c>
      <c r="D25" t="str">
        <f>UPPER(A25)&amp;"_"&amp;UPPER(C25)&amp;"_"&amp;UPPER(B25)</f>
        <v>COURTESY_WU_SUNJIAN</v>
      </c>
      <c r="E25" s="3" t="s">
        <v>557</v>
      </c>
      <c r="F25" t="s">
        <v>570</v>
      </c>
    </row>
    <row r="26" spans="1:6" x14ac:dyDescent="0.3">
      <c r="A26" t="s">
        <v>546</v>
      </c>
      <c r="B26" t="s">
        <v>491</v>
      </c>
      <c r="C26" s="3" t="s">
        <v>515</v>
      </c>
      <c r="D26" t="str">
        <f>UPPER(A26)&amp;"_"&amp;UPPER(C26)&amp;"_"&amp;UPPER(B26)</f>
        <v>COURTESY_WU_SUNQUAN</v>
      </c>
      <c r="E26" s="3" t="s">
        <v>558</v>
      </c>
      <c r="F26" t="s">
        <v>571</v>
      </c>
    </row>
    <row r="27" spans="1:6" x14ac:dyDescent="0.3">
      <c r="A27" t="s">
        <v>546</v>
      </c>
      <c r="B27" t="s">
        <v>494</v>
      </c>
      <c r="C27" s="3" t="s">
        <v>515</v>
      </c>
      <c r="D27" t="str">
        <f>UPPER(A27)&amp;"_"&amp;UPPER(C27)&amp;"_"&amp;UPPER(B27)</f>
        <v>COURTESY_WU_TAISHICI</v>
      </c>
      <c r="E27" s="3" t="s">
        <v>559</v>
      </c>
      <c r="F27" t="s">
        <v>572</v>
      </c>
    </row>
    <row r="28" spans="1:6" x14ac:dyDescent="0.3">
      <c r="A28" t="s">
        <v>546</v>
      </c>
      <c r="B28" t="s">
        <v>496</v>
      </c>
      <c r="C28" s="3" t="s">
        <v>515</v>
      </c>
      <c r="D28" t="str">
        <f>UPPER(A28)&amp;"_"&amp;UPPER(C28)&amp;"_"&amp;UPPER(B28)</f>
        <v>COURTESY_WU_ZHOUYU</v>
      </c>
      <c r="E28" s="3" t="s">
        <v>560</v>
      </c>
      <c r="F28" t="s">
        <v>573</v>
      </c>
    </row>
    <row r="29" spans="1:6" ht="33" x14ac:dyDescent="0.3">
      <c r="A29" t="s">
        <v>531</v>
      </c>
      <c r="B29" s="3" t="s">
        <v>292</v>
      </c>
      <c r="C29" s="3" t="s">
        <v>516</v>
      </c>
      <c r="D29" t="str">
        <f>UPPER(A29)&amp;"_"&amp;UPPER(C29)&amp;"_"&amp;UPPER(B29)</f>
        <v>DESC_TALK_ETC_LUBU</v>
      </c>
      <c r="E29" s="3" t="s">
        <v>302</v>
      </c>
    </row>
    <row r="30" spans="1:6" ht="33" x14ac:dyDescent="0.3">
      <c r="A30" t="s">
        <v>531</v>
      </c>
      <c r="B30" s="3" t="s">
        <v>8</v>
      </c>
      <c r="C30" s="3" t="s">
        <v>513</v>
      </c>
      <c r="D30" t="str">
        <f>UPPER(A30)&amp;"_"&amp;UPPER(C30)&amp;"_"&amp;UPPER(B30)</f>
        <v>DESC_TALK_SHU_GUANYU</v>
      </c>
      <c r="E30" s="3" t="s">
        <v>38</v>
      </c>
    </row>
    <row r="31" spans="1:6" ht="33" x14ac:dyDescent="0.3">
      <c r="A31" t="s">
        <v>531</v>
      </c>
      <c r="B31" s="3" t="s">
        <v>6</v>
      </c>
      <c r="C31" s="3" t="s">
        <v>513</v>
      </c>
      <c r="D31" t="str">
        <f>UPPER(A31)&amp;"_"&amp;UPPER(C31)&amp;"_"&amp;UPPER(B31)</f>
        <v>DESC_TALK_SHU_LIUBEI</v>
      </c>
      <c r="E31" s="3" t="s">
        <v>36</v>
      </c>
    </row>
    <row r="32" spans="1:6" ht="33" x14ac:dyDescent="0.3">
      <c r="A32" t="s">
        <v>531</v>
      </c>
      <c r="B32" s="3" t="s">
        <v>10</v>
      </c>
      <c r="C32" s="3" t="s">
        <v>513</v>
      </c>
      <c r="D32" t="str">
        <f>UPPER(A32)&amp;"_"&amp;UPPER(C32)&amp;"_"&amp;UPPER(B32)</f>
        <v>DESC_TALK_SHU_ZHANGFEI</v>
      </c>
      <c r="E32" s="3" t="s">
        <v>37</v>
      </c>
    </row>
    <row r="33" spans="1:6" ht="33" x14ac:dyDescent="0.3">
      <c r="A33" t="s">
        <v>531</v>
      </c>
      <c r="B33" s="3" t="s">
        <v>13</v>
      </c>
      <c r="C33" s="3" t="s">
        <v>513</v>
      </c>
      <c r="D33" t="str">
        <f>UPPER(A33)&amp;"_"&amp;UPPER(C33)&amp;"_"&amp;UPPER(B33)</f>
        <v>DESC_TALK_SHU_ZHAYUN</v>
      </c>
      <c r="E33" s="3" t="s">
        <v>85</v>
      </c>
    </row>
    <row r="34" spans="1:6" ht="33" x14ac:dyDescent="0.3">
      <c r="A34" t="s">
        <v>531</v>
      </c>
      <c r="B34" s="3" t="s">
        <v>14</v>
      </c>
      <c r="C34" s="3" t="s">
        <v>513</v>
      </c>
      <c r="D34" t="str">
        <f>UPPER(A34)&amp;"_"&amp;UPPER(C34)&amp;"_"&amp;UPPER(B34)</f>
        <v>DESC_TALK_SHU_ZHUGELIANG</v>
      </c>
      <c r="E34" s="3" t="s">
        <v>84</v>
      </c>
    </row>
    <row r="35" spans="1:6" ht="33" x14ac:dyDescent="0.3">
      <c r="A35" t="s">
        <v>531</v>
      </c>
      <c r="B35" t="s">
        <v>497</v>
      </c>
      <c r="C35" s="3" t="s">
        <v>513</v>
      </c>
      <c r="D35" t="str">
        <f>UPPER(A35)&amp;"_"&amp;UPPER(C35)&amp;"_"&amp;UPPER(B35)</f>
        <v>DESC_TALK_SHU_HUANGZHONG</v>
      </c>
      <c r="E35" s="3" t="s">
        <v>537</v>
      </c>
    </row>
    <row r="36" spans="1:6" ht="33" x14ac:dyDescent="0.3">
      <c r="A36" t="s">
        <v>531</v>
      </c>
      <c r="B36" t="s">
        <v>484</v>
      </c>
      <c r="C36" s="3" t="s">
        <v>514</v>
      </c>
      <c r="D36" t="str">
        <f>UPPER(A36)&amp;"_"&amp;UPPER(C36)&amp;"_"&amp;UPPER(B36)</f>
        <v>DESC_TALK_WEI_CAOCAO</v>
      </c>
      <c r="E36" s="3" t="s">
        <v>543</v>
      </c>
    </row>
    <row r="37" spans="1:6" ht="33" x14ac:dyDescent="0.3">
      <c r="A37" t="s">
        <v>531</v>
      </c>
      <c r="B37" t="s">
        <v>485</v>
      </c>
      <c r="C37" s="3" t="s">
        <v>514</v>
      </c>
      <c r="D37" t="str">
        <f>UPPER(A37)&amp;"_"&amp;UPPER(C37)&amp;"_"&amp;UPPER(B37)</f>
        <v>DESC_TALK_WEI_CAOREN</v>
      </c>
      <c r="E37" s="3" t="s">
        <v>532</v>
      </c>
    </row>
    <row r="38" spans="1:6" ht="33" x14ac:dyDescent="0.3">
      <c r="A38" t="s">
        <v>531</v>
      </c>
      <c r="B38" t="s">
        <v>486</v>
      </c>
      <c r="C38" s="3" t="s">
        <v>514</v>
      </c>
      <c r="D38" t="str">
        <f>UPPER(A38)&amp;"_"&amp;UPPER(C38)&amp;"_"&amp;UPPER(B38)</f>
        <v>DESC_TALK_WEI_XIAHOUDUN</v>
      </c>
      <c r="E38" s="3" t="s">
        <v>533</v>
      </c>
    </row>
    <row r="39" spans="1:6" ht="33" x14ac:dyDescent="0.3">
      <c r="A39" t="s">
        <v>531</v>
      </c>
      <c r="B39" t="s">
        <v>488</v>
      </c>
      <c r="C39" s="3" t="s">
        <v>514</v>
      </c>
      <c r="D39" t="str">
        <f>UPPER(A39)&amp;"_"&amp;UPPER(C39)&amp;"_"&amp;UPPER(B39)</f>
        <v>DESC_TALK_WEI_XIAHOUYUAN</v>
      </c>
      <c r="E39" s="3" t="s">
        <v>536</v>
      </c>
    </row>
    <row r="40" spans="1:6" ht="33" x14ac:dyDescent="0.3">
      <c r="A40" t="s">
        <v>531</v>
      </c>
      <c r="B40" t="s">
        <v>489</v>
      </c>
      <c r="C40" s="3" t="s">
        <v>514</v>
      </c>
      <c r="D40" t="str">
        <f>UPPER(A40)&amp;"_"&amp;UPPER(C40)&amp;"_"&amp;UPPER(B40)</f>
        <v>DESC_TALK_WEI_XUNYU</v>
      </c>
      <c r="E40" s="3" t="s">
        <v>534</v>
      </c>
    </row>
    <row r="41" spans="1:6" x14ac:dyDescent="0.3">
      <c r="A41" t="s">
        <v>531</v>
      </c>
      <c r="B41" t="s">
        <v>487</v>
      </c>
      <c r="C41" s="3" t="s">
        <v>514</v>
      </c>
      <c r="D41" t="str">
        <f>UPPER(A41)&amp;"_"&amp;UPPER(C41)&amp;"_"&amp;UPPER(B41)</f>
        <v>DESC_TALK_WEI_ZHANGLIAO</v>
      </c>
      <c r="E41" s="3" t="s">
        <v>545</v>
      </c>
      <c r="F41" s="3" t="s">
        <v>292</v>
      </c>
    </row>
    <row r="42" spans="1:6" ht="33" x14ac:dyDescent="0.3">
      <c r="A42" t="s">
        <v>531</v>
      </c>
      <c r="B42" t="s">
        <v>495</v>
      </c>
      <c r="C42" s="3" t="s">
        <v>515</v>
      </c>
      <c r="D42" t="str">
        <f>UPPER(A42)&amp;"_"&amp;UPPER(C42)&amp;"_"&amp;UPPER(B42)</f>
        <v>DESC_TALK_WU_HANDANG</v>
      </c>
      <c r="E42" s="3" t="s">
        <v>535</v>
      </c>
      <c r="F42" s="3" t="s">
        <v>8</v>
      </c>
    </row>
    <row r="43" spans="1:6" ht="33" x14ac:dyDescent="0.3">
      <c r="A43" t="s">
        <v>531</v>
      </c>
      <c r="B43" t="s">
        <v>492</v>
      </c>
      <c r="C43" s="3" t="s">
        <v>515</v>
      </c>
      <c r="D43" t="str">
        <f>UPPER(A43)&amp;"_"&amp;UPPER(C43)&amp;"_"&amp;UPPER(B43)</f>
        <v>DESC_TALK_WU_HUANGGAI</v>
      </c>
      <c r="E43" s="3" t="s">
        <v>542</v>
      </c>
      <c r="F43" t="s">
        <v>497</v>
      </c>
    </row>
    <row r="44" spans="1:6" ht="33" x14ac:dyDescent="0.3">
      <c r="A44" t="s">
        <v>531</v>
      </c>
      <c r="B44" t="s">
        <v>493</v>
      </c>
      <c r="C44" s="3" t="s">
        <v>515</v>
      </c>
      <c r="D44" t="str">
        <f>UPPER(A44)&amp;"_"&amp;UPPER(C44)&amp;"_"&amp;UPPER(B44)</f>
        <v>DESC_TALK_WU_SUNCE</v>
      </c>
      <c r="E44" s="3" t="s">
        <v>538</v>
      </c>
      <c r="F44" s="3" t="s">
        <v>6</v>
      </c>
    </row>
    <row r="45" spans="1:6" x14ac:dyDescent="0.3">
      <c r="A45" t="s">
        <v>531</v>
      </c>
      <c r="B45" t="s">
        <v>490</v>
      </c>
      <c r="C45" s="3" t="s">
        <v>515</v>
      </c>
      <c r="D45" t="str">
        <f>UPPER(A45)&amp;"_"&amp;UPPER(C45)&amp;"_"&amp;UPPER(B45)</f>
        <v>DESC_TALK_WU_SUNJIAN</v>
      </c>
      <c r="E45" s="3" t="s">
        <v>540</v>
      </c>
      <c r="F45" s="3" t="s">
        <v>10</v>
      </c>
    </row>
    <row r="46" spans="1:6" ht="33" x14ac:dyDescent="0.3">
      <c r="A46" t="s">
        <v>531</v>
      </c>
      <c r="B46" t="s">
        <v>491</v>
      </c>
      <c r="C46" s="3" t="s">
        <v>515</v>
      </c>
      <c r="D46" t="str">
        <f>UPPER(A46)&amp;"_"&amp;UPPER(C46)&amp;"_"&amp;UPPER(B46)</f>
        <v>DESC_TALK_WU_SUNQUAN</v>
      </c>
      <c r="E46" s="3" t="s">
        <v>539</v>
      </c>
      <c r="F46" s="3" t="s">
        <v>13</v>
      </c>
    </row>
    <row r="47" spans="1:6" ht="33" x14ac:dyDescent="0.3">
      <c r="A47" t="s">
        <v>531</v>
      </c>
      <c r="B47" t="s">
        <v>494</v>
      </c>
      <c r="C47" s="3" t="s">
        <v>515</v>
      </c>
      <c r="D47" t="str">
        <f>UPPER(A47)&amp;"_"&amp;UPPER(C47)&amp;"_"&amp;UPPER(B47)</f>
        <v>DESC_TALK_WU_TAISHICI</v>
      </c>
      <c r="E47" s="3" t="s">
        <v>541</v>
      </c>
      <c r="F47" s="3" t="s">
        <v>14</v>
      </c>
    </row>
    <row r="48" spans="1:6" ht="33" x14ac:dyDescent="0.3">
      <c r="A48" t="s">
        <v>531</v>
      </c>
      <c r="B48" t="s">
        <v>496</v>
      </c>
      <c r="C48" s="3" t="s">
        <v>515</v>
      </c>
      <c r="D48" t="str">
        <f>UPPER(A48)&amp;"_"&amp;UPPER(C48)&amp;"_"&amp;UPPER(B48)</f>
        <v>DESC_TALK_WU_ZHOUYU</v>
      </c>
      <c r="E48" s="3" t="s">
        <v>544</v>
      </c>
      <c r="F48" t="s">
        <v>484</v>
      </c>
    </row>
    <row r="49" spans="1:6" x14ac:dyDescent="0.3">
      <c r="D49" t="s">
        <v>530</v>
      </c>
      <c r="E49" s="3" t="s">
        <v>304</v>
      </c>
      <c r="F49" t="s">
        <v>485</v>
      </c>
    </row>
    <row r="50" spans="1:6" x14ac:dyDescent="0.3">
      <c r="D50" t="s">
        <v>519</v>
      </c>
      <c r="E50" s="3" t="s">
        <v>310</v>
      </c>
      <c r="F50" t="s">
        <v>486</v>
      </c>
    </row>
    <row r="51" spans="1:6" x14ac:dyDescent="0.3">
      <c r="D51" t="s">
        <v>520</v>
      </c>
      <c r="E51" s="3" t="s">
        <v>307</v>
      </c>
      <c r="F51" t="s">
        <v>488</v>
      </c>
    </row>
    <row r="52" spans="1:6" x14ac:dyDescent="0.3">
      <c r="D52" t="s">
        <v>521</v>
      </c>
      <c r="E52" s="3" t="s">
        <v>314</v>
      </c>
      <c r="F52" t="s">
        <v>489</v>
      </c>
    </row>
    <row r="53" spans="1:6" x14ac:dyDescent="0.3">
      <c r="D53" t="s">
        <v>522</v>
      </c>
      <c r="E53" s="3" t="s">
        <v>303</v>
      </c>
      <c r="F53" t="s">
        <v>487</v>
      </c>
    </row>
    <row r="54" spans="1:6" x14ac:dyDescent="0.3">
      <c r="D54" t="s">
        <v>523</v>
      </c>
      <c r="E54" s="3" t="s">
        <v>309</v>
      </c>
      <c r="F54" t="s">
        <v>495</v>
      </c>
    </row>
    <row r="55" spans="1:6" x14ac:dyDescent="0.3">
      <c r="D55" t="s">
        <v>524</v>
      </c>
      <c r="E55" s="3" t="s">
        <v>308</v>
      </c>
      <c r="F55" t="s">
        <v>492</v>
      </c>
    </row>
    <row r="56" spans="1:6" x14ac:dyDescent="0.3">
      <c r="D56" t="s">
        <v>525</v>
      </c>
      <c r="E56" s="3" t="s">
        <v>313</v>
      </c>
      <c r="F56" t="s">
        <v>493</v>
      </c>
    </row>
    <row r="57" spans="1:6" x14ac:dyDescent="0.3">
      <c r="D57" t="s">
        <v>526</v>
      </c>
      <c r="E57" s="3" t="s">
        <v>305</v>
      </c>
      <c r="F57" t="s">
        <v>490</v>
      </c>
    </row>
    <row r="58" spans="1:6" x14ac:dyDescent="0.3">
      <c r="D58" t="s">
        <v>527</v>
      </c>
      <c r="E58" s="3" t="s">
        <v>311</v>
      </c>
      <c r="F58" t="s">
        <v>491</v>
      </c>
    </row>
    <row r="59" spans="1:6" x14ac:dyDescent="0.3">
      <c r="D59" t="s">
        <v>528</v>
      </c>
      <c r="E59" s="3" t="s">
        <v>306</v>
      </c>
      <c r="F59" t="s">
        <v>494</v>
      </c>
    </row>
    <row r="60" spans="1:6" x14ac:dyDescent="0.3">
      <c r="D60" t="s">
        <v>529</v>
      </c>
      <c r="E60" s="3" t="s">
        <v>312</v>
      </c>
      <c r="F60" t="s">
        <v>496</v>
      </c>
    </row>
    <row r="61" spans="1:6" x14ac:dyDescent="0.3">
      <c r="A61" t="s">
        <v>518</v>
      </c>
      <c r="B61" s="3" t="s">
        <v>292</v>
      </c>
      <c r="C61" s="3" t="s">
        <v>516</v>
      </c>
      <c r="D61" t="str">
        <f>UPPER(A61)&amp;"_"&amp;UPPER(C61)&amp;"_"&amp;UPPER(B61)</f>
        <v>NAME_ETC_LUBU</v>
      </c>
      <c r="E61" s="3" t="s">
        <v>291</v>
      </c>
    </row>
    <row r="62" spans="1:6" x14ac:dyDescent="0.3">
      <c r="A62" t="s">
        <v>518</v>
      </c>
      <c r="B62" s="3" t="s">
        <v>8</v>
      </c>
      <c r="C62" s="3" t="s">
        <v>513</v>
      </c>
      <c r="D62" t="str">
        <f>UPPER(A62)&amp;"_"&amp;UPPER(C62)&amp;"_"&amp;UPPER(B62)</f>
        <v>NAME_SHU_GUANYU</v>
      </c>
      <c r="E62" s="3" t="s">
        <v>7</v>
      </c>
    </row>
    <row r="63" spans="1:6" x14ac:dyDescent="0.3">
      <c r="A63" t="s">
        <v>518</v>
      </c>
      <c r="B63" t="s">
        <v>497</v>
      </c>
      <c r="C63" s="3" t="s">
        <v>513</v>
      </c>
      <c r="D63" t="str">
        <f>UPPER(A63)&amp;"_"&amp;UPPER(C63)&amp;"_"&amp;UPPER(B63)</f>
        <v>NAME_SHU_HUANGZHONG</v>
      </c>
      <c r="E63" s="3" t="s">
        <v>498</v>
      </c>
    </row>
    <row r="64" spans="1:6" x14ac:dyDescent="0.3">
      <c r="A64" t="s">
        <v>518</v>
      </c>
      <c r="B64" s="3" t="s">
        <v>6</v>
      </c>
      <c r="C64" s="3" t="s">
        <v>513</v>
      </c>
      <c r="D64" t="str">
        <f>UPPER(A64)&amp;"_"&amp;UPPER(C64)&amp;"_"&amp;UPPER(B64)</f>
        <v>NAME_SHU_LIUBEI</v>
      </c>
      <c r="E64" s="3" t="s">
        <v>5</v>
      </c>
    </row>
    <row r="65" spans="1:5" x14ac:dyDescent="0.3">
      <c r="A65" t="s">
        <v>518</v>
      </c>
      <c r="B65" s="3" t="s">
        <v>10</v>
      </c>
      <c r="C65" s="3" t="s">
        <v>513</v>
      </c>
      <c r="D65" t="str">
        <f>UPPER(A65)&amp;"_"&amp;UPPER(C65)&amp;"_"&amp;UPPER(B65)</f>
        <v>NAME_SHU_ZHANGFEI</v>
      </c>
      <c r="E65" s="3" t="s">
        <v>9</v>
      </c>
    </row>
    <row r="66" spans="1:5" x14ac:dyDescent="0.3">
      <c r="A66" t="s">
        <v>518</v>
      </c>
      <c r="B66" s="3" t="s">
        <v>13</v>
      </c>
      <c r="C66" s="3" t="s">
        <v>513</v>
      </c>
      <c r="D66" t="str">
        <f>UPPER(A66)&amp;"_"&amp;UPPER(C66)&amp;"_"&amp;UPPER(B66)</f>
        <v>NAME_SHU_ZHAYUN</v>
      </c>
      <c r="E66" s="3" t="s">
        <v>11</v>
      </c>
    </row>
    <row r="67" spans="1:5" x14ac:dyDescent="0.3">
      <c r="A67" t="s">
        <v>518</v>
      </c>
      <c r="B67" s="3" t="s">
        <v>14</v>
      </c>
      <c r="C67" s="3" t="s">
        <v>513</v>
      </c>
      <c r="D67" t="str">
        <f>UPPER(A67)&amp;"_"&amp;UPPER(C67)&amp;"_"&amp;UPPER(B67)</f>
        <v>NAME_SHU_ZHUGELIANG</v>
      </c>
      <c r="E67" s="3" t="s">
        <v>12</v>
      </c>
    </row>
    <row r="68" spans="1:5" x14ac:dyDescent="0.3">
      <c r="A68" t="s">
        <v>518</v>
      </c>
      <c r="B68" t="s">
        <v>484</v>
      </c>
      <c r="C68" s="3" t="s">
        <v>514</v>
      </c>
      <c r="D68" t="str">
        <f>UPPER(A68)&amp;"_"&amp;UPPER(C68)&amp;"_"&amp;UPPER(B68)</f>
        <v>NAME_WEI_CAOCAO</v>
      </c>
      <c r="E68" s="3" t="s">
        <v>499</v>
      </c>
    </row>
    <row r="69" spans="1:5" x14ac:dyDescent="0.3">
      <c r="A69" t="s">
        <v>518</v>
      </c>
      <c r="B69" t="s">
        <v>485</v>
      </c>
      <c r="C69" s="3" t="s">
        <v>514</v>
      </c>
      <c r="D69" t="str">
        <f>UPPER(A69)&amp;"_"&amp;UPPER(C69)&amp;"_"&amp;UPPER(B69)</f>
        <v>NAME_WEI_CAOREN</v>
      </c>
      <c r="E69" s="3" t="s">
        <v>500</v>
      </c>
    </row>
    <row r="70" spans="1:5" x14ac:dyDescent="0.3">
      <c r="A70" t="s">
        <v>518</v>
      </c>
      <c r="B70" t="s">
        <v>486</v>
      </c>
      <c r="C70" s="3" t="s">
        <v>514</v>
      </c>
      <c r="D70" t="str">
        <f>UPPER(A70)&amp;"_"&amp;UPPER(C70)&amp;"_"&amp;UPPER(B70)</f>
        <v>NAME_WEI_XIAHOUDUN</v>
      </c>
      <c r="E70" s="3" t="s">
        <v>501</v>
      </c>
    </row>
    <row r="71" spans="1:5" x14ac:dyDescent="0.3">
      <c r="A71" t="s">
        <v>518</v>
      </c>
      <c r="B71" t="s">
        <v>488</v>
      </c>
      <c r="C71" s="3" t="s">
        <v>514</v>
      </c>
      <c r="D71" t="str">
        <f>UPPER(A71)&amp;"_"&amp;UPPER(C71)&amp;"_"&amp;UPPER(B71)</f>
        <v>NAME_WEI_XIAHOUYUAN</v>
      </c>
      <c r="E71" s="3" t="s">
        <v>503</v>
      </c>
    </row>
    <row r="72" spans="1:5" x14ac:dyDescent="0.3">
      <c r="A72" t="s">
        <v>518</v>
      </c>
      <c r="B72" t="s">
        <v>489</v>
      </c>
      <c r="C72" s="3" t="s">
        <v>514</v>
      </c>
      <c r="D72" t="str">
        <f>UPPER(A72)&amp;"_"&amp;UPPER(C72)&amp;"_"&amp;UPPER(B72)</f>
        <v>NAME_WEI_XUNYU</v>
      </c>
      <c r="E72" s="3" t="s">
        <v>504</v>
      </c>
    </row>
    <row r="73" spans="1:5" x14ac:dyDescent="0.3">
      <c r="A73" t="s">
        <v>518</v>
      </c>
      <c r="B73" t="s">
        <v>487</v>
      </c>
      <c r="C73" s="3" t="s">
        <v>514</v>
      </c>
      <c r="D73" t="str">
        <f>UPPER(A73)&amp;"_"&amp;UPPER(C73)&amp;"_"&amp;UPPER(B73)</f>
        <v>NAME_WEI_ZHANGLIAO</v>
      </c>
      <c r="E73" s="3" t="s">
        <v>502</v>
      </c>
    </row>
    <row r="74" spans="1:5" x14ac:dyDescent="0.3">
      <c r="A74" t="s">
        <v>518</v>
      </c>
      <c r="B74" t="s">
        <v>495</v>
      </c>
      <c r="C74" s="3" t="s">
        <v>515</v>
      </c>
      <c r="D74" t="str">
        <f>UPPER(A74)&amp;"_"&amp;UPPER(C74)&amp;"_"&amp;UPPER(B74)</f>
        <v>NAME_WU_HANDANG</v>
      </c>
      <c r="E74" t="s">
        <v>510</v>
      </c>
    </row>
    <row r="75" spans="1:5" x14ac:dyDescent="0.3">
      <c r="A75" t="s">
        <v>518</v>
      </c>
      <c r="B75" t="s">
        <v>492</v>
      </c>
      <c r="C75" s="3" t="s">
        <v>515</v>
      </c>
      <c r="D75" t="str">
        <f>UPPER(A75)&amp;"_"&amp;UPPER(C75)&amp;"_"&amp;UPPER(B75)</f>
        <v>NAME_WU_HUANGGAI</v>
      </c>
      <c r="E75" t="s">
        <v>507</v>
      </c>
    </row>
    <row r="76" spans="1:5" x14ac:dyDescent="0.3">
      <c r="A76" t="s">
        <v>518</v>
      </c>
      <c r="B76" t="s">
        <v>493</v>
      </c>
      <c r="C76" s="3" t="s">
        <v>515</v>
      </c>
      <c r="D76" t="str">
        <f>UPPER(A76)&amp;"_"&amp;UPPER(C76)&amp;"_"&amp;UPPER(B76)</f>
        <v>NAME_WU_SUNCE</v>
      </c>
      <c r="E76" t="s">
        <v>508</v>
      </c>
    </row>
    <row r="77" spans="1:5" x14ac:dyDescent="0.3">
      <c r="A77" t="s">
        <v>518</v>
      </c>
      <c r="B77" t="s">
        <v>490</v>
      </c>
      <c r="C77" s="3" t="s">
        <v>515</v>
      </c>
      <c r="D77" t="str">
        <f>UPPER(A77)&amp;"_"&amp;UPPER(C77)&amp;"_"&amp;UPPER(B77)</f>
        <v>NAME_WU_SUNJIAN</v>
      </c>
      <c r="E77" t="s">
        <v>505</v>
      </c>
    </row>
    <row r="78" spans="1:5" x14ac:dyDescent="0.3">
      <c r="A78" t="s">
        <v>518</v>
      </c>
      <c r="B78" t="s">
        <v>491</v>
      </c>
      <c r="C78" s="3" t="s">
        <v>515</v>
      </c>
      <c r="D78" t="str">
        <f>UPPER(A78)&amp;"_"&amp;UPPER(C78)&amp;"_"&amp;UPPER(B78)</f>
        <v>NAME_WU_SUNQUAN</v>
      </c>
      <c r="E78" t="s">
        <v>506</v>
      </c>
    </row>
    <row r="79" spans="1:5" x14ac:dyDescent="0.3">
      <c r="A79" t="s">
        <v>518</v>
      </c>
      <c r="B79" t="s">
        <v>494</v>
      </c>
      <c r="C79" s="3" t="s">
        <v>515</v>
      </c>
      <c r="D79" t="str">
        <f>UPPER(A79)&amp;"_"&amp;UPPER(C79)&amp;"_"&amp;UPPER(B79)</f>
        <v>NAME_WU_TAISHICI</v>
      </c>
      <c r="E79" t="s">
        <v>509</v>
      </c>
    </row>
    <row r="80" spans="1:5" x14ac:dyDescent="0.3">
      <c r="A80" t="s">
        <v>518</v>
      </c>
      <c r="B80" t="s">
        <v>496</v>
      </c>
      <c r="C80" s="3" t="s">
        <v>515</v>
      </c>
      <c r="D80" t="str">
        <f>UPPER(A80)&amp;"_"&amp;UPPER(C80)&amp;"_"&amp;UPPER(B80)</f>
        <v>NAME_WU_ZHOUYU</v>
      </c>
      <c r="E80" t="s">
        <v>511</v>
      </c>
    </row>
    <row r="81" spans="4:5" x14ac:dyDescent="0.3">
      <c r="D81" t="s">
        <v>39</v>
      </c>
      <c r="E81" t="s">
        <v>40</v>
      </c>
    </row>
    <row r="82" spans="4:5" x14ac:dyDescent="0.3">
      <c r="D82" t="s">
        <v>41</v>
      </c>
      <c r="E82" t="s">
        <v>42</v>
      </c>
    </row>
    <row r="83" spans="4:5" x14ac:dyDescent="0.3">
      <c r="D83" t="s">
        <v>44</v>
      </c>
      <c r="E83" t="s">
        <v>50</v>
      </c>
    </row>
    <row r="84" spans="4:5" x14ac:dyDescent="0.3">
      <c r="D84" t="s">
        <v>46</v>
      </c>
      <c r="E84" t="s">
        <v>49</v>
      </c>
    </row>
    <row r="85" spans="4:5" x14ac:dyDescent="0.3">
      <c r="D85" t="s">
        <v>43</v>
      </c>
      <c r="E85" t="s">
        <v>47</v>
      </c>
    </row>
    <row r="86" spans="4:5" x14ac:dyDescent="0.3">
      <c r="D86" t="s">
        <v>45</v>
      </c>
      <c r="E86" t="s">
        <v>48</v>
      </c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workbookViewId="0">
      <selection activeCell="D18" sqref="D18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200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202</v>
      </c>
      <c r="B3" s="11" t="str">
        <f>"NAME_" &amp; UPPER(A3)</f>
        <v>NAME_LIUTAO</v>
      </c>
      <c r="C3" s="12" t="s">
        <v>246</v>
      </c>
      <c r="D3" s="11"/>
      <c r="E3" s="11"/>
    </row>
    <row r="4" spans="1:5" x14ac:dyDescent="0.3">
      <c r="A4" s="10" t="s">
        <v>203</v>
      </c>
      <c r="B4" s="11" t="str">
        <f t="shared" ref="B4:B47" si="0">"NAME_" &amp; UPPER(A4)</f>
        <v>NAME_SANLUE</v>
      </c>
      <c r="C4" s="12" t="s">
        <v>247</v>
      </c>
      <c r="D4" s="11"/>
      <c r="E4" s="11"/>
    </row>
    <row r="5" spans="1:5" x14ac:dyDescent="0.3">
      <c r="A5" s="10" t="s">
        <v>204</v>
      </c>
      <c r="B5" s="11" t="str">
        <f t="shared" si="0"/>
        <v>NAME_WEILIAOZI</v>
      </c>
      <c r="C5" s="12" t="s">
        <v>248</v>
      </c>
      <c r="D5" s="11"/>
      <c r="E5" s="11"/>
    </row>
    <row r="6" spans="1:5" x14ac:dyDescent="0.3">
      <c r="A6" s="10" t="s">
        <v>205</v>
      </c>
      <c r="B6" s="11" t="str">
        <f t="shared" si="0"/>
        <v>NAME_COMMANDERS_BANNER</v>
      </c>
      <c r="C6" s="12" t="s">
        <v>249</v>
      </c>
      <c r="D6" s="11"/>
      <c r="E6" s="11"/>
    </row>
    <row r="7" spans="1:5" x14ac:dyDescent="0.3">
      <c r="A7" s="10" t="s">
        <v>206</v>
      </c>
      <c r="B7" s="11" t="str">
        <f t="shared" si="0"/>
        <v>NAME_TIGER_TALLY</v>
      </c>
      <c r="C7" s="12" t="s">
        <v>250</v>
      </c>
      <c r="D7" s="11"/>
      <c r="E7" s="11"/>
    </row>
    <row r="8" spans="1:5" x14ac:dyDescent="0.3">
      <c r="A8" s="10" t="s">
        <v>207</v>
      </c>
      <c r="B8" s="11" t="str">
        <f t="shared" si="0"/>
        <v>NAME_WAR_DRUM_GONG</v>
      </c>
      <c r="C8" s="12" t="s">
        <v>251</v>
      </c>
      <c r="D8" s="11"/>
      <c r="E8" s="11"/>
    </row>
    <row r="9" spans="1:5" x14ac:dyDescent="0.3">
      <c r="A9" s="10" t="s">
        <v>208</v>
      </c>
      <c r="B9" s="11" t="str">
        <f t="shared" si="0"/>
        <v>NAME_SIMA_FA</v>
      </c>
      <c r="C9" s="12" t="s">
        <v>252</v>
      </c>
      <c r="D9" s="11"/>
      <c r="E9" s="11"/>
    </row>
    <row r="10" spans="1:5" x14ac:dyDescent="0.3">
      <c r="A10" s="10" t="s">
        <v>209</v>
      </c>
      <c r="B10" s="11" t="str">
        <f t="shared" si="0"/>
        <v>NAME_WUZI</v>
      </c>
      <c r="C10" s="12" t="s">
        <v>253</v>
      </c>
      <c r="D10" s="11"/>
      <c r="E10" s="11"/>
    </row>
    <row r="11" spans="1:5" x14ac:dyDescent="0.3">
      <c r="A11" s="10" t="s">
        <v>210</v>
      </c>
      <c r="B11" s="11" t="str">
        <f t="shared" si="0"/>
        <v>NAME_RED_CLIFF_FLAME</v>
      </c>
      <c r="C11" s="12" t="s">
        <v>254</v>
      </c>
      <c r="D11" s="11"/>
      <c r="E11" s="11"/>
    </row>
    <row r="12" spans="1:5" x14ac:dyDescent="0.3">
      <c r="A12" s="10" t="s">
        <v>211</v>
      </c>
      <c r="B12" s="11" t="str">
        <f t="shared" si="0"/>
        <v>NAME_BANGCHEONHWAGUG_SHARD</v>
      </c>
      <c r="C12" s="12" t="s">
        <v>255</v>
      </c>
      <c r="D12" s="11"/>
      <c r="E12" s="11"/>
    </row>
    <row r="13" spans="1:5" x14ac:dyDescent="0.3">
      <c r="A13" s="10" t="s">
        <v>201</v>
      </c>
      <c r="B13" s="11" t="str">
        <f t="shared" si="0"/>
        <v>NAME_GANJIANG_MOYE</v>
      </c>
      <c r="C13" s="12" t="s">
        <v>256</v>
      </c>
      <c r="D13" s="11"/>
      <c r="E13" s="11"/>
    </row>
    <row r="14" spans="1:5" x14ac:dyDescent="0.3">
      <c r="A14" s="10" t="s">
        <v>212</v>
      </c>
      <c r="B14" s="11" t="str">
        <f t="shared" si="0"/>
        <v>NAME_CHUNGOU</v>
      </c>
      <c r="C14" s="12" t="s">
        <v>257</v>
      </c>
      <c r="D14" s="11"/>
      <c r="E14" s="11"/>
    </row>
    <row r="15" spans="1:5" x14ac:dyDescent="0.3">
      <c r="A15" s="10" t="s">
        <v>213</v>
      </c>
      <c r="B15" s="11" t="str">
        <f t="shared" si="0"/>
        <v>NAME_ZHANLU</v>
      </c>
      <c r="C15" s="12" t="s">
        <v>258</v>
      </c>
      <c r="D15" s="11"/>
      <c r="E15" s="11"/>
    </row>
    <row r="16" spans="1:5" x14ac:dyDescent="0.3">
      <c r="A16" s="10" t="s">
        <v>214</v>
      </c>
      <c r="B16" s="11" t="str">
        <f t="shared" si="0"/>
        <v>NAME_YUCHANG</v>
      </c>
      <c r="C16" s="12" t="s">
        <v>259</v>
      </c>
      <c r="D16" s="11"/>
      <c r="E16" s="11"/>
    </row>
    <row r="17" spans="1:5" x14ac:dyDescent="0.3">
      <c r="A17" s="10" t="s">
        <v>215</v>
      </c>
      <c r="B17" s="11" t="str">
        <f t="shared" si="0"/>
        <v>NAME_TAIE</v>
      </c>
      <c r="C17" s="12" t="s">
        <v>260</v>
      </c>
      <c r="D17" s="11"/>
      <c r="E17" s="11"/>
    </row>
    <row r="18" spans="1:5" x14ac:dyDescent="0.3">
      <c r="A18" s="10" t="s">
        <v>216</v>
      </c>
      <c r="B18" s="11" t="str">
        <f t="shared" si="0"/>
        <v>NAME_JUQUE</v>
      </c>
      <c r="C18" s="12" t="s">
        <v>261</v>
      </c>
      <c r="D18" s="11"/>
      <c r="E18" s="11"/>
    </row>
    <row r="19" spans="1:5" x14ac:dyDescent="0.3">
      <c r="A19" s="10" t="s">
        <v>217</v>
      </c>
      <c r="B19" s="11" t="str">
        <f t="shared" si="0"/>
        <v>NAME_SHENGXIE</v>
      </c>
      <c r="C19" s="12" t="s">
        <v>262</v>
      </c>
      <c r="D19" s="11"/>
      <c r="E19" s="11"/>
    </row>
    <row r="20" spans="1:5" x14ac:dyDescent="0.3">
      <c r="A20" s="10" t="s">
        <v>218</v>
      </c>
      <c r="B20" s="11" t="str">
        <f t="shared" si="0"/>
        <v>NAME_LORDS_WAR_BOW</v>
      </c>
      <c r="C20" s="12" t="s">
        <v>263</v>
      </c>
      <c r="D20" s="11"/>
      <c r="E20" s="11"/>
    </row>
    <row r="21" spans="1:5" x14ac:dyDescent="0.3">
      <c r="A21" s="10" t="s">
        <v>219</v>
      </c>
      <c r="B21" s="11" t="str">
        <f t="shared" si="0"/>
        <v>NAME_WUJANGWON_STAR</v>
      </c>
      <c r="C21" s="12" t="s">
        <v>264</v>
      </c>
      <c r="D21" s="11"/>
      <c r="E21" s="11"/>
    </row>
    <row r="22" spans="1:5" x14ac:dyDescent="0.3">
      <c r="A22" s="10" t="s">
        <v>220</v>
      </c>
      <c r="B22" s="11" t="str">
        <f t="shared" si="0"/>
        <v>NAME_ART_OF_WAR</v>
      </c>
      <c r="C22" s="12" t="s">
        <v>265</v>
      </c>
      <c r="D22" s="11"/>
      <c r="E22" s="11"/>
    </row>
    <row r="23" spans="1:5" x14ac:dyDescent="0.3">
      <c r="A23" s="10" t="s">
        <v>221</v>
      </c>
      <c r="B23" s="11" t="str">
        <f t="shared" si="0"/>
        <v>NAME_QIMEN_DUNJIA</v>
      </c>
      <c r="C23" s="12" t="s">
        <v>266</v>
      </c>
      <c r="D23" s="11"/>
      <c r="E23" s="11"/>
    </row>
    <row r="24" spans="1:5" x14ac:dyDescent="0.3">
      <c r="A24" s="10" t="s">
        <v>222</v>
      </c>
      <c r="B24" s="11" t="str">
        <f t="shared" si="0"/>
        <v>NAME_I_CHING</v>
      </c>
      <c r="C24" s="12" t="s">
        <v>267</v>
      </c>
      <c r="D24" s="11"/>
      <c r="E24" s="11"/>
    </row>
    <row r="25" spans="1:5" x14ac:dyDescent="0.3">
      <c r="A25" s="10" t="s">
        <v>223</v>
      </c>
      <c r="B25" s="11" t="str">
        <f t="shared" si="0"/>
        <v>NAME_GUIGUZI</v>
      </c>
      <c r="C25" s="12" t="s">
        <v>268</v>
      </c>
      <c r="D25" s="11"/>
      <c r="E25" s="11"/>
    </row>
    <row r="26" spans="1:5" x14ac:dyDescent="0.3">
      <c r="A26" s="10" t="s">
        <v>224</v>
      </c>
      <c r="B26" s="11" t="str">
        <f t="shared" si="0"/>
        <v>NAME_GUANZI</v>
      </c>
      <c r="C26" s="12" t="s">
        <v>269</v>
      </c>
      <c r="D26" s="11"/>
      <c r="E26" s="11"/>
    </row>
    <row r="27" spans="1:5" x14ac:dyDescent="0.3">
      <c r="A27" s="10" t="s">
        <v>225</v>
      </c>
      <c r="B27" s="11" t="str">
        <f t="shared" si="0"/>
        <v>NAME_HAN_FEIZI</v>
      </c>
      <c r="C27" s="12" t="s">
        <v>270</v>
      </c>
      <c r="D27" s="11"/>
      <c r="E27" s="11"/>
    </row>
    <row r="28" spans="1:5" x14ac:dyDescent="0.3">
      <c r="A28" s="10" t="s">
        <v>226</v>
      </c>
      <c r="B28" s="11" t="str">
        <f t="shared" si="0"/>
        <v>NAME_SU_SHU_OF_HUANGSHI</v>
      </c>
      <c r="C28" s="12" t="s">
        <v>271</v>
      </c>
      <c r="D28" s="11"/>
      <c r="E28" s="11"/>
    </row>
    <row r="29" spans="1:5" x14ac:dyDescent="0.3">
      <c r="A29" s="10" t="s">
        <v>227</v>
      </c>
      <c r="B29" s="11" t="str">
        <f t="shared" si="0"/>
        <v>NAME_MOZI</v>
      </c>
      <c r="C29" s="12" t="s">
        <v>272</v>
      </c>
      <c r="D29" s="11"/>
      <c r="E29" s="11"/>
    </row>
    <row r="30" spans="1:5" x14ac:dyDescent="0.3">
      <c r="A30" s="10" t="s">
        <v>228</v>
      </c>
      <c r="B30" s="11" t="str">
        <f t="shared" si="0"/>
        <v>NAME_EMPERORS_SEAL</v>
      </c>
      <c r="C30" s="12" t="s">
        <v>273</v>
      </c>
      <c r="D30" s="11"/>
      <c r="E30" s="11"/>
    </row>
    <row r="31" spans="1:5" x14ac:dyDescent="0.3">
      <c r="A31" s="10" t="s">
        <v>229</v>
      </c>
      <c r="B31" s="11" t="str">
        <f t="shared" si="0"/>
        <v>NAME_BOOK_OF_LORD_SHANG</v>
      </c>
      <c r="C31" s="12" t="s">
        <v>274</v>
      </c>
      <c r="D31" s="11"/>
      <c r="E31" s="11"/>
    </row>
    <row r="32" spans="1:5" x14ac:dyDescent="0.3">
      <c r="A32" s="10" t="s">
        <v>230</v>
      </c>
      <c r="B32" s="11" t="str">
        <f t="shared" si="0"/>
        <v>NAME_LUSHI_CHUNQIU</v>
      </c>
      <c r="C32" s="12" t="s">
        <v>275</v>
      </c>
      <c r="D32" s="11"/>
      <c r="E32" s="11"/>
    </row>
    <row r="33" spans="1:5" x14ac:dyDescent="0.3">
      <c r="A33" s="10" t="s">
        <v>231</v>
      </c>
      <c r="B33" s="11" t="str">
        <f t="shared" si="0"/>
        <v>NAME_ANALECTS</v>
      </c>
      <c r="C33" s="12" t="s">
        <v>276</v>
      </c>
      <c r="D33" s="11"/>
      <c r="E33" s="11"/>
    </row>
    <row r="34" spans="1:5" x14ac:dyDescent="0.3">
      <c r="A34" s="10" t="s">
        <v>232</v>
      </c>
      <c r="B34" s="11" t="str">
        <f t="shared" si="0"/>
        <v>NAME_WEI_ADMINISTRATIVE_CODE</v>
      </c>
      <c r="C34" s="12" t="s">
        <v>277</v>
      </c>
      <c r="D34" s="11"/>
      <c r="E34" s="11"/>
    </row>
    <row r="35" spans="1:5" x14ac:dyDescent="0.3">
      <c r="A35" s="10" t="s">
        <v>233</v>
      </c>
      <c r="B35" s="11" t="str">
        <f t="shared" si="0"/>
        <v>NAME_STRATAGEMS_OF_WARRING_STATES</v>
      </c>
      <c r="C35" s="12" t="s">
        <v>278</v>
      </c>
      <c r="D35" s="11"/>
      <c r="E35" s="11"/>
    </row>
    <row r="36" spans="1:5" x14ac:dyDescent="0.3">
      <c r="A36" s="10" t="s">
        <v>234</v>
      </c>
      <c r="B36" s="11" t="str">
        <f t="shared" si="0"/>
        <v>NAME_IMPERIAL_JADE_SEAL</v>
      </c>
      <c r="C36" s="12" t="s">
        <v>279</v>
      </c>
      <c r="D36" s="11"/>
      <c r="E36" s="11"/>
    </row>
    <row r="37" spans="1:5" x14ac:dyDescent="0.3">
      <c r="A37" s="10" t="s">
        <v>235</v>
      </c>
      <c r="B37" s="11" t="str">
        <f t="shared" si="0"/>
        <v>NAME_PREFECTS_OFFICIAL_SEAL</v>
      </c>
      <c r="C37" s="12" t="s">
        <v>280</v>
      </c>
      <c r="D37" s="11"/>
      <c r="E37" s="11"/>
    </row>
    <row r="38" spans="1:5" x14ac:dyDescent="0.3">
      <c r="A38" s="10" t="s">
        <v>236</v>
      </c>
      <c r="B38" s="11" t="str">
        <f t="shared" si="0"/>
        <v>NAME_HUANGLAO_SILK_MANUSCRIPT</v>
      </c>
      <c r="C38" s="12" t="s">
        <v>281</v>
      </c>
      <c r="D38" s="11"/>
      <c r="E38" s="11"/>
    </row>
    <row r="39" spans="1:5" x14ac:dyDescent="0.3">
      <c r="A39" s="10" t="s">
        <v>237</v>
      </c>
      <c r="B39" s="11" t="str">
        <f t="shared" si="0"/>
        <v>NAME_DOEWON_CUP</v>
      </c>
      <c r="C39" s="12" t="s">
        <v>282</v>
      </c>
      <c r="D39" s="11"/>
      <c r="E39" s="11"/>
    </row>
    <row r="40" spans="1:5" x14ac:dyDescent="0.3">
      <c r="A40" s="10" t="s">
        <v>238</v>
      </c>
      <c r="B40" s="11" t="str">
        <f t="shared" si="0"/>
        <v>NAME_HES_JADE_DISC</v>
      </c>
      <c r="C40" s="12" t="s">
        <v>283</v>
      </c>
      <c r="D40" s="11"/>
      <c r="E40" s="11"/>
    </row>
    <row r="41" spans="1:5" x14ac:dyDescent="0.3">
      <c r="A41" s="10" t="s">
        <v>239</v>
      </c>
      <c r="B41" s="11" t="str">
        <f t="shared" si="0"/>
        <v>NAME_CLASSIC_OF_MOUNTAINS_AND_SEAS</v>
      </c>
      <c r="C41" s="12" t="s">
        <v>284</v>
      </c>
      <c r="D41" s="11"/>
      <c r="E41" s="11"/>
    </row>
    <row r="42" spans="1:5" x14ac:dyDescent="0.3">
      <c r="A42" s="10" t="s">
        <v>240</v>
      </c>
      <c r="B42" s="11" t="str">
        <f t="shared" si="0"/>
        <v>NAME_XUANHE_QIN</v>
      </c>
      <c r="C42" s="12" t="s">
        <v>285</v>
      </c>
      <c r="D42" s="11"/>
      <c r="E42" s="11"/>
    </row>
    <row r="43" spans="1:5" x14ac:dyDescent="0.3">
      <c r="A43" s="10" t="s">
        <v>241</v>
      </c>
      <c r="B43" s="11" t="str">
        <f t="shared" si="0"/>
        <v>NAME_PHOENIX_JADE_PENDANT</v>
      </c>
      <c r="C43" s="12" t="s">
        <v>286</v>
      </c>
      <c r="D43" s="11"/>
      <c r="E43" s="11"/>
    </row>
    <row r="44" spans="1:5" x14ac:dyDescent="0.3">
      <c r="A44" s="10" t="s">
        <v>242</v>
      </c>
      <c r="B44" s="11" t="str">
        <f t="shared" si="0"/>
        <v>NAME_BOOK_OF_RITES</v>
      </c>
      <c r="C44" s="12" t="s">
        <v>287</v>
      </c>
      <c r="D44" s="11"/>
      <c r="E44" s="11"/>
    </row>
    <row r="45" spans="1:5" x14ac:dyDescent="0.3">
      <c r="A45" s="10" t="s">
        <v>243</v>
      </c>
      <c r="B45" s="11" t="str">
        <f t="shared" si="0"/>
        <v>NAME_ALLIANCE_LETTER</v>
      </c>
      <c r="C45" s="12" t="s">
        <v>288</v>
      </c>
      <c r="D45" s="11"/>
      <c r="E45" s="11"/>
    </row>
    <row r="46" spans="1:5" x14ac:dyDescent="0.3">
      <c r="A46" s="10" t="s">
        <v>244</v>
      </c>
      <c r="B46" s="11" t="str">
        <f t="shared" si="0"/>
        <v>NAME_HETU_LUOSHU</v>
      </c>
      <c r="C46" s="12" t="s">
        <v>289</v>
      </c>
      <c r="D46" s="11"/>
      <c r="E46" s="11"/>
    </row>
    <row r="47" spans="1:5" x14ac:dyDescent="0.3">
      <c r="A47" s="10" t="s">
        <v>245</v>
      </c>
      <c r="B47" s="11" t="str">
        <f t="shared" si="0"/>
        <v>NAME_MAP_OF_QUEEN_MOTHER_OF_THE_WEST</v>
      </c>
      <c r="C47" s="12" t="s">
        <v>290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7"/>
  <sheetViews>
    <sheetView topLeftCell="A43" workbookViewId="0">
      <selection activeCell="C52" sqref="C5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63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73</v>
      </c>
      <c r="B3">
        <v>0</v>
      </c>
      <c r="C3" t="str">
        <f>CONCATENATE(A3, "_", B3, IF(D3&lt;&gt;"", "_"&amp;D3, ""))</f>
        <v>TUTORIAL_START_0</v>
      </c>
      <c r="G3" s="3" t="s">
        <v>64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67</v>
      </c>
      <c r="G4" s="3" t="s">
        <v>68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61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72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65</v>
      </c>
      <c r="G7" s="3" t="s">
        <v>60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66</v>
      </c>
      <c r="G8" s="3" t="s">
        <v>113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65</v>
      </c>
      <c r="G9" s="3" t="s">
        <v>114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66</v>
      </c>
      <c r="G10" s="3" t="s">
        <v>112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65</v>
      </c>
      <c r="G11" s="3" t="s">
        <v>69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66</v>
      </c>
      <c r="G12" s="3" t="s">
        <v>70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71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62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87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65</v>
      </c>
      <c r="G16" s="3" t="s">
        <v>88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66</v>
      </c>
      <c r="G17" s="3" t="s">
        <v>89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86</v>
      </c>
    </row>
    <row r="19" spans="1:7" x14ac:dyDescent="0.3">
      <c r="A19" t="s">
        <v>96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101</v>
      </c>
    </row>
    <row r="20" spans="1:7" x14ac:dyDescent="0.3">
      <c r="A20" t="str">
        <f t="shared" ref="A20:A57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95</v>
      </c>
    </row>
    <row r="21" spans="1:7" x14ac:dyDescent="0.3">
      <c r="A21" t="str">
        <f t="shared" si="10"/>
        <v>1_1_1_SHU_START</v>
      </c>
      <c r="B21">
        <f t="shared" ref="B21:B57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94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91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90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99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100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97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98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102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103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104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92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93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:C35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93</v>
      </c>
    </row>
    <row r="34" spans="1:7" x14ac:dyDescent="0.3">
      <c r="A34" t="s">
        <v>474</v>
      </c>
      <c r="B34">
        <v>0</v>
      </c>
      <c r="C34" t="str">
        <f t="shared" si="13"/>
        <v>NODE_2_0</v>
      </c>
      <c r="E34" t="str">
        <f>VLOOKUP(F34,[1]HeroData!$A$3:$B$118,2, FALSE)</f>
        <v>CaoRen</v>
      </c>
      <c r="F34" t="s">
        <v>458</v>
      </c>
      <c r="G34" s="3" t="s">
        <v>477</v>
      </c>
    </row>
    <row r="35" spans="1:7" x14ac:dyDescent="0.3">
      <c r="A35" t="str">
        <f t="shared" si="10"/>
        <v>NODE_2</v>
      </c>
      <c r="B35">
        <f t="shared" si="11"/>
        <v>1</v>
      </c>
      <c r="C35" t="str">
        <f t="shared" si="13"/>
        <v>NODE_2_1</v>
      </c>
      <c r="E35" t="str">
        <f>VLOOKUP(F35,[1]HeroData!$A$3:$B$118,2, FALSE)</f>
        <v>CaoRen</v>
      </c>
      <c r="F35" t="s">
        <v>458</v>
      </c>
      <c r="G35" s="3" t="s">
        <v>459</v>
      </c>
    </row>
    <row r="36" spans="1:7" x14ac:dyDescent="0.3">
      <c r="A36" t="str">
        <f t="shared" si="10"/>
        <v>NODE_2</v>
      </c>
      <c r="B36">
        <f t="shared" si="11"/>
        <v>2</v>
      </c>
      <c r="C36" t="str">
        <f t="shared" ref="C36" si="14">CONCATENATE(A36, "_", B36, IF(D36&lt;&gt;"", "_"&amp;D36, ""))</f>
        <v>NODE_2_2</v>
      </c>
    </row>
    <row r="37" spans="1:7" x14ac:dyDescent="0.3">
      <c r="A37" t="str">
        <f t="shared" si="10"/>
        <v>NODE_2</v>
      </c>
      <c r="B37">
        <f t="shared" si="11"/>
        <v>3</v>
      </c>
      <c r="C37" t="str">
        <f t="shared" ref="C37:C50" si="15">CONCATENATE(A37, "_", B37, IF(D37&lt;&gt;"", "_"&amp;D37, ""))</f>
        <v>NODE_2_3</v>
      </c>
      <c r="E37" t="str">
        <f>VLOOKUP(F37,[1]HeroData!$A$3:$B$118,2, FALSE)</f>
        <v>CaoRen</v>
      </c>
      <c r="F37" t="s">
        <v>458</v>
      </c>
      <c r="G37" s="3" t="s">
        <v>478</v>
      </c>
    </row>
    <row r="38" spans="1:7" x14ac:dyDescent="0.3">
      <c r="A38" t="str">
        <f t="shared" si="10"/>
        <v>NODE_2</v>
      </c>
      <c r="B38">
        <f t="shared" si="11"/>
        <v>4</v>
      </c>
      <c r="C38" t="str">
        <f t="shared" si="15"/>
        <v>NODE_2_4</v>
      </c>
      <c r="E38" t="s">
        <v>480</v>
      </c>
      <c r="G38" s="3" t="s">
        <v>476</v>
      </c>
    </row>
    <row r="39" spans="1:7" x14ac:dyDescent="0.3">
      <c r="A39" t="str">
        <f t="shared" si="10"/>
        <v>NODE_2</v>
      </c>
      <c r="B39">
        <f t="shared" si="11"/>
        <v>5</v>
      </c>
      <c r="C39" t="str">
        <f t="shared" si="15"/>
        <v>NODE_2_5</v>
      </c>
      <c r="E39" t="str">
        <f>VLOOKUP(F39,[1]HeroData!$A$3:$B$118,2, FALSE)</f>
        <v>CaoRen</v>
      </c>
      <c r="F39" t="s">
        <v>458</v>
      </c>
      <c r="G39" s="3" t="s">
        <v>460</v>
      </c>
    </row>
    <row r="40" spans="1:7" ht="33" x14ac:dyDescent="0.3">
      <c r="A40" t="str">
        <f t="shared" si="10"/>
        <v>NODE_2</v>
      </c>
      <c r="B40">
        <f t="shared" si="11"/>
        <v>6</v>
      </c>
      <c r="C40" t="str">
        <f t="shared" si="15"/>
        <v>NODE_2_6</v>
      </c>
      <c r="E40" t="str">
        <f>VLOOKUP(F40,[1]HeroData!$A$3:$B$118,2, FALSE)</f>
        <v>CaoRen</v>
      </c>
      <c r="F40" t="s">
        <v>458</v>
      </c>
      <c r="G40" s="3" t="s">
        <v>481</v>
      </c>
    </row>
    <row r="41" spans="1:7" x14ac:dyDescent="0.3">
      <c r="A41" t="str">
        <f t="shared" si="10"/>
        <v>NODE_2</v>
      </c>
      <c r="B41">
        <f t="shared" si="11"/>
        <v>7</v>
      </c>
      <c r="C41" t="str">
        <f t="shared" si="15"/>
        <v>NODE_2_7</v>
      </c>
    </row>
    <row r="42" spans="1:7" x14ac:dyDescent="0.3">
      <c r="A42" t="str">
        <f t="shared" si="10"/>
        <v>NODE_2</v>
      </c>
      <c r="B42">
        <f t="shared" si="11"/>
        <v>8</v>
      </c>
      <c r="C42" t="str">
        <f t="shared" si="15"/>
        <v>NODE_2_8</v>
      </c>
      <c r="E42" t="str">
        <f>VLOOKUP(F42,[1]HeroData!$A$3:$B$118,2, FALSE)</f>
        <v>CaoCao</v>
      </c>
      <c r="F42" t="s">
        <v>51</v>
      </c>
      <c r="G42" s="3" t="s">
        <v>465</v>
      </c>
    </row>
    <row r="43" spans="1:7" x14ac:dyDescent="0.3">
      <c r="A43" t="str">
        <f t="shared" si="10"/>
        <v>NODE_2</v>
      </c>
      <c r="B43">
        <f t="shared" si="11"/>
        <v>9</v>
      </c>
      <c r="C43" t="str">
        <f t="shared" si="15"/>
        <v>NODE_2_9</v>
      </c>
      <c r="E43" t="str">
        <f>VLOOKUP(F43,[1]HeroData!$A$3:$B$118,2, FALSE)</f>
        <v>XiahouDun</v>
      </c>
      <c r="F43" t="s">
        <v>461</v>
      </c>
      <c r="G43" s="3" t="s">
        <v>462</v>
      </c>
    </row>
    <row r="44" spans="1:7" x14ac:dyDescent="0.3">
      <c r="A44" t="str">
        <f t="shared" si="10"/>
        <v>NODE_2</v>
      </c>
      <c r="B44">
        <f t="shared" si="11"/>
        <v>10</v>
      </c>
      <c r="C44" t="str">
        <f t="shared" si="15"/>
        <v>NODE_2_10</v>
      </c>
      <c r="E44" t="str">
        <f>VLOOKUP(F44,[1]HeroData!$A$3:$B$118,2, FALSE)</f>
        <v>XiahouYuan</v>
      </c>
      <c r="F44" t="s">
        <v>463</v>
      </c>
      <c r="G44" s="3" t="s">
        <v>464</v>
      </c>
    </row>
    <row r="45" spans="1:7" x14ac:dyDescent="0.3">
      <c r="A45" t="str">
        <f t="shared" si="10"/>
        <v>NODE_2</v>
      </c>
      <c r="B45">
        <f t="shared" si="11"/>
        <v>11</v>
      </c>
      <c r="C45" t="str">
        <f t="shared" si="15"/>
        <v>NODE_2_11</v>
      </c>
      <c r="E45" t="str">
        <f>VLOOKUP(F45,[1]HeroData!$A$3:$B$118,2, FALSE)</f>
        <v>XiahouDun</v>
      </c>
      <c r="F45" t="s">
        <v>461</v>
      </c>
      <c r="G45" s="3" t="s">
        <v>466</v>
      </c>
    </row>
    <row r="46" spans="1:7" x14ac:dyDescent="0.3">
      <c r="A46" t="str">
        <f t="shared" si="10"/>
        <v>NODE_2</v>
      </c>
      <c r="B46">
        <f t="shared" si="11"/>
        <v>12</v>
      </c>
      <c r="C46" t="str">
        <f t="shared" si="15"/>
        <v>NODE_2_12</v>
      </c>
      <c r="E46" t="str">
        <f>VLOOKUP(F46,[1]HeroData!$A$3:$B$118,2, FALSE)</f>
        <v>CaoCao</v>
      </c>
      <c r="F46" t="s">
        <v>51</v>
      </c>
      <c r="G46" s="3" t="s">
        <v>483</v>
      </c>
    </row>
    <row r="47" spans="1:7" ht="33" x14ac:dyDescent="0.3">
      <c r="A47" t="str">
        <f t="shared" si="10"/>
        <v>NODE_2</v>
      </c>
      <c r="B47">
        <f t="shared" si="11"/>
        <v>13</v>
      </c>
      <c r="C47" t="str">
        <f t="shared" si="15"/>
        <v>NODE_2_13</v>
      </c>
      <c r="E47" t="s">
        <v>480</v>
      </c>
      <c r="G47" s="3" t="s">
        <v>475</v>
      </c>
    </row>
    <row r="48" spans="1:7" x14ac:dyDescent="0.3">
      <c r="A48" t="str">
        <f t="shared" si="10"/>
        <v>NODE_2</v>
      </c>
      <c r="B48">
        <f t="shared" si="11"/>
        <v>14</v>
      </c>
      <c r="C48" t="str">
        <f t="shared" si="15"/>
        <v>NODE_2_14</v>
      </c>
      <c r="E48" t="str">
        <f>VLOOKUP(F48,[1]HeroData!$A$3:$B$118,2, FALSE)</f>
        <v>XiahouYuan</v>
      </c>
      <c r="F48" t="s">
        <v>463</v>
      </c>
      <c r="G48" s="3" t="s">
        <v>482</v>
      </c>
    </row>
    <row r="49" spans="1:7" x14ac:dyDescent="0.3">
      <c r="A49" t="str">
        <f t="shared" si="10"/>
        <v>NODE_2</v>
      </c>
      <c r="B49">
        <f t="shared" si="11"/>
        <v>15</v>
      </c>
      <c r="C49" t="str">
        <f t="shared" si="15"/>
        <v>NODE_2_15</v>
      </c>
      <c r="E49" t="str">
        <f>VLOOKUP(F49,[1]HeroData!$A$3:$B$118,2, FALSE)</f>
        <v>CaoCao</v>
      </c>
      <c r="F49" t="s">
        <v>51</v>
      </c>
      <c r="G49" s="3" t="s">
        <v>479</v>
      </c>
    </row>
    <row r="50" spans="1:7" x14ac:dyDescent="0.3">
      <c r="A50" t="str">
        <f t="shared" si="10"/>
        <v>NODE_2</v>
      </c>
      <c r="B50">
        <f t="shared" si="11"/>
        <v>16</v>
      </c>
      <c r="C50" t="str">
        <f t="shared" si="15"/>
        <v>NODE_2_16</v>
      </c>
    </row>
    <row r="51" spans="1:7" x14ac:dyDescent="0.3">
      <c r="A51" t="str">
        <f t="shared" si="10"/>
        <v>NODE_2</v>
      </c>
      <c r="B51">
        <f t="shared" si="11"/>
        <v>17</v>
      </c>
      <c r="C51" t="str">
        <f t="shared" ref="C51:C54" si="16">CONCATENATE(A51, "_", B51, IF(D51&lt;&gt;"", "_"&amp;D51, ""))</f>
        <v>NODE_2_17</v>
      </c>
      <c r="E51" t="str">
        <f>VLOOKUP(F51,[1]HeroData!$A$3:$B$118,2, FALSE)</f>
        <v>CaoRen</v>
      </c>
      <c r="F51" t="s">
        <v>458</v>
      </c>
      <c r="G51" s="3" t="s">
        <v>467</v>
      </c>
    </row>
    <row r="52" spans="1:7" x14ac:dyDescent="0.3">
      <c r="A52" t="str">
        <f t="shared" si="10"/>
        <v>NODE_2</v>
      </c>
      <c r="B52">
        <f t="shared" si="11"/>
        <v>18</v>
      </c>
      <c r="C52" t="str">
        <f t="shared" si="16"/>
        <v>NODE_2_18</v>
      </c>
      <c r="E52" t="str">
        <f>VLOOKUP(F52,[1]HeroData!$A$3:$B$118,2, FALSE)</f>
        <v>XiahouDun</v>
      </c>
      <c r="F52" t="s">
        <v>461</v>
      </c>
      <c r="G52" s="3" t="s">
        <v>473</v>
      </c>
    </row>
    <row r="53" spans="1:7" x14ac:dyDescent="0.3">
      <c r="A53" t="str">
        <f t="shared" si="10"/>
        <v>NODE_2</v>
      </c>
      <c r="B53">
        <f t="shared" si="11"/>
        <v>19</v>
      </c>
      <c r="C53" t="str">
        <f t="shared" si="16"/>
        <v>NODE_2_19</v>
      </c>
      <c r="E53" t="str">
        <f>VLOOKUP(F53,[1]HeroData!$A$3:$B$118,2, FALSE)</f>
        <v>CaoCao</v>
      </c>
      <c r="F53" t="s">
        <v>51</v>
      </c>
      <c r="G53" s="3" t="s">
        <v>472</v>
      </c>
    </row>
    <row r="54" spans="1:7" x14ac:dyDescent="0.3">
      <c r="A54" t="str">
        <f t="shared" si="10"/>
        <v>NODE_2</v>
      </c>
      <c r="B54">
        <f t="shared" si="11"/>
        <v>20</v>
      </c>
      <c r="C54" t="str">
        <f t="shared" si="16"/>
        <v>NODE_2_20</v>
      </c>
      <c r="E54" t="str">
        <f>VLOOKUP(F54,[1]HeroData!$A$3:$B$118,2, FALSE)</f>
        <v>CaoRen</v>
      </c>
      <c r="F54" t="s">
        <v>458</v>
      </c>
      <c r="G54" s="3" t="s">
        <v>468</v>
      </c>
    </row>
    <row r="55" spans="1:7" ht="33" x14ac:dyDescent="0.3">
      <c r="A55" t="str">
        <f t="shared" si="10"/>
        <v>NODE_2</v>
      </c>
      <c r="B55">
        <f t="shared" si="11"/>
        <v>21</v>
      </c>
      <c r="C55" t="str">
        <f t="shared" ref="C55:C56" si="17">CONCATENATE(A55, "_", B55, IF(D55&lt;&gt;"", "_"&amp;D55, ""))</f>
        <v>NODE_2_21</v>
      </c>
      <c r="E55" t="str">
        <f>VLOOKUP(F55,[1]HeroData!$A$3:$B$118,2, FALSE)</f>
        <v>CaoRen</v>
      </c>
      <c r="F55" t="s">
        <v>458</v>
      </c>
      <c r="G55" s="3" t="s">
        <v>469</v>
      </c>
    </row>
    <row r="56" spans="1:7" ht="33" x14ac:dyDescent="0.3">
      <c r="A56" t="str">
        <f t="shared" si="10"/>
        <v>NODE_2</v>
      </c>
      <c r="B56">
        <f t="shared" si="11"/>
        <v>22</v>
      </c>
      <c r="C56" t="str">
        <f t="shared" si="17"/>
        <v>NODE_2_22</v>
      </c>
      <c r="E56" t="str">
        <f>VLOOKUP(F56,[1]HeroData!$A$3:$B$118,2, FALSE)</f>
        <v>CaoCao</v>
      </c>
      <c r="F56" t="s">
        <v>51</v>
      </c>
      <c r="G56" s="3" t="s">
        <v>470</v>
      </c>
    </row>
    <row r="57" spans="1:7" x14ac:dyDescent="0.3">
      <c r="A57" t="str">
        <f t="shared" si="10"/>
        <v>NODE_2</v>
      </c>
      <c r="B57">
        <f t="shared" si="11"/>
        <v>23</v>
      </c>
      <c r="C57" t="str">
        <f t="shared" ref="C57" si="18">CONCATENATE(A57, "_", B57, IF(D57&lt;&gt;"", "_"&amp;D57, ""))</f>
        <v>NODE_2_23</v>
      </c>
      <c r="E57" t="str">
        <f>VLOOKUP(F57,[1]HeroData!$A$3:$B$118,2, FALSE)</f>
        <v>CaoRen</v>
      </c>
      <c r="F57" t="s">
        <v>458</v>
      </c>
      <c r="G57" s="3" t="s">
        <v>471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G118"/>
  <sheetViews>
    <sheetView topLeftCell="A87" workbookViewId="0">
      <selection activeCell="E94" sqref="E94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403</v>
      </c>
      <c r="B1" s="4" t="s">
        <v>159</v>
      </c>
      <c r="C1" s="4" t="s">
        <v>406</v>
      </c>
      <c r="D1" s="4" t="s">
        <v>3</v>
      </c>
      <c r="E1" s="32" t="s">
        <v>0</v>
      </c>
      <c r="F1" s="2" t="s">
        <v>1</v>
      </c>
      <c r="G1" s="31" t="s">
        <v>439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404</v>
      </c>
      <c r="B3" s="19" t="s">
        <v>336</v>
      </c>
      <c r="C3" s="19"/>
      <c r="D3" s="20" t="str">
        <f t="shared" ref="D3:D35" si="0">UPPER(B3)&amp;"_TITLE"</f>
        <v>NODE_1_TITLE</v>
      </c>
      <c r="E3" s="33" t="s">
        <v>370</v>
      </c>
      <c r="F3" s="21"/>
    </row>
    <row r="4" spans="1:7" x14ac:dyDescent="0.3">
      <c r="A4" s="27" t="s">
        <v>404</v>
      </c>
      <c r="B4" s="19" t="s">
        <v>337</v>
      </c>
      <c r="C4" s="19"/>
      <c r="D4" s="20" t="str">
        <f t="shared" si="0"/>
        <v>NODE_2_TITLE</v>
      </c>
      <c r="E4" s="33" t="s">
        <v>371</v>
      </c>
      <c r="F4" s="21"/>
    </row>
    <row r="5" spans="1:7" x14ac:dyDescent="0.3">
      <c r="A5" s="27" t="s">
        <v>404</v>
      </c>
      <c r="B5" s="19" t="s">
        <v>338</v>
      </c>
      <c r="C5" s="19"/>
      <c r="D5" s="20" t="str">
        <f t="shared" si="0"/>
        <v>NODE_3_TITLE</v>
      </c>
      <c r="E5" s="33" t="s">
        <v>372</v>
      </c>
      <c r="F5" s="21"/>
    </row>
    <row r="6" spans="1:7" x14ac:dyDescent="0.3">
      <c r="A6" s="27" t="s">
        <v>404</v>
      </c>
      <c r="B6" s="19" t="s">
        <v>339</v>
      </c>
      <c r="C6" s="19"/>
      <c r="D6" s="20" t="str">
        <f t="shared" si="0"/>
        <v>NODE_4_TITLE</v>
      </c>
      <c r="E6" s="33" t="s">
        <v>373</v>
      </c>
      <c r="F6" s="21"/>
    </row>
    <row r="7" spans="1:7" x14ac:dyDescent="0.3">
      <c r="A7" s="27" t="s">
        <v>404</v>
      </c>
      <c r="B7" s="19" t="s">
        <v>340</v>
      </c>
      <c r="C7" s="19"/>
      <c r="D7" s="20" t="str">
        <f t="shared" si="0"/>
        <v>NODE_5_TITLE</v>
      </c>
      <c r="E7" s="33" t="s">
        <v>374</v>
      </c>
      <c r="F7" s="21"/>
    </row>
    <row r="8" spans="1:7" x14ac:dyDescent="0.3">
      <c r="A8" s="27" t="s">
        <v>404</v>
      </c>
      <c r="B8" s="19" t="s">
        <v>341</v>
      </c>
      <c r="C8" s="19"/>
      <c r="D8" s="20" t="str">
        <f t="shared" si="0"/>
        <v>NODE_6_TITLE</v>
      </c>
      <c r="E8" s="33" t="s">
        <v>375</v>
      </c>
      <c r="F8" s="21"/>
    </row>
    <row r="9" spans="1:7" x14ac:dyDescent="0.3">
      <c r="A9" s="27" t="s">
        <v>404</v>
      </c>
      <c r="B9" s="19" t="s">
        <v>342</v>
      </c>
      <c r="C9" s="19"/>
      <c r="D9" s="20" t="str">
        <f t="shared" si="0"/>
        <v>NODE_7_TITLE</v>
      </c>
      <c r="E9" s="33" t="s">
        <v>376</v>
      </c>
      <c r="F9" s="21"/>
    </row>
    <row r="10" spans="1:7" x14ac:dyDescent="0.3">
      <c r="A10" s="27" t="s">
        <v>404</v>
      </c>
      <c r="B10" s="19" t="s">
        <v>343</v>
      </c>
      <c r="C10" s="19"/>
      <c r="D10" s="20" t="str">
        <f t="shared" si="0"/>
        <v>NODE_8_TITLE</v>
      </c>
      <c r="E10" s="33" t="s">
        <v>377</v>
      </c>
      <c r="F10" s="21"/>
    </row>
    <row r="11" spans="1:7" x14ac:dyDescent="0.3">
      <c r="A11" s="27" t="s">
        <v>404</v>
      </c>
      <c r="B11" s="19" t="s">
        <v>344</v>
      </c>
      <c r="C11" s="19"/>
      <c r="D11" s="20" t="str">
        <f t="shared" si="0"/>
        <v>NODE_9_TITLE</v>
      </c>
      <c r="E11" s="33" t="s">
        <v>378</v>
      </c>
      <c r="F11" s="21"/>
    </row>
    <row r="12" spans="1:7" x14ac:dyDescent="0.3">
      <c r="A12" s="27" t="s">
        <v>404</v>
      </c>
      <c r="B12" s="19" t="s">
        <v>345</v>
      </c>
      <c r="C12" s="19"/>
      <c r="D12" s="20" t="str">
        <f t="shared" si="0"/>
        <v>NODE_10_TITLE</v>
      </c>
      <c r="E12" s="33" t="s">
        <v>379</v>
      </c>
      <c r="F12" s="21"/>
    </row>
    <row r="13" spans="1:7" x14ac:dyDescent="0.3">
      <c r="A13" s="27" t="s">
        <v>404</v>
      </c>
      <c r="B13" s="19" t="s">
        <v>346</v>
      </c>
      <c r="C13" s="19"/>
      <c r="D13" s="20" t="str">
        <f t="shared" si="0"/>
        <v>NODE_11_TITLE</v>
      </c>
      <c r="E13" s="33" t="s">
        <v>380</v>
      </c>
      <c r="F13" s="21"/>
    </row>
    <row r="14" spans="1:7" x14ac:dyDescent="0.3">
      <c r="A14" s="27" t="s">
        <v>404</v>
      </c>
      <c r="B14" s="19" t="s">
        <v>347</v>
      </c>
      <c r="C14" s="19"/>
      <c r="D14" s="20" t="str">
        <f t="shared" si="0"/>
        <v>NODE_12A_TITLE</v>
      </c>
      <c r="E14" s="33" t="s">
        <v>381</v>
      </c>
      <c r="F14" s="21"/>
    </row>
    <row r="15" spans="1:7" x14ac:dyDescent="0.3">
      <c r="A15" s="27" t="s">
        <v>404</v>
      </c>
      <c r="B15" s="19" t="s">
        <v>348</v>
      </c>
      <c r="C15" s="19"/>
      <c r="D15" s="20" t="str">
        <f t="shared" si="0"/>
        <v>NODE_12B_TITLE</v>
      </c>
      <c r="E15" s="33" t="s">
        <v>382</v>
      </c>
      <c r="F15" s="21"/>
    </row>
    <row r="16" spans="1:7" x14ac:dyDescent="0.3">
      <c r="A16" s="27" t="s">
        <v>404</v>
      </c>
      <c r="B16" s="19" t="s">
        <v>349</v>
      </c>
      <c r="C16" s="19"/>
      <c r="D16" s="20" t="str">
        <f t="shared" si="0"/>
        <v>NODE_13_TITLE</v>
      </c>
      <c r="E16" s="33" t="s">
        <v>436</v>
      </c>
      <c r="F16" s="21"/>
    </row>
    <row r="17" spans="1:6" x14ac:dyDescent="0.3">
      <c r="A17" s="27" t="s">
        <v>404</v>
      </c>
      <c r="B17" s="19" t="s">
        <v>350</v>
      </c>
      <c r="C17" s="19"/>
      <c r="D17" s="20" t="str">
        <f t="shared" si="0"/>
        <v>NODE_14_TITLE</v>
      </c>
      <c r="E17" s="33" t="s">
        <v>383</v>
      </c>
      <c r="F17" s="21"/>
    </row>
    <row r="18" spans="1:6" x14ac:dyDescent="0.3">
      <c r="A18" s="27" t="s">
        <v>404</v>
      </c>
      <c r="B18" s="19" t="s">
        <v>351</v>
      </c>
      <c r="C18" s="19"/>
      <c r="D18" s="20" t="str">
        <f t="shared" si="0"/>
        <v>NODE_15_TITLE</v>
      </c>
      <c r="E18" s="33" t="s">
        <v>384</v>
      </c>
      <c r="F18" s="21"/>
    </row>
    <row r="19" spans="1:6" x14ac:dyDescent="0.3">
      <c r="A19" s="27" t="s">
        <v>404</v>
      </c>
      <c r="B19" s="19" t="s">
        <v>352</v>
      </c>
      <c r="C19" s="19"/>
      <c r="D19" s="20" t="str">
        <f t="shared" si="0"/>
        <v>NODE_16_TITLE</v>
      </c>
      <c r="E19" s="33" t="s">
        <v>385</v>
      </c>
      <c r="F19" s="21"/>
    </row>
    <row r="20" spans="1:6" x14ac:dyDescent="0.3">
      <c r="A20" s="27" t="s">
        <v>404</v>
      </c>
      <c r="B20" s="19" t="s">
        <v>353</v>
      </c>
      <c r="C20" s="19"/>
      <c r="D20" s="20" t="str">
        <f t="shared" si="0"/>
        <v>NODE_17_TITLE</v>
      </c>
      <c r="E20" s="33" t="s">
        <v>386</v>
      </c>
      <c r="F20" s="21"/>
    </row>
    <row r="21" spans="1:6" x14ac:dyDescent="0.3">
      <c r="A21" s="27" t="s">
        <v>404</v>
      </c>
      <c r="B21" s="19" t="s">
        <v>354</v>
      </c>
      <c r="C21" s="19"/>
      <c r="D21" s="20" t="str">
        <f t="shared" si="0"/>
        <v>NODE_18_TITLE</v>
      </c>
      <c r="E21" s="33" t="s">
        <v>387</v>
      </c>
      <c r="F21" s="21"/>
    </row>
    <row r="22" spans="1:6" x14ac:dyDescent="0.3">
      <c r="A22" s="27" t="s">
        <v>404</v>
      </c>
      <c r="B22" s="19" t="s">
        <v>355</v>
      </c>
      <c r="C22" s="19"/>
      <c r="D22" s="20" t="str">
        <f t="shared" si="0"/>
        <v>NODE_19A_TITLE</v>
      </c>
      <c r="E22" s="33" t="s">
        <v>388</v>
      </c>
      <c r="F22" s="21"/>
    </row>
    <row r="23" spans="1:6" x14ac:dyDescent="0.3">
      <c r="A23" s="27" t="s">
        <v>404</v>
      </c>
      <c r="B23" s="19" t="s">
        <v>356</v>
      </c>
      <c r="C23" s="19"/>
      <c r="D23" s="20" t="str">
        <f t="shared" si="0"/>
        <v>NODE_19B_TITLE</v>
      </c>
      <c r="E23" s="33" t="s">
        <v>389</v>
      </c>
      <c r="F23" s="21"/>
    </row>
    <row r="24" spans="1:6" x14ac:dyDescent="0.3">
      <c r="A24" s="27" t="s">
        <v>404</v>
      </c>
      <c r="B24" s="19" t="s">
        <v>357</v>
      </c>
      <c r="C24" s="19"/>
      <c r="D24" s="20" t="str">
        <f t="shared" si="0"/>
        <v>NODE_20_TITLE</v>
      </c>
      <c r="E24" s="33" t="s">
        <v>390</v>
      </c>
      <c r="F24" s="21"/>
    </row>
    <row r="25" spans="1:6" x14ac:dyDescent="0.3">
      <c r="A25" s="27" t="s">
        <v>404</v>
      </c>
      <c r="B25" s="19" t="s">
        <v>358</v>
      </c>
      <c r="C25" s="19"/>
      <c r="D25" s="20" t="str">
        <f t="shared" si="0"/>
        <v>NODE_21A_TITLE</v>
      </c>
      <c r="E25" s="33" t="s">
        <v>391</v>
      </c>
      <c r="F25" s="21"/>
    </row>
    <row r="26" spans="1:6" x14ac:dyDescent="0.3">
      <c r="A26" s="27" t="s">
        <v>404</v>
      </c>
      <c r="B26" s="19" t="s">
        <v>359</v>
      </c>
      <c r="C26" s="19"/>
      <c r="D26" s="20" t="str">
        <f t="shared" si="0"/>
        <v>NODE_21B_TITLE</v>
      </c>
      <c r="E26" s="33" t="s">
        <v>392</v>
      </c>
      <c r="F26" s="21"/>
    </row>
    <row r="27" spans="1:6" x14ac:dyDescent="0.3">
      <c r="A27" s="27" t="s">
        <v>404</v>
      </c>
      <c r="B27" s="19" t="s">
        <v>360</v>
      </c>
      <c r="C27" s="19"/>
      <c r="D27" s="20" t="str">
        <f t="shared" si="0"/>
        <v>NODE_22_TITLE</v>
      </c>
      <c r="E27" s="33" t="s">
        <v>393</v>
      </c>
      <c r="F27" s="21"/>
    </row>
    <row r="28" spans="1:6" x14ac:dyDescent="0.3">
      <c r="A28" s="27" t="s">
        <v>404</v>
      </c>
      <c r="B28" s="19" t="s">
        <v>361</v>
      </c>
      <c r="C28" s="19"/>
      <c r="D28" s="20" t="str">
        <f t="shared" si="0"/>
        <v>NODE_23A_TITLE</v>
      </c>
      <c r="E28" s="33" t="s">
        <v>394</v>
      </c>
      <c r="F28" s="21"/>
    </row>
    <row r="29" spans="1:6" x14ac:dyDescent="0.3">
      <c r="A29" s="27" t="s">
        <v>404</v>
      </c>
      <c r="B29" s="19" t="s">
        <v>362</v>
      </c>
      <c r="C29" s="19"/>
      <c r="D29" s="20" t="str">
        <f t="shared" si="0"/>
        <v>NODE_23B_TITLE</v>
      </c>
      <c r="E29" s="33" t="s">
        <v>395</v>
      </c>
      <c r="F29" s="21"/>
    </row>
    <row r="30" spans="1:6" x14ac:dyDescent="0.3">
      <c r="A30" s="27" t="s">
        <v>404</v>
      </c>
      <c r="B30" s="19" t="s">
        <v>363</v>
      </c>
      <c r="C30" s="19"/>
      <c r="D30" s="20" t="str">
        <f t="shared" si="0"/>
        <v>NODE_24A_TITLE</v>
      </c>
      <c r="E30" s="33" t="s">
        <v>396</v>
      </c>
      <c r="F30" s="21"/>
    </row>
    <row r="31" spans="1:6" x14ac:dyDescent="0.3">
      <c r="A31" s="27" t="s">
        <v>404</v>
      </c>
      <c r="B31" s="19" t="s">
        <v>364</v>
      </c>
      <c r="C31" s="19"/>
      <c r="D31" s="20" t="str">
        <f t="shared" si="0"/>
        <v>NODE_24B_TITLE</v>
      </c>
      <c r="E31" s="33" t="s">
        <v>397</v>
      </c>
      <c r="F31" s="21"/>
    </row>
    <row r="32" spans="1:6" x14ac:dyDescent="0.3">
      <c r="A32" s="27" t="s">
        <v>404</v>
      </c>
      <c r="B32" s="19" t="s">
        <v>365</v>
      </c>
      <c r="C32" s="19"/>
      <c r="D32" s="20" t="str">
        <f t="shared" si="0"/>
        <v>NODE_25_TITLE</v>
      </c>
      <c r="E32" s="33" t="s">
        <v>398</v>
      </c>
      <c r="F32" s="21"/>
    </row>
    <row r="33" spans="1:6" x14ac:dyDescent="0.3">
      <c r="A33" s="27" t="s">
        <v>404</v>
      </c>
      <c r="B33" s="19" t="s">
        <v>366</v>
      </c>
      <c r="C33" s="19"/>
      <c r="D33" s="20" t="str">
        <f t="shared" si="0"/>
        <v>NODE_26_TITLE</v>
      </c>
      <c r="E33" s="33" t="s">
        <v>399</v>
      </c>
      <c r="F33" s="21"/>
    </row>
    <row r="34" spans="1:6" x14ac:dyDescent="0.3">
      <c r="A34" s="27" t="s">
        <v>404</v>
      </c>
      <c r="B34" s="19" t="s">
        <v>367</v>
      </c>
      <c r="C34" s="19"/>
      <c r="D34" s="20" t="str">
        <f t="shared" si="0"/>
        <v>NODE_27_TITLE</v>
      </c>
      <c r="E34" s="33" t="s">
        <v>400</v>
      </c>
      <c r="F34" s="21"/>
    </row>
    <row r="35" spans="1:6" x14ac:dyDescent="0.3">
      <c r="A35" s="27" t="s">
        <v>404</v>
      </c>
      <c r="B35" s="22" t="s">
        <v>368</v>
      </c>
      <c r="C35" s="22"/>
      <c r="D35" s="23" t="str">
        <f t="shared" si="0"/>
        <v>NODE_28_TITLE</v>
      </c>
      <c r="E35" s="34" t="s">
        <v>401</v>
      </c>
      <c r="F35" s="24"/>
    </row>
    <row r="36" spans="1:6" x14ac:dyDescent="0.3">
      <c r="A36" s="21" t="s">
        <v>404</v>
      </c>
      <c r="B36" s="19" t="s">
        <v>369</v>
      </c>
      <c r="C36" s="19"/>
      <c r="D36" s="20" t="str">
        <f t="shared" ref="D36" si="1">UPPER(B36)&amp;"_TITLE"</f>
        <v>NODE_29_TITLE</v>
      </c>
      <c r="E36" s="33" t="s">
        <v>402</v>
      </c>
      <c r="F36" s="21"/>
    </row>
    <row r="37" spans="1:6" x14ac:dyDescent="0.3">
      <c r="A37" s="27" t="s">
        <v>410</v>
      </c>
      <c r="B37" s="19" t="s">
        <v>336</v>
      </c>
      <c r="C37" s="19"/>
      <c r="D37" s="20" t="str">
        <f t="shared" ref="D37:D69" si="2">UPPER(B37)&amp;"_DESC"</f>
        <v>NODE_1_DESC</v>
      </c>
      <c r="E37" s="28" t="s">
        <v>441</v>
      </c>
      <c r="F37" s="21"/>
    </row>
    <row r="38" spans="1:6" x14ac:dyDescent="0.3">
      <c r="A38" s="27" t="s">
        <v>410</v>
      </c>
      <c r="B38" s="19" t="s">
        <v>337</v>
      </c>
      <c r="C38" s="19"/>
      <c r="D38" s="20" t="str">
        <f t="shared" si="2"/>
        <v>NODE_2_DESC</v>
      </c>
      <c r="E38" s="33" t="s">
        <v>427</v>
      </c>
      <c r="F38" s="21"/>
    </row>
    <row r="39" spans="1:6" x14ac:dyDescent="0.3">
      <c r="A39" s="27" t="s">
        <v>410</v>
      </c>
      <c r="B39" s="19" t="s">
        <v>338</v>
      </c>
      <c r="C39" s="19"/>
      <c r="D39" s="20" t="str">
        <f t="shared" si="2"/>
        <v>NODE_3_DESC</v>
      </c>
      <c r="E39" s="28" t="s">
        <v>442</v>
      </c>
      <c r="F39" s="21"/>
    </row>
    <row r="40" spans="1:6" x14ac:dyDescent="0.3">
      <c r="A40" s="27" t="s">
        <v>410</v>
      </c>
      <c r="B40" s="19" t="s">
        <v>339</v>
      </c>
      <c r="C40" s="19"/>
      <c r="D40" s="20" t="str">
        <f t="shared" si="2"/>
        <v>NODE_4_DESC</v>
      </c>
      <c r="E40" s="33" t="s">
        <v>428</v>
      </c>
      <c r="F40" s="21"/>
    </row>
    <row r="41" spans="1:6" x14ac:dyDescent="0.3">
      <c r="A41" s="27" t="s">
        <v>410</v>
      </c>
      <c r="B41" s="19" t="s">
        <v>340</v>
      </c>
      <c r="C41" s="19"/>
      <c r="D41" s="20" t="str">
        <f t="shared" si="2"/>
        <v>NODE_5_DESC</v>
      </c>
      <c r="E41" s="33" t="s">
        <v>429</v>
      </c>
      <c r="F41" s="21"/>
    </row>
    <row r="42" spans="1:6" x14ac:dyDescent="0.3">
      <c r="A42" s="27" t="s">
        <v>410</v>
      </c>
      <c r="B42" s="19" t="s">
        <v>341</v>
      </c>
      <c r="C42" s="19"/>
      <c r="D42" s="20" t="str">
        <f t="shared" si="2"/>
        <v>NODE_6_DESC</v>
      </c>
      <c r="E42" s="33" t="s">
        <v>432</v>
      </c>
      <c r="F42" s="21"/>
    </row>
    <row r="43" spans="1:6" x14ac:dyDescent="0.3">
      <c r="A43" s="27" t="s">
        <v>410</v>
      </c>
      <c r="B43" s="19" t="s">
        <v>342</v>
      </c>
      <c r="C43" s="19"/>
      <c r="D43" s="20" t="str">
        <f t="shared" si="2"/>
        <v>NODE_7_DESC</v>
      </c>
      <c r="E43" s="33" t="s">
        <v>450</v>
      </c>
      <c r="F43" s="21"/>
    </row>
    <row r="44" spans="1:6" x14ac:dyDescent="0.3">
      <c r="A44" s="27" t="s">
        <v>410</v>
      </c>
      <c r="B44" s="19" t="s">
        <v>343</v>
      </c>
      <c r="C44" s="19"/>
      <c r="D44" s="20" t="str">
        <f t="shared" si="2"/>
        <v>NODE_8_DESC</v>
      </c>
      <c r="E44" s="33" t="s">
        <v>411</v>
      </c>
      <c r="F44" s="21"/>
    </row>
    <row r="45" spans="1:6" x14ac:dyDescent="0.3">
      <c r="A45" s="27" t="s">
        <v>410</v>
      </c>
      <c r="B45" s="19" t="s">
        <v>344</v>
      </c>
      <c r="C45" s="19"/>
      <c r="D45" s="20" t="str">
        <f t="shared" si="2"/>
        <v>NODE_9_DESC</v>
      </c>
      <c r="E45" s="33" t="s">
        <v>430</v>
      </c>
      <c r="F45" s="21"/>
    </row>
    <row r="46" spans="1:6" x14ac:dyDescent="0.3">
      <c r="A46" s="27" t="s">
        <v>410</v>
      </c>
      <c r="B46" s="19" t="s">
        <v>345</v>
      </c>
      <c r="C46" s="19"/>
      <c r="D46" s="20" t="str">
        <f t="shared" si="2"/>
        <v>NODE_10_DESC</v>
      </c>
      <c r="E46" s="33" t="s">
        <v>431</v>
      </c>
      <c r="F46" s="21"/>
    </row>
    <row r="47" spans="1:6" x14ac:dyDescent="0.3">
      <c r="A47" s="27" t="s">
        <v>410</v>
      </c>
      <c r="B47" s="19" t="s">
        <v>346</v>
      </c>
      <c r="C47" s="19"/>
      <c r="D47" s="20" t="str">
        <f t="shared" si="2"/>
        <v>NODE_11_DESC</v>
      </c>
      <c r="E47" s="33" t="s">
        <v>433</v>
      </c>
      <c r="F47" s="21"/>
    </row>
    <row r="48" spans="1:6" x14ac:dyDescent="0.3">
      <c r="A48" s="27" t="s">
        <v>410</v>
      </c>
      <c r="B48" s="19" t="s">
        <v>347</v>
      </c>
      <c r="C48" s="19"/>
      <c r="D48" s="20" t="str">
        <f t="shared" si="2"/>
        <v>NODE_12A_DESC</v>
      </c>
      <c r="E48" s="33" t="s">
        <v>434</v>
      </c>
      <c r="F48" s="21"/>
    </row>
    <row r="49" spans="1:7" x14ac:dyDescent="0.3">
      <c r="A49" s="27" t="s">
        <v>410</v>
      </c>
      <c r="B49" s="19" t="s">
        <v>348</v>
      </c>
      <c r="C49" s="19"/>
      <c r="D49" s="20" t="str">
        <f t="shared" si="2"/>
        <v>NODE_12B_DESC</v>
      </c>
      <c r="E49" s="33" t="s">
        <v>435</v>
      </c>
      <c r="F49" s="21"/>
    </row>
    <row r="50" spans="1:7" x14ac:dyDescent="0.3">
      <c r="A50" s="27" t="s">
        <v>410</v>
      </c>
      <c r="B50" s="19" t="s">
        <v>349</v>
      </c>
      <c r="C50" s="19"/>
      <c r="D50" s="20" t="str">
        <f t="shared" si="2"/>
        <v>NODE_13_DESC</v>
      </c>
      <c r="E50" s="33" t="s">
        <v>443</v>
      </c>
      <c r="F50" s="21"/>
    </row>
    <row r="51" spans="1:7" x14ac:dyDescent="0.3">
      <c r="A51" s="27" t="s">
        <v>410</v>
      </c>
      <c r="B51" s="19" t="s">
        <v>350</v>
      </c>
      <c r="C51" s="19"/>
      <c r="D51" s="20" t="str">
        <f t="shared" si="2"/>
        <v>NODE_14_DESC</v>
      </c>
      <c r="E51" s="33" t="s">
        <v>412</v>
      </c>
      <c r="F51" s="21"/>
    </row>
    <row r="52" spans="1:7" x14ac:dyDescent="0.3">
      <c r="A52" s="27" t="s">
        <v>410</v>
      </c>
      <c r="B52" s="19" t="s">
        <v>351</v>
      </c>
      <c r="C52" s="19"/>
      <c r="D52" s="20" t="str">
        <f t="shared" si="2"/>
        <v>NODE_15_DESC</v>
      </c>
      <c r="E52" s="33" t="s">
        <v>437</v>
      </c>
      <c r="F52" s="21"/>
    </row>
    <row r="53" spans="1:7" x14ac:dyDescent="0.3">
      <c r="A53" s="27" t="s">
        <v>410</v>
      </c>
      <c r="B53" s="19" t="s">
        <v>352</v>
      </c>
      <c r="C53" s="19"/>
      <c r="D53" s="20" t="str">
        <f t="shared" si="2"/>
        <v>NODE_16_DESC</v>
      </c>
      <c r="E53" s="33" t="s">
        <v>438</v>
      </c>
      <c r="F53" s="21"/>
    </row>
    <row r="54" spans="1:7" x14ac:dyDescent="0.3">
      <c r="A54" s="27" t="s">
        <v>410</v>
      </c>
      <c r="B54" s="19" t="s">
        <v>353</v>
      </c>
      <c r="C54" s="19"/>
      <c r="D54" s="20" t="str">
        <f t="shared" si="2"/>
        <v>NODE_17_DESC</v>
      </c>
      <c r="E54" s="33" t="s">
        <v>444</v>
      </c>
      <c r="F54" s="21"/>
      <c r="G54" s="35" t="s">
        <v>413</v>
      </c>
    </row>
    <row r="55" spans="1:7" x14ac:dyDescent="0.3">
      <c r="A55" s="27" t="s">
        <v>410</v>
      </c>
      <c r="B55" s="19" t="s">
        <v>354</v>
      </c>
      <c r="C55" s="19"/>
      <c r="D55" s="20" t="str">
        <f t="shared" si="2"/>
        <v>NODE_18_DESC</v>
      </c>
      <c r="E55" s="33" t="s">
        <v>445</v>
      </c>
      <c r="F55" s="21"/>
      <c r="G55" s="35" t="s">
        <v>414</v>
      </c>
    </row>
    <row r="56" spans="1:7" x14ac:dyDescent="0.3">
      <c r="A56" s="27" t="s">
        <v>410</v>
      </c>
      <c r="B56" s="19" t="s">
        <v>355</v>
      </c>
      <c r="C56" s="19"/>
      <c r="D56" s="20" t="str">
        <f t="shared" si="2"/>
        <v>NODE_19A_DESC</v>
      </c>
      <c r="E56" s="33" t="s">
        <v>446</v>
      </c>
      <c r="F56" s="21"/>
      <c r="G56" s="35" t="s">
        <v>415</v>
      </c>
    </row>
    <row r="57" spans="1:7" x14ac:dyDescent="0.3">
      <c r="A57" s="27" t="s">
        <v>410</v>
      </c>
      <c r="B57" s="19" t="s">
        <v>356</v>
      </c>
      <c r="C57" s="19"/>
      <c r="D57" s="20" t="str">
        <f t="shared" si="2"/>
        <v>NODE_19B_DESC</v>
      </c>
      <c r="E57" s="33" t="s">
        <v>447</v>
      </c>
      <c r="F57" s="21"/>
      <c r="G57" s="35" t="s">
        <v>416</v>
      </c>
    </row>
    <row r="58" spans="1:7" x14ac:dyDescent="0.3">
      <c r="A58" s="27" t="s">
        <v>410</v>
      </c>
      <c r="B58" s="19" t="s">
        <v>357</v>
      </c>
      <c r="C58" s="19"/>
      <c r="D58" s="20" t="str">
        <f t="shared" si="2"/>
        <v>NODE_20_DESC</v>
      </c>
      <c r="E58" s="33" t="s">
        <v>448</v>
      </c>
      <c r="F58" s="21"/>
      <c r="G58" s="35" t="s">
        <v>417</v>
      </c>
    </row>
    <row r="59" spans="1:7" x14ac:dyDescent="0.3">
      <c r="A59" s="27" t="s">
        <v>410</v>
      </c>
      <c r="B59" s="19" t="s">
        <v>358</v>
      </c>
      <c r="C59" s="19"/>
      <c r="D59" s="20" t="str">
        <f t="shared" si="2"/>
        <v>NODE_21A_DESC</v>
      </c>
      <c r="E59" s="33" t="s">
        <v>449</v>
      </c>
      <c r="F59" s="21"/>
      <c r="G59" s="35" t="s">
        <v>418</v>
      </c>
    </row>
    <row r="60" spans="1:7" x14ac:dyDescent="0.3">
      <c r="A60" s="27" t="s">
        <v>410</v>
      </c>
      <c r="B60" s="19" t="s">
        <v>359</v>
      </c>
      <c r="C60" s="19"/>
      <c r="D60" s="20" t="str">
        <f t="shared" si="2"/>
        <v>NODE_21B_DESC</v>
      </c>
      <c r="E60" s="33" t="s">
        <v>451</v>
      </c>
      <c r="F60" s="21"/>
      <c r="G60" s="35" t="s">
        <v>419</v>
      </c>
    </row>
    <row r="61" spans="1:7" x14ac:dyDescent="0.3">
      <c r="A61" s="27" t="s">
        <v>410</v>
      </c>
      <c r="B61" s="19" t="s">
        <v>360</v>
      </c>
      <c r="C61" s="19"/>
      <c r="D61" s="20" t="str">
        <f t="shared" si="2"/>
        <v>NODE_22_DESC</v>
      </c>
      <c r="E61" s="33" t="s">
        <v>452</v>
      </c>
      <c r="F61" s="21"/>
      <c r="G61" s="35" t="s">
        <v>420</v>
      </c>
    </row>
    <row r="62" spans="1:7" x14ac:dyDescent="0.3">
      <c r="A62" s="27" t="s">
        <v>410</v>
      </c>
      <c r="B62" s="19" t="s">
        <v>361</v>
      </c>
      <c r="C62" s="19"/>
      <c r="D62" s="20" t="str">
        <f t="shared" si="2"/>
        <v>NODE_23A_DESC</v>
      </c>
      <c r="E62" s="33" t="s">
        <v>453</v>
      </c>
      <c r="F62" s="21"/>
      <c r="G62" s="35" t="s">
        <v>421</v>
      </c>
    </row>
    <row r="63" spans="1:7" x14ac:dyDescent="0.3">
      <c r="A63" s="27" t="s">
        <v>410</v>
      </c>
      <c r="B63" s="19" t="s">
        <v>362</v>
      </c>
      <c r="C63" s="19"/>
      <c r="D63" s="20" t="str">
        <f t="shared" si="2"/>
        <v>NODE_23B_DESC</v>
      </c>
      <c r="E63" s="33" t="s">
        <v>454</v>
      </c>
      <c r="F63" s="21"/>
      <c r="G63" s="35" t="s">
        <v>422</v>
      </c>
    </row>
    <row r="64" spans="1:7" x14ac:dyDescent="0.3">
      <c r="A64" s="27" t="s">
        <v>410</v>
      </c>
      <c r="B64" s="19" t="s">
        <v>363</v>
      </c>
      <c r="C64" s="19"/>
      <c r="D64" s="20" t="str">
        <f t="shared" si="2"/>
        <v>NODE_24A_DESC</v>
      </c>
      <c r="E64" s="33" t="s">
        <v>455</v>
      </c>
      <c r="F64" s="21"/>
      <c r="G64" s="35" t="s">
        <v>423</v>
      </c>
    </row>
    <row r="65" spans="1:7" x14ac:dyDescent="0.3">
      <c r="A65" s="27" t="s">
        <v>410</v>
      </c>
      <c r="B65" s="19" t="s">
        <v>364</v>
      </c>
      <c r="C65" s="19"/>
      <c r="D65" s="20" t="str">
        <f t="shared" si="2"/>
        <v>NODE_24B_DESC</v>
      </c>
      <c r="E65" s="33" t="s">
        <v>456</v>
      </c>
      <c r="F65" s="21"/>
      <c r="G65" s="35" t="s">
        <v>424</v>
      </c>
    </row>
    <row r="66" spans="1:7" x14ac:dyDescent="0.3">
      <c r="A66" s="27" t="s">
        <v>410</v>
      </c>
      <c r="B66" s="19" t="s">
        <v>365</v>
      </c>
      <c r="C66" s="19"/>
      <c r="D66" s="20" t="str">
        <f t="shared" si="2"/>
        <v>NODE_25_DESC</v>
      </c>
      <c r="E66" s="33" t="s">
        <v>440</v>
      </c>
      <c r="F66" s="21"/>
      <c r="G66" s="35" t="s">
        <v>425</v>
      </c>
    </row>
    <row r="67" spans="1:7" x14ac:dyDescent="0.3">
      <c r="A67" s="27" t="s">
        <v>410</v>
      </c>
      <c r="B67" s="19" t="s">
        <v>366</v>
      </c>
      <c r="C67" s="19"/>
      <c r="D67" s="20" t="str">
        <f t="shared" si="2"/>
        <v>NODE_26_DESC</v>
      </c>
      <c r="E67" s="33" t="s">
        <v>440</v>
      </c>
      <c r="F67" s="21"/>
      <c r="G67" s="35" t="s">
        <v>426</v>
      </c>
    </row>
    <row r="68" spans="1:7" x14ac:dyDescent="0.3">
      <c r="A68" s="27" t="s">
        <v>410</v>
      </c>
      <c r="B68" s="19" t="s">
        <v>367</v>
      </c>
      <c r="C68" s="19"/>
      <c r="D68" s="20" t="str">
        <f t="shared" si="2"/>
        <v>NODE_27_DESC</v>
      </c>
      <c r="E68" s="33" t="s">
        <v>440</v>
      </c>
      <c r="F68" s="21"/>
      <c r="G68" s="35" t="s">
        <v>400</v>
      </c>
    </row>
    <row r="69" spans="1:7" x14ac:dyDescent="0.3">
      <c r="A69" s="27" t="s">
        <v>410</v>
      </c>
      <c r="B69" s="22" t="s">
        <v>368</v>
      </c>
      <c r="C69" s="22"/>
      <c r="D69" s="20" t="str">
        <f t="shared" si="2"/>
        <v>NODE_28_DESC</v>
      </c>
      <c r="E69" s="33" t="s">
        <v>440</v>
      </c>
      <c r="F69" s="24"/>
      <c r="G69" s="35" t="s">
        <v>401</v>
      </c>
    </row>
    <row r="70" spans="1:7" x14ac:dyDescent="0.3">
      <c r="A70" s="27" t="s">
        <v>410</v>
      </c>
      <c r="B70" s="19" t="s">
        <v>369</v>
      </c>
      <c r="C70" s="19"/>
      <c r="D70" s="20" t="str">
        <f>UPPER(B70)&amp;"_DESC"</f>
        <v>NODE_29_DESC</v>
      </c>
      <c r="E70" s="33" t="s">
        <v>440</v>
      </c>
      <c r="F70" s="21"/>
      <c r="G70" s="35" t="s">
        <v>402</v>
      </c>
    </row>
    <row r="71" spans="1:7" x14ac:dyDescent="0.2">
      <c r="A71" s="21" t="s">
        <v>405</v>
      </c>
      <c r="B71" s="25" t="s">
        <v>336</v>
      </c>
      <c r="C71" s="26">
        <v>1</v>
      </c>
      <c r="D71" s="20" t="str">
        <f t="shared" ref="D71:D93" si="3">UPPER(B71)&amp;"_CHOICE_"&amp;C71</f>
        <v>NODE_1_CHOICE_1</v>
      </c>
      <c r="E71" s="29"/>
      <c r="F71" s="21"/>
    </row>
    <row r="72" spans="1:7" x14ac:dyDescent="0.2">
      <c r="A72" s="21" t="s">
        <v>405</v>
      </c>
      <c r="B72" s="25" t="s">
        <v>336</v>
      </c>
      <c r="C72" s="26">
        <v>2</v>
      </c>
      <c r="D72" s="20" t="str">
        <f t="shared" si="3"/>
        <v>NODE_1_CHOICE_2</v>
      </c>
      <c r="E72" s="29"/>
      <c r="F72" s="21"/>
    </row>
    <row r="73" spans="1:7" x14ac:dyDescent="0.2">
      <c r="A73" s="21" t="s">
        <v>405</v>
      </c>
      <c r="B73" s="25" t="s">
        <v>340</v>
      </c>
      <c r="C73" s="26">
        <v>1</v>
      </c>
      <c r="D73" s="20" t="str">
        <f t="shared" si="3"/>
        <v>NODE_5_CHOICE_1</v>
      </c>
      <c r="E73" s="29"/>
      <c r="F73" s="21"/>
    </row>
    <row r="74" spans="1:7" x14ac:dyDescent="0.2">
      <c r="A74" s="21" t="s">
        <v>405</v>
      </c>
      <c r="B74" s="25" t="s">
        <v>340</v>
      </c>
      <c r="C74" s="26">
        <v>2</v>
      </c>
      <c r="D74" s="20" t="str">
        <f t="shared" si="3"/>
        <v>NODE_5_CHOICE_2</v>
      </c>
      <c r="E74" s="29"/>
      <c r="F74" s="21"/>
    </row>
    <row r="75" spans="1:7" x14ac:dyDescent="0.2">
      <c r="A75" s="21" t="s">
        <v>405</v>
      </c>
      <c r="B75" s="25" t="s">
        <v>341</v>
      </c>
      <c r="C75" s="26">
        <v>1</v>
      </c>
      <c r="D75" s="20" t="str">
        <f t="shared" si="3"/>
        <v>NODE_6_CHOICE_1</v>
      </c>
      <c r="E75" s="29"/>
      <c r="F75" s="21"/>
    </row>
    <row r="76" spans="1:7" x14ac:dyDescent="0.2">
      <c r="A76" s="21" t="s">
        <v>405</v>
      </c>
      <c r="B76" s="25" t="s">
        <v>341</v>
      </c>
      <c r="C76" s="26">
        <v>2</v>
      </c>
      <c r="D76" s="20" t="str">
        <f t="shared" si="3"/>
        <v>NODE_6_CHOICE_2</v>
      </c>
      <c r="E76" s="29"/>
      <c r="F76" s="21"/>
    </row>
    <row r="77" spans="1:7" x14ac:dyDescent="0.2">
      <c r="A77" s="21" t="s">
        <v>405</v>
      </c>
      <c r="B77" s="25" t="s">
        <v>342</v>
      </c>
      <c r="C77" s="26">
        <v>1</v>
      </c>
      <c r="D77" s="20" t="str">
        <f t="shared" si="3"/>
        <v>NODE_7_CHOICE_1</v>
      </c>
      <c r="E77" s="29"/>
      <c r="F77" s="21"/>
    </row>
    <row r="78" spans="1:7" x14ac:dyDescent="0.2">
      <c r="A78" s="21" t="s">
        <v>405</v>
      </c>
      <c r="B78" s="25" t="s">
        <v>342</v>
      </c>
      <c r="C78" s="26">
        <v>2</v>
      </c>
      <c r="D78" s="20" t="str">
        <f t="shared" si="3"/>
        <v>NODE_7_CHOICE_2</v>
      </c>
      <c r="E78" s="29"/>
      <c r="F78" s="21"/>
    </row>
    <row r="79" spans="1:7" x14ac:dyDescent="0.2">
      <c r="A79" s="21" t="s">
        <v>405</v>
      </c>
      <c r="B79" s="25" t="s">
        <v>345</v>
      </c>
      <c r="C79" s="26">
        <v>1</v>
      </c>
      <c r="D79" s="20" t="str">
        <f t="shared" si="3"/>
        <v>NODE_10_CHOICE_1</v>
      </c>
      <c r="E79" s="29"/>
      <c r="F79" s="21"/>
    </row>
    <row r="80" spans="1:7" x14ac:dyDescent="0.2">
      <c r="A80" s="21" t="s">
        <v>405</v>
      </c>
      <c r="B80" s="25" t="s">
        <v>345</v>
      </c>
      <c r="C80" s="26">
        <v>2</v>
      </c>
      <c r="D80" s="20" t="str">
        <f t="shared" si="3"/>
        <v>NODE_10_CHOICE_2</v>
      </c>
      <c r="E80" s="29"/>
      <c r="F80" s="21"/>
    </row>
    <row r="81" spans="1:6" x14ac:dyDescent="0.2">
      <c r="A81" s="21" t="s">
        <v>405</v>
      </c>
      <c r="B81" s="25" t="s">
        <v>348</v>
      </c>
      <c r="C81" s="26">
        <v>1</v>
      </c>
      <c r="D81" s="20" t="str">
        <f t="shared" si="3"/>
        <v>NODE_12B_CHOICE_1</v>
      </c>
      <c r="E81" s="29"/>
      <c r="F81" s="21"/>
    </row>
    <row r="82" spans="1:6" x14ac:dyDescent="0.2">
      <c r="A82" s="21" t="s">
        <v>405</v>
      </c>
      <c r="B82" s="25" t="s">
        <v>348</v>
      </c>
      <c r="C82" s="26">
        <v>2</v>
      </c>
      <c r="D82" s="20" t="str">
        <f t="shared" si="3"/>
        <v>NODE_12B_CHOICE_2</v>
      </c>
      <c r="E82" s="29"/>
      <c r="F82" s="21"/>
    </row>
    <row r="83" spans="1:6" x14ac:dyDescent="0.2">
      <c r="A83" s="21" t="s">
        <v>405</v>
      </c>
      <c r="B83" s="25" t="s">
        <v>350</v>
      </c>
      <c r="C83" s="26">
        <v>1</v>
      </c>
      <c r="D83" s="20" t="str">
        <f t="shared" si="3"/>
        <v>NODE_14_CHOICE_1</v>
      </c>
      <c r="E83" s="29"/>
      <c r="F83" s="21"/>
    </row>
    <row r="84" spans="1:6" x14ac:dyDescent="0.2">
      <c r="A84" s="21" t="s">
        <v>405</v>
      </c>
      <c r="B84" s="25" t="s">
        <v>350</v>
      </c>
      <c r="C84" s="26">
        <v>2</v>
      </c>
      <c r="D84" s="20" t="str">
        <f t="shared" si="3"/>
        <v>NODE_14_CHOICE_2</v>
      </c>
      <c r="E84" s="29"/>
      <c r="F84" s="21"/>
    </row>
    <row r="85" spans="1:6" x14ac:dyDescent="0.2">
      <c r="A85" s="21" t="s">
        <v>405</v>
      </c>
      <c r="B85" s="25" t="s">
        <v>351</v>
      </c>
      <c r="C85" s="26">
        <v>1</v>
      </c>
      <c r="D85" s="20" t="str">
        <f t="shared" si="3"/>
        <v>NODE_15_CHOICE_1</v>
      </c>
      <c r="E85" s="29"/>
      <c r="F85" s="21"/>
    </row>
    <row r="86" spans="1:6" x14ac:dyDescent="0.2">
      <c r="A86" s="21" t="s">
        <v>405</v>
      </c>
      <c r="B86" s="25" t="s">
        <v>351</v>
      </c>
      <c r="C86" s="26">
        <v>2</v>
      </c>
      <c r="D86" s="20" t="str">
        <f t="shared" si="3"/>
        <v>NODE_15_CHOICE_2</v>
      </c>
      <c r="E86" s="29"/>
      <c r="F86" s="21"/>
    </row>
    <row r="87" spans="1:6" x14ac:dyDescent="0.2">
      <c r="A87" s="21" t="s">
        <v>405</v>
      </c>
      <c r="B87" s="25" t="s">
        <v>352</v>
      </c>
      <c r="C87" s="26">
        <v>1</v>
      </c>
      <c r="D87" s="20" t="str">
        <f t="shared" si="3"/>
        <v>NODE_16_CHOICE_1</v>
      </c>
      <c r="E87" s="29"/>
      <c r="F87" s="21"/>
    </row>
    <row r="88" spans="1:6" x14ac:dyDescent="0.2">
      <c r="A88" s="21" t="s">
        <v>405</v>
      </c>
      <c r="B88" s="25" t="s">
        <v>352</v>
      </c>
      <c r="C88" s="26">
        <v>2</v>
      </c>
      <c r="D88" s="20" t="str">
        <f t="shared" si="3"/>
        <v>NODE_16_CHOICE_2</v>
      </c>
      <c r="E88" s="29"/>
      <c r="F88" s="21"/>
    </row>
    <row r="89" spans="1:6" x14ac:dyDescent="0.2">
      <c r="A89" s="21" t="s">
        <v>405</v>
      </c>
      <c r="B89" s="25" t="s">
        <v>356</v>
      </c>
      <c r="C89" s="26">
        <v>1</v>
      </c>
      <c r="D89" s="20" t="str">
        <f t="shared" si="3"/>
        <v>NODE_19B_CHOICE_1</v>
      </c>
      <c r="E89" s="29"/>
      <c r="F89" s="21"/>
    </row>
    <row r="90" spans="1:6" x14ac:dyDescent="0.2">
      <c r="A90" s="21" t="s">
        <v>405</v>
      </c>
      <c r="B90" s="25" t="s">
        <v>356</v>
      </c>
      <c r="C90" s="26">
        <v>2</v>
      </c>
      <c r="D90" s="20" t="str">
        <f t="shared" si="3"/>
        <v>NODE_19B_CHOICE_2</v>
      </c>
      <c r="E90" s="29"/>
      <c r="F90" s="21"/>
    </row>
    <row r="91" spans="1:6" x14ac:dyDescent="0.2">
      <c r="A91" s="21" t="s">
        <v>405</v>
      </c>
      <c r="B91" s="25" t="s">
        <v>359</v>
      </c>
      <c r="C91" s="26">
        <v>1</v>
      </c>
      <c r="D91" s="20" t="str">
        <f t="shared" si="3"/>
        <v>NODE_21B_CHOICE_1</v>
      </c>
      <c r="E91" s="29"/>
      <c r="F91" s="21"/>
    </row>
    <row r="92" spans="1:6" x14ac:dyDescent="0.2">
      <c r="A92" s="21" t="s">
        <v>405</v>
      </c>
      <c r="B92" s="25" t="s">
        <v>359</v>
      </c>
      <c r="C92" s="26">
        <v>2</v>
      </c>
      <c r="D92" s="20" t="str">
        <f t="shared" si="3"/>
        <v>NODE_21B_CHOICE_2</v>
      </c>
      <c r="E92" s="29"/>
      <c r="F92" s="21"/>
    </row>
    <row r="93" spans="1:6" x14ac:dyDescent="0.2">
      <c r="A93" s="21" t="s">
        <v>405</v>
      </c>
      <c r="B93" s="25" t="s">
        <v>365</v>
      </c>
      <c r="C93" s="26">
        <v>1</v>
      </c>
      <c r="D93" s="20" t="str">
        <f t="shared" si="3"/>
        <v>NODE_25_CHOICE_1</v>
      </c>
      <c r="E93" s="29"/>
      <c r="F93" s="21"/>
    </row>
    <row r="94" spans="1:6" x14ac:dyDescent="0.2">
      <c r="A94" s="21" t="s">
        <v>405</v>
      </c>
      <c r="B94" s="25" t="s">
        <v>365</v>
      </c>
      <c r="C94" s="26">
        <v>2</v>
      </c>
      <c r="D94" s="20" t="str">
        <f>UPPER(B94)&amp;"_CHOICE_"&amp;C94</f>
        <v>NODE_25_CHOICE_2</v>
      </c>
      <c r="E94" s="29"/>
      <c r="F94" s="21"/>
    </row>
    <row r="95" spans="1:6" x14ac:dyDescent="0.2">
      <c r="A95" s="21" t="s">
        <v>407</v>
      </c>
      <c r="B95" s="25" t="s">
        <v>336</v>
      </c>
      <c r="C95" s="26">
        <v>1</v>
      </c>
      <c r="D95" s="20" t="str">
        <f>UPPER(B95)&amp;"_CHOICE_"&amp;C95&amp;"_DESC"</f>
        <v>NODE_1_CHOICE_1_DESC</v>
      </c>
      <c r="E95" s="29" t="str">
        <f t="shared" ref="E95:E118" si="4">"선택"&amp;C95</f>
        <v>선택1</v>
      </c>
      <c r="F95" s="21"/>
    </row>
    <row r="96" spans="1:6" x14ac:dyDescent="0.2">
      <c r="A96" s="21" t="s">
        <v>407</v>
      </c>
      <c r="B96" s="25" t="s">
        <v>336</v>
      </c>
      <c r="C96" s="26">
        <v>2</v>
      </c>
      <c r="D96" s="20" t="str">
        <f t="shared" ref="D96:D118" si="5">UPPER(B96)&amp;"_CHOICE_"&amp;C96&amp;"_DESC"</f>
        <v>NODE_1_CHOICE_2_DESC</v>
      </c>
      <c r="E96" s="29" t="str">
        <f t="shared" si="4"/>
        <v>선택2</v>
      </c>
      <c r="F96" s="21"/>
    </row>
    <row r="97" spans="1:6" x14ac:dyDescent="0.2">
      <c r="A97" s="21" t="s">
        <v>407</v>
      </c>
      <c r="B97" s="25" t="s">
        <v>457</v>
      </c>
      <c r="C97" s="26">
        <v>1</v>
      </c>
      <c r="D97" s="20" t="str">
        <f t="shared" si="5"/>
        <v>NODE_5_CHOICE_1_DESC</v>
      </c>
      <c r="E97" s="29" t="str">
        <f t="shared" si="4"/>
        <v>선택1</v>
      </c>
      <c r="F97" s="21"/>
    </row>
    <row r="98" spans="1:6" x14ac:dyDescent="0.2">
      <c r="A98" s="21" t="s">
        <v>407</v>
      </c>
      <c r="B98" s="25" t="s">
        <v>457</v>
      </c>
      <c r="C98" s="26">
        <v>2</v>
      </c>
      <c r="D98" s="20" t="str">
        <f t="shared" si="5"/>
        <v>NODE_5_CHOICE_2_DESC</v>
      </c>
      <c r="E98" s="29" t="str">
        <f t="shared" si="4"/>
        <v>선택2</v>
      </c>
      <c r="F98" s="21"/>
    </row>
    <row r="99" spans="1:6" x14ac:dyDescent="0.2">
      <c r="A99" s="21" t="s">
        <v>407</v>
      </c>
      <c r="B99" s="25" t="s">
        <v>341</v>
      </c>
      <c r="C99" s="26">
        <v>1</v>
      </c>
      <c r="D99" s="20" t="str">
        <f t="shared" si="5"/>
        <v>NODE_6_CHOICE_1_DESC</v>
      </c>
      <c r="E99" s="29" t="str">
        <f t="shared" si="4"/>
        <v>선택1</v>
      </c>
      <c r="F99" s="21"/>
    </row>
    <row r="100" spans="1:6" x14ac:dyDescent="0.2">
      <c r="A100" s="21" t="s">
        <v>407</v>
      </c>
      <c r="B100" s="25" t="s">
        <v>341</v>
      </c>
      <c r="C100" s="26">
        <v>2</v>
      </c>
      <c r="D100" s="20" t="str">
        <f t="shared" si="5"/>
        <v>NODE_6_CHOICE_2_DESC</v>
      </c>
      <c r="E100" s="29" t="str">
        <f t="shared" si="4"/>
        <v>선택2</v>
      </c>
      <c r="F100" s="21"/>
    </row>
    <row r="101" spans="1:6" x14ac:dyDescent="0.2">
      <c r="A101" s="21" t="s">
        <v>407</v>
      </c>
      <c r="B101" s="25" t="s">
        <v>342</v>
      </c>
      <c r="C101" s="26">
        <v>1</v>
      </c>
      <c r="D101" s="20" t="str">
        <f t="shared" si="5"/>
        <v>NODE_7_CHOICE_1_DESC</v>
      </c>
      <c r="E101" s="29" t="str">
        <f t="shared" si="4"/>
        <v>선택1</v>
      </c>
      <c r="F101" s="21"/>
    </row>
    <row r="102" spans="1:6" x14ac:dyDescent="0.2">
      <c r="A102" s="21" t="s">
        <v>407</v>
      </c>
      <c r="B102" s="25" t="s">
        <v>342</v>
      </c>
      <c r="C102" s="26">
        <v>2</v>
      </c>
      <c r="D102" s="20" t="str">
        <f t="shared" si="5"/>
        <v>NODE_7_CHOICE_2_DESC</v>
      </c>
      <c r="E102" s="29" t="str">
        <f t="shared" si="4"/>
        <v>선택2</v>
      </c>
      <c r="F102" s="21"/>
    </row>
    <row r="103" spans="1:6" x14ac:dyDescent="0.2">
      <c r="A103" s="21" t="s">
        <v>407</v>
      </c>
      <c r="B103" s="25" t="s">
        <v>345</v>
      </c>
      <c r="C103" s="26">
        <v>1</v>
      </c>
      <c r="D103" s="20" t="str">
        <f t="shared" si="5"/>
        <v>NODE_10_CHOICE_1_DESC</v>
      </c>
      <c r="E103" s="29" t="str">
        <f t="shared" si="4"/>
        <v>선택1</v>
      </c>
      <c r="F103" s="21"/>
    </row>
    <row r="104" spans="1:6" x14ac:dyDescent="0.2">
      <c r="A104" s="21" t="s">
        <v>407</v>
      </c>
      <c r="B104" s="25" t="s">
        <v>345</v>
      </c>
      <c r="C104" s="26">
        <v>2</v>
      </c>
      <c r="D104" s="20" t="str">
        <f t="shared" si="5"/>
        <v>NODE_10_CHOICE_2_DESC</v>
      </c>
      <c r="E104" s="29" t="str">
        <f t="shared" si="4"/>
        <v>선택2</v>
      </c>
      <c r="F104" s="21"/>
    </row>
    <row r="105" spans="1:6" x14ac:dyDescent="0.2">
      <c r="A105" s="21" t="s">
        <v>407</v>
      </c>
      <c r="B105" s="25" t="s">
        <v>348</v>
      </c>
      <c r="C105" s="26">
        <v>1</v>
      </c>
      <c r="D105" s="20" t="str">
        <f t="shared" si="5"/>
        <v>NODE_12B_CHOICE_1_DESC</v>
      </c>
      <c r="E105" s="29" t="str">
        <f t="shared" si="4"/>
        <v>선택1</v>
      </c>
      <c r="F105" s="21"/>
    </row>
    <row r="106" spans="1:6" x14ac:dyDescent="0.2">
      <c r="A106" s="21" t="s">
        <v>407</v>
      </c>
      <c r="B106" s="25" t="s">
        <v>348</v>
      </c>
      <c r="C106" s="26">
        <v>2</v>
      </c>
      <c r="D106" s="20" t="str">
        <f t="shared" si="5"/>
        <v>NODE_12B_CHOICE_2_DESC</v>
      </c>
      <c r="E106" s="29" t="str">
        <f t="shared" si="4"/>
        <v>선택2</v>
      </c>
      <c r="F106" s="21"/>
    </row>
    <row r="107" spans="1:6" x14ac:dyDescent="0.2">
      <c r="A107" s="21" t="s">
        <v>407</v>
      </c>
      <c r="B107" s="25" t="s">
        <v>350</v>
      </c>
      <c r="C107" s="26">
        <v>1</v>
      </c>
      <c r="D107" s="20" t="str">
        <f t="shared" si="5"/>
        <v>NODE_14_CHOICE_1_DESC</v>
      </c>
      <c r="E107" s="29" t="str">
        <f t="shared" si="4"/>
        <v>선택1</v>
      </c>
      <c r="F107" s="21"/>
    </row>
    <row r="108" spans="1:6" x14ac:dyDescent="0.2">
      <c r="A108" s="21" t="s">
        <v>407</v>
      </c>
      <c r="B108" s="25" t="s">
        <v>350</v>
      </c>
      <c r="C108" s="26">
        <v>2</v>
      </c>
      <c r="D108" s="20" t="str">
        <f t="shared" si="5"/>
        <v>NODE_14_CHOICE_2_DESC</v>
      </c>
      <c r="E108" s="29" t="str">
        <f t="shared" si="4"/>
        <v>선택2</v>
      </c>
      <c r="F108" s="21"/>
    </row>
    <row r="109" spans="1:6" x14ac:dyDescent="0.2">
      <c r="A109" s="21" t="s">
        <v>407</v>
      </c>
      <c r="B109" s="25" t="s">
        <v>351</v>
      </c>
      <c r="C109" s="26">
        <v>1</v>
      </c>
      <c r="D109" s="20" t="str">
        <f t="shared" si="5"/>
        <v>NODE_15_CHOICE_1_DESC</v>
      </c>
      <c r="E109" s="29" t="str">
        <f t="shared" si="4"/>
        <v>선택1</v>
      </c>
      <c r="F109" s="21"/>
    </row>
    <row r="110" spans="1:6" x14ac:dyDescent="0.2">
      <c r="A110" s="21" t="s">
        <v>407</v>
      </c>
      <c r="B110" s="25" t="s">
        <v>351</v>
      </c>
      <c r="C110" s="26">
        <v>2</v>
      </c>
      <c r="D110" s="20" t="str">
        <f t="shared" si="5"/>
        <v>NODE_15_CHOICE_2_DESC</v>
      </c>
      <c r="E110" s="29" t="str">
        <f t="shared" si="4"/>
        <v>선택2</v>
      </c>
      <c r="F110" s="21"/>
    </row>
    <row r="111" spans="1:6" x14ac:dyDescent="0.2">
      <c r="A111" s="21" t="s">
        <v>407</v>
      </c>
      <c r="B111" s="25" t="s">
        <v>352</v>
      </c>
      <c r="C111" s="26">
        <v>1</v>
      </c>
      <c r="D111" s="20" t="str">
        <f t="shared" si="5"/>
        <v>NODE_16_CHOICE_1_DESC</v>
      </c>
      <c r="E111" s="29" t="str">
        <f t="shared" si="4"/>
        <v>선택1</v>
      </c>
      <c r="F111" s="21"/>
    </row>
    <row r="112" spans="1:6" x14ac:dyDescent="0.2">
      <c r="A112" s="21" t="s">
        <v>407</v>
      </c>
      <c r="B112" s="25" t="s">
        <v>352</v>
      </c>
      <c r="C112" s="26">
        <v>2</v>
      </c>
      <c r="D112" s="20" t="str">
        <f t="shared" si="5"/>
        <v>NODE_16_CHOICE_2_DESC</v>
      </c>
      <c r="E112" s="29" t="str">
        <f t="shared" si="4"/>
        <v>선택2</v>
      </c>
      <c r="F112" s="21"/>
    </row>
    <row r="113" spans="1:6" x14ac:dyDescent="0.2">
      <c r="A113" s="21" t="s">
        <v>407</v>
      </c>
      <c r="B113" s="25" t="s">
        <v>356</v>
      </c>
      <c r="C113" s="26">
        <v>1</v>
      </c>
      <c r="D113" s="20" t="str">
        <f t="shared" si="5"/>
        <v>NODE_19B_CHOICE_1_DESC</v>
      </c>
      <c r="E113" s="29" t="str">
        <f t="shared" si="4"/>
        <v>선택1</v>
      </c>
      <c r="F113" s="21"/>
    </row>
    <row r="114" spans="1:6" x14ac:dyDescent="0.2">
      <c r="A114" s="21" t="s">
        <v>407</v>
      </c>
      <c r="B114" s="25" t="s">
        <v>356</v>
      </c>
      <c r="C114" s="26">
        <v>2</v>
      </c>
      <c r="D114" s="20" t="str">
        <f t="shared" si="5"/>
        <v>NODE_19B_CHOICE_2_DESC</v>
      </c>
      <c r="E114" s="29" t="str">
        <f t="shared" si="4"/>
        <v>선택2</v>
      </c>
      <c r="F114" s="21"/>
    </row>
    <row r="115" spans="1:6" x14ac:dyDescent="0.2">
      <c r="A115" s="21" t="s">
        <v>407</v>
      </c>
      <c r="B115" s="25" t="s">
        <v>359</v>
      </c>
      <c r="C115" s="26">
        <v>1</v>
      </c>
      <c r="D115" s="20" t="str">
        <f t="shared" si="5"/>
        <v>NODE_21B_CHOICE_1_DESC</v>
      </c>
      <c r="E115" s="29" t="str">
        <f t="shared" si="4"/>
        <v>선택1</v>
      </c>
      <c r="F115" s="21"/>
    </row>
    <row r="116" spans="1:6" x14ac:dyDescent="0.2">
      <c r="A116" s="21" t="s">
        <v>407</v>
      </c>
      <c r="B116" s="25" t="s">
        <v>359</v>
      </c>
      <c r="C116" s="26">
        <v>2</v>
      </c>
      <c r="D116" s="20" t="str">
        <f t="shared" si="5"/>
        <v>NODE_21B_CHOICE_2_DESC</v>
      </c>
      <c r="E116" s="29" t="str">
        <f t="shared" si="4"/>
        <v>선택2</v>
      </c>
      <c r="F116" s="21"/>
    </row>
    <row r="117" spans="1:6" x14ac:dyDescent="0.2">
      <c r="A117" s="21" t="s">
        <v>407</v>
      </c>
      <c r="B117" s="25" t="s">
        <v>365</v>
      </c>
      <c r="C117" s="26">
        <v>1</v>
      </c>
      <c r="D117" s="20" t="str">
        <f t="shared" si="5"/>
        <v>NODE_25_CHOICE_1_DESC</v>
      </c>
      <c r="E117" s="29" t="str">
        <f t="shared" si="4"/>
        <v>선택1</v>
      </c>
      <c r="F117" s="21"/>
    </row>
    <row r="118" spans="1:6" x14ac:dyDescent="0.2">
      <c r="A118" s="21" t="s">
        <v>407</v>
      </c>
      <c r="B118" s="25" t="s">
        <v>365</v>
      </c>
      <c r="C118" s="26">
        <v>2</v>
      </c>
      <c r="D118" s="20" t="str">
        <f t="shared" si="5"/>
        <v>NODE_25_CHOICE_2_DESC</v>
      </c>
      <c r="E118" s="29" t="str">
        <f t="shared" si="4"/>
        <v>선택2</v>
      </c>
      <c r="F118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2026-07-10T08:42:49Z</dcterms:modified>
</cp:coreProperties>
</file>