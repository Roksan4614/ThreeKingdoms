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9849957E-CAFE-469E-8C1A-999C978BE7C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  <sheet name="String_GuideQuest" sheetId="9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9" l="1"/>
  <c r="A10" i="9"/>
  <c r="D10" i="9" s="1"/>
  <c r="A11" i="9"/>
  <c r="D11" i="9" s="1"/>
  <c r="A12" i="9"/>
  <c r="D12" i="9"/>
  <c r="A13" i="9"/>
  <c r="D13" i="9"/>
  <c r="A14" i="9"/>
  <c r="D14" i="9"/>
  <c r="A15" i="9"/>
  <c r="D15" i="9"/>
  <c r="A16" i="9"/>
  <c r="D16" i="9"/>
  <c r="A17" i="9"/>
  <c r="D17" i="9" s="1"/>
  <c r="A9" i="9"/>
  <c r="D9" i="9"/>
  <c r="D8" i="9"/>
  <c r="D7" i="9"/>
  <c r="D6" i="9"/>
  <c r="D5" i="9"/>
  <c r="D4" i="9"/>
  <c r="B8" i="9"/>
  <c r="A8" i="9"/>
  <c r="B7" i="9"/>
  <c r="B6" i="9"/>
  <c r="B5" i="9"/>
  <c r="B4" i="9"/>
  <c r="D3" i="9"/>
  <c r="A5" i="9"/>
  <c r="A6" i="9" s="1"/>
  <c r="A7" i="9" s="1"/>
  <c r="A4" i="9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1" i="5"/>
  <c r="E246" i="5"/>
  <c r="E245" i="5"/>
  <c r="E244" i="5"/>
  <c r="E243" i="5"/>
  <c r="E163" i="5"/>
  <c r="E164" i="5"/>
  <c r="E165" i="5"/>
  <c r="E166" i="5"/>
  <c r="E167" i="5"/>
  <c r="E168" i="5"/>
  <c r="E169" i="5"/>
  <c r="E170" i="5"/>
  <c r="E171" i="5"/>
  <c r="E176" i="5"/>
  <c r="E177" i="5"/>
  <c r="E178" i="5"/>
  <c r="E179" i="5"/>
  <c r="E181" i="5"/>
  <c r="E182" i="5"/>
  <c r="E183" i="5"/>
  <c r="E184" i="5"/>
  <c r="E185" i="5"/>
  <c r="E188" i="5"/>
  <c r="E189" i="5"/>
  <c r="E190" i="5"/>
  <c r="E192" i="5"/>
  <c r="E193" i="5"/>
  <c r="E198" i="5"/>
  <c r="E199" i="5"/>
  <c r="A162" i="5"/>
  <c r="A163" i="5" s="1"/>
  <c r="A202" i="5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2" i="5"/>
  <c r="A243" i="5" s="1"/>
  <c r="E242" i="5"/>
  <c r="B242" i="5"/>
  <c r="E239" i="5"/>
  <c r="E238" i="5"/>
  <c r="B202" i="5"/>
  <c r="B203" i="5" s="1"/>
  <c r="B204" i="5" s="1"/>
  <c r="E237" i="5"/>
  <c r="E236" i="5"/>
  <c r="E235" i="5"/>
  <c r="E234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125" i="5"/>
  <c r="E126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4" i="5"/>
  <c r="C241" i="5"/>
  <c r="C201" i="5"/>
  <c r="E162" i="5"/>
  <c r="B162" i="5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E161" i="5"/>
  <c r="C161" i="5"/>
  <c r="E123" i="5"/>
  <c r="E122" i="5"/>
  <c r="B122" i="5"/>
  <c r="B123" i="5" s="1"/>
  <c r="B124" i="5" s="1"/>
  <c r="C124" i="5" s="1"/>
  <c r="E121" i="5"/>
  <c r="C121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7" i="5"/>
  <c r="E78" i="5"/>
  <c r="A18" i="9" l="1"/>
  <c r="D18" i="9" s="1"/>
  <c r="C242" i="5"/>
  <c r="B243" i="5"/>
  <c r="B244" i="5" s="1"/>
  <c r="B245" i="5" s="1"/>
  <c r="B246" i="5" s="1"/>
  <c r="B247" i="5" s="1"/>
  <c r="B248" i="5" s="1"/>
  <c r="C163" i="5"/>
  <c r="A164" i="5"/>
  <c r="A244" i="5"/>
  <c r="C202" i="5"/>
  <c r="B205" i="5"/>
  <c r="C204" i="5"/>
  <c r="C203" i="5"/>
  <c r="B125" i="5"/>
  <c r="B126" i="5" s="1"/>
  <c r="C123" i="5"/>
  <c r="C122" i="5"/>
  <c r="C162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D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B249" i="5" l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C243" i="5"/>
  <c r="C164" i="5"/>
  <c r="A165" i="5"/>
  <c r="C244" i="5"/>
  <c r="A245" i="5"/>
  <c r="B206" i="5"/>
  <c r="C205" i="5"/>
  <c r="B127" i="5"/>
  <c r="C126" i="5"/>
  <c r="C125" i="5"/>
  <c r="E74" i="5"/>
  <c r="E73" i="5"/>
  <c r="E75" i="5"/>
  <c r="E76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E54" i="5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E31" i="5"/>
  <c r="E28" i="5"/>
  <c r="E41" i="5"/>
  <c r="A28" i="5"/>
  <c r="E37" i="5"/>
  <c r="E36" i="5"/>
  <c r="E52" i="5"/>
  <c r="E51" i="5"/>
  <c r="E50" i="5"/>
  <c r="E49" i="5"/>
  <c r="E48" i="5"/>
  <c r="E47" i="5"/>
  <c r="E46" i="5"/>
  <c r="E45" i="5"/>
  <c r="E44" i="5"/>
  <c r="E43" i="5"/>
  <c r="E42" i="5"/>
  <c r="E40" i="5"/>
  <c r="E39" i="5"/>
  <c r="E35" i="5"/>
  <c r="E34" i="5"/>
  <c r="E33" i="5"/>
  <c r="E32" i="5"/>
  <c r="E30" i="5"/>
  <c r="E29" i="5"/>
  <c r="E27" i="5"/>
  <c r="B28" i="5"/>
  <c r="C27" i="5"/>
  <c r="B56" i="4"/>
  <c r="B55" i="4"/>
  <c r="B54" i="4"/>
  <c r="B53" i="4"/>
  <c r="B57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17" i="5"/>
  <c r="E21" i="5"/>
  <c r="E20" i="5"/>
  <c r="E22" i="5"/>
  <c r="E23" i="5"/>
  <c r="E24" i="5"/>
  <c r="E25" i="5"/>
  <c r="E26" i="5"/>
  <c r="A4" i="5"/>
  <c r="B4" i="5"/>
  <c r="E18" i="5"/>
  <c r="E6" i="5"/>
  <c r="E11" i="5"/>
  <c r="E15" i="5"/>
  <c r="E14" i="5"/>
  <c r="E13" i="5"/>
  <c r="E12" i="5"/>
  <c r="E9" i="5"/>
  <c r="E8" i="5"/>
  <c r="E4" i="5"/>
  <c r="E3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C165" i="5" l="1"/>
  <c r="A166" i="5"/>
  <c r="A246" i="5"/>
  <c r="A247" i="5" s="1"/>
  <c r="A248" i="5" s="1"/>
  <c r="C245" i="5"/>
  <c r="B207" i="5"/>
  <c r="C206" i="5"/>
  <c r="C127" i="5"/>
  <c r="B128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A249" i="5" l="1"/>
  <c r="C248" i="5"/>
  <c r="C247" i="5"/>
  <c r="A167" i="5"/>
  <c r="C166" i="5"/>
  <c r="C246" i="5"/>
  <c r="B208" i="5"/>
  <c r="C207" i="5"/>
  <c r="B129" i="5"/>
  <c r="C128" i="5"/>
  <c r="A57" i="5"/>
  <c r="A58" i="5" s="1"/>
  <c r="A5" i="5"/>
  <c r="A250" i="5" l="1"/>
  <c r="C249" i="5"/>
  <c r="C167" i="5"/>
  <c r="A168" i="5"/>
  <c r="B209" i="5"/>
  <c r="C208" i="5"/>
  <c r="C129" i="5"/>
  <c r="B130" i="5"/>
  <c r="C57" i="5"/>
  <c r="C58" i="5"/>
  <c r="A59" i="5"/>
  <c r="A6" i="5"/>
  <c r="A251" i="5" l="1"/>
  <c r="C250" i="5"/>
  <c r="C168" i="5"/>
  <c r="A169" i="5"/>
  <c r="C209" i="5"/>
  <c r="B210" i="5"/>
  <c r="C130" i="5"/>
  <c r="B131" i="5"/>
  <c r="C59" i="5"/>
  <c r="A60" i="5"/>
  <c r="A7" i="5"/>
  <c r="C251" i="5" l="1"/>
  <c r="A252" i="5"/>
  <c r="A170" i="5"/>
  <c r="C169" i="5"/>
  <c r="C210" i="5"/>
  <c r="B211" i="5"/>
  <c r="C131" i="5"/>
  <c r="B132" i="5"/>
  <c r="C60" i="5"/>
  <c r="A61" i="5"/>
  <c r="A8" i="5"/>
  <c r="C252" i="5" l="1"/>
  <c r="A253" i="5"/>
  <c r="C170" i="5"/>
  <c r="A171" i="5"/>
  <c r="C211" i="5"/>
  <c r="B212" i="5"/>
  <c r="C132" i="5"/>
  <c r="B133" i="5"/>
  <c r="A62" i="5"/>
  <c r="C61" i="5"/>
  <c r="A9" i="5"/>
  <c r="C253" i="5" l="1"/>
  <c r="A254" i="5"/>
  <c r="C171" i="5"/>
  <c r="A172" i="5"/>
  <c r="C212" i="5"/>
  <c r="B213" i="5"/>
  <c r="B134" i="5"/>
  <c r="C133" i="5"/>
  <c r="A63" i="5"/>
  <c r="C62" i="5"/>
  <c r="A10" i="5"/>
  <c r="A255" i="5" l="1"/>
  <c r="C254" i="5"/>
  <c r="C172" i="5"/>
  <c r="A173" i="5"/>
  <c r="B214" i="5"/>
  <c r="C213" i="5"/>
  <c r="C134" i="5"/>
  <c r="B135" i="5"/>
  <c r="C63" i="5"/>
  <c r="A64" i="5"/>
  <c r="A11" i="5"/>
  <c r="C255" i="5" l="1"/>
  <c r="A256" i="5"/>
  <c r="A174" i="5"/>
  <c r="C173" i="5"/>
  <c r="C214" i="5"/>
  <c r="B215" i="5"/>
  <c r="B136" i="5"/>
  <c r="C13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A257" i="5" l="1"/>
  <c r="C256" i="5"/>
  <c r="C174" i="5"/>
  <c r="A175" i="5"/>
  <c r="B216" i="5"/>
  <c r="C215" i="5"/>
  <c r="B137" i="5"/>
  <c r="C136" i="5"/>
  <c r="B7" i="5"/>
  <c r="C7" i="5" s="1"/>
  <c r="C6" i="5"/>
  <c r="C5" i="5"/>
  <c r="C65" i="5"/>
  <c r="A66" i="5"/>
  <c r="B8" i="5"/>
  <c r="A30" i="5"/>
  <c r="A258" i="5" l="1"/>
  <c r="C257" i="5"/>
  <c r="C175" i="5"/>
  <c r="A176" i="5"/>
  <c r="C216" i="5"/>
  <c r="B217" i="5"/>
  <c r="B138" i="5"/>
  <c r="C137" i="5"/>
  <c r="C66" i="5"/>
  <c r="A67" i="5"/>
  <c r="C8" i="5"/>
  <c r="B9" i="5"/>
  <c r="A31" i="5"/>
  <c r="C258" i="5" l="1"/>
  <c r="A259" i="5"/>
  <c r="C176" i="5"/>
  <c r="A177" i="5"/>
  <c r="C217" i="5"/>
  <c r="B218" i="5"/>
  <c r="C138" i="5"/>
  <c r="B139" i="5"/>
  <c r="C67" i="5"/>
  <c r="A68" i="5"/>
  <c r="C9" i="5"/>
  <c r="B10" i="5"/>
  <c r="A32" i="5"/>
  <c r="A260" i="5" l="1"/>
  <c r="C259" i="5"/>
  <c r="A178" i="5"/>
  <c r="C177" i="5"/>
  <c r="C218" i="5"/>
  <c r="B219" i="5"/>
  <c r="B140" i="5"/>
  <c r="C139" i="5"/>
  <c r="C68" i="5"/>
  <c r="A69" i="5"/>
  <c r="C10" i="5"/>
  <c r="B11" i="5"/>
  <c r="A33" i="5"/>
  <c r="C260" i="5" l="1"/>
  <c r="A261" i="5"/>
  <c r="A179" i="5"/>
  <c r="C178" i="5"/>
  <c r="B220" i="5"/>
  <c r="C219" i="5"/>
  <c r="B141" i="5"/>
  <c r="C140" i="5"/>
  <c r="A70" i="5"/>
  <c r="C69" i="5"/>
  <c r="C11" i="5"/>
  <c r="B12" i="5"/>
  <c r="A34" i="5"/>
  <c r="A262" i="5" l="1"/>
  <c r="C261" i="5"/>
  <c r="C179" i="5"/>
  <c r="A180" i="5"/>
  <c r="B221" i="5"/>
  <c r="C220" i="5"/>
  <c r="B142" i="5"/>
  <c r="C141" i="5"/>
  <c r="C70" i="5"/>
  <c r="A71" i="5"/>
  <c r="B13" i="5"/>
  <c r="C12" i="5"/>
  <c r="A35" i="5"/>
  <c r="A263" i="5" l="1"/>
  <c r="C262" i="5"/>
  <c r="C180" i="5"/>
  <c r="A181" i="5"/>
  <c r="C221" i="5"/>
  <c r="B222" i="5"/>
  <c r="B143" i="5"/>
  <c r="C142" i="5"/>
  <c r="C71" i="5"/>
  <c r="A72" i="5"/>
  <c r="B14" i="5"/>
  <c r="C13" i="5"/>
  <c r="A36" i="5"/>
  <c r="A264" i="5" l="1"/>
  <c r="C263" i="5"/>
  <c r="A182" i="5"/>
  <c r="C181" i="5"/>
  <c r="B223" i="5"/>
  <c r="C222" i="5"/>
  <c r="C143" i="5"/>
  <c r="B144" i="5"/>
  <c r="A73" i="5"/>
  <c r="C72" i="5"/>
  <c r="C14" i="5"/>
  <c r="B15" i="5"/>
  <c r="A37" i="5"/>
  <c r="A265" i="5" l="1"/>
  <c r="C264" i="5"/>
  <c r="C182" i="5"/>
  <c r="A183" i="5"/>
  <c r="B224" i="5"/>
  <c r="C223" i="5"/>
  <c r="B145" i="5"/>
  <c r="C144" i="5"/>
  <c r="C73" i="5"/>
  <c r="A74" i="5"/>
  <c r="A75" i="5" s="1"/>
  <c r="B16" i="5"/>
  <c r="C15" i="5"/>
  <c r="A38" i="5"/>
  <c r="C265" i="5" l="1"/>
  <c r="A266" i="5"/>
  <c r="A184" i="5"/>
  <c r="C183" i="5"/>
  <c r="C224" i="5"/>
  <c r="B225" i="5"/>
  <c r="C145" i="5"/>
  <c r="B146" i="5"/>
  <c r="C75" i="5"/>
  <c r="A76" i="5"/>
  <c r="C74" i="5"/>
  <c r="C16" i="5"/>
  <c r="B17" i="5"/>
  <c r="A39" i="5"/>
  <c r="A267" i="5" l="1"/>
  <c r="C266" i="5"/>
  <c r="C184" i="5"/>
  <c r="A185" i="5"/>
  <c r="B226" i="5"/>
  <c r="C225" i="5"/>
  <c r="B147" i="5"/>
  <c r="C146" i="5"/>
  <c r="C76" i="5"/>
  <c r="A77" i="5"/>
  <c r="B18" i="5"/>
  <c r="C17" i="5"/>
  <c r="A40" i="5"/>
  <c r="C267" i="5" l="1"/>
  <c r="A268" i="5"/>
  <c r="C185" i="5"/>
  <c r="A186" i="5"/>
  <c r="C226" i="5"/>
  <c r="B227" i="5"/>
  <c r="C147" i="5"/>
  <c r="B148" i="5"/>
  <c r="C77" i="5"/>
  <c r="A78" i="5"/>
  <c r="A79" i="5" s="1"/>
  <c r="C18" i="5"/>
  <c r="B19" i="5"/>
  <c r="A41" i="5"/>
  <c r="C268" i="5" l="1"/>
  <c r="A269" i="5"/>
  <c r="C186" i="5"/>
  <c r="A187" i="5"/>
  <c r="B228" i="5"/>
  <c r="C227" i="5"/>
  <c r="B149" i="5"/>
  <c r="C148" i="5"/>
  <c r="A80" i="5"/>
  <c r="C79" i="5"/>
  <c r="C78" i="5"/>
  <c r="B20" i="5"/>
  <c r="C19" i="5"/>
  <c r="A42" i="5"/>
  <c r="C269" i="5" l="1"/>
  <c r="A270" i="5"/>
  <c r="C187" i="5"/>
  <c r="A188" i="5"/>
  <c r="B229" i="5"/>
  <c r="C228" i="5"/>
  <c r="B150" i="5"/>
  <c r="C149" i="5"/>
  <c r="A81" i="5"/>
  <c r="C80" i="5"/>
  <c r="B21" i="5"/>
  <c r="C20" i="5"/>
  <c r="A43" i="5"/>
  <c r="A271" i="5" l="1"/>
  <c r="C270" i="5"/>
  <c r="A189" i="5"/>
  <c r="C188" i="5"/>
  <c r="B230" i="5"/>
  <c r="C229" i="5"/>
  <c r="C150" i="5"/>
  <c r="B151" i="5"/>
  <c r="A82" i="5"/>
  <c r="C81" i="5"/>
  <c r="C21" i="5"/>
  <c r="B22" i="5"/>
  <c r="A44" i="5"/>
  <c r="C271" i="5" l="1"/>
  <c r="A272" i="5"/>
  <c r="A190" i="5"/>
  <c r="C189" i="5"/>
  <c r="C230" i="5"/>
  <c r="B231" i="5"/>
  <c r="B152" i="5"/>
  <c r="C151" i="5"/>
  <c r="A83" i="5"/>
  <c r="C82" i="5"/>
  <c r="C22" i="5"/>
  <c r="B23" i="5"/>
  <c r="A45" i="5"/>
  <c r="A273" i="5" l="1"/>
  <c r="C272" i="5"/>
  <c r="A191" i="5"/>
  <c r="C190" i="5"/>
  <c r="C231" i="5"/>
  <c r="B232" i="5"/>
  <c r="B153" i="5"/>
  <c r="C152" i="5"/>
  <c r="A84" i="5"/>
  <c r="C83" i="5"/>
  <c r="C23" i="5"/>
  <c r="B24" i="5"/>
  <c r="A46" i="5"/>
  <c r="A274" i="5" l="1"/>
  <c r="C273" i="5"/>
  <c r="A192" i="5"/>
  <c r="C191" i="5"/>
  <c r="B233" i="5"/>
  <c r="C232" i="5"/>
  <c r="C153" i="5"/>
  <c r="B154" i="5"/>
  <c r="A85" i="5"/>
  <c r="C84" i="5"/>
  <c r="B25" i="5"/>
  <c r="C24" i="5"/>
  <c r="A47" i="5"/>
  <c r="A275" i="5" l="1"/>
  <c r="C274" i="5"/>
  <c r="A193" i="5"/>
  <c r="C192" i="5"/>
  <c r="C233" i="5"/>
  <c r="B234" i="5"/>
  <c r="C154" i="5"/>
  <c r="B155" i="5"/>
  <c r="C85" i="5"/>
  <c r="A86" i="5"/>
  <c r="B26" i="5"/>
  <c r="C26" i="5" s="1"/>
  <c r="C25" i="5"/>
  <c r="A48" i="5"/>
  <c r="A276" i="5" l="1"/>
  <c r="C275" i="5"/>
  <c r="C193" i="5"/>
  <c r="A194" i="5"/>
  <c r="C234" i="5"/>
  <c r="B235" i="5"/>
  <c r="C155" i="5"/>
  <c r="B156" i="5"/>
  <c r="C86" i="5"/>
  <c r="A87" i="5"/>
  <c r="A49" i="5"/>
  <c r="C276" i="5" l="1"/>
  <c r="A277" i="5"/>
  <c r="C194" i="5"/>
  <c r="A195" i="5"/>
  <c r="B236" i="5"/>
  <c r="C235" i="5"/>
  <c r="B157" i="5"/>
  <c r="C156" i="5"/>
  <c r="C87" i="5"/>
  <c r="A88" i="5"/>
  <c r="A50" i="5"/>
  <c r="A278" i="5" l="1"/>
  <c r="C277" i="5"/>
  <c r="C195" i="5"/>
  <c r="A196" i="5"/>
  <c r="C236" i="5"/>
  <c r="B237" i="5"/>
  <c r="B238" i="5" s="1"/>
  <c r="B158" i="5"/>
  <c r="C157" i="5"/>
  <c r="A89" i="5"/>
  <c r="C88" i="5"/>
  <c r="A51" i="5"/>
  <c r="A279" i="5" l="1"/>
  <c r="C278" i="5"/>
  <c r="C196" i="5"/>
  <c r="A197" i="5"/>
  <c r="C238" i="5"/>
  <c r="B239" i="5"/>
  <c r="C239" i="5" s="1"/>
  <c r="C237" i="5"/>
  <c r="C158" i="5"/>
  <c r="B159" i="5"/>
  <c r="C159" i="5" s="1"/>
  <c r="C89" i="5"/>
  <c r="A90" i="5"/>
  <c r="A52" i="5"/>
  <c r="B29" i="5"/>
  <c r="B30" i="5" s="1"/>
  <c r="C30" i="5" s="1"/>
  <c r="A280" i="5" l="1"/>
  <c r="C279" i="5"/>
  <c r="A198" i="5"/>
  <c r="C197" i="5"/>
  <c r="C29" i="5"/>
  <c r="A91" i="5"/>
  <c r="C90" i="5"/>
  <c r="B31" i="5"/>
  <c r="A281" i="5" l="1"/>
  <c r="C280" i="5"/>
  <c r="A199" i="5"/>
  <c r="C199" i="5" s="1"/>
  <c r="C198" i="5"/>
  <c r="A92" i="5"/>
  <c r="C91" i="5"/>
  <c r="C31" i="5"/>
  <c r="B32" i="5"/>
  <c r="C281" i="5" l="1"/>
  <c r="A282" i="5"/>
  <c r="A93" i="5"/>
  <c r="C92" i="5"/>
  <c r="C32" i="5"/>
  <c r="B33" i="5"/>
  <c r="A283" i="5" l="1"/>
  <c r="C282" i="5"/>
  <c r="C93" i="5"/>
  <c r="A94" i="5"/>
  <c r="C33" i="5"/>
  <c r="B34" i="5"/>
  <c r="C283" i="5" l="1"/>
  <c r="A284" i="5"/>
  <c r="C94" i="5"/>
  <c r="A95" i="5"/>
  <c r="B35" i="5"/>
  <c r="C34" i="5"/>
  <c r="A285" i="5" l="1"/>
  <c r="C284" i="5"/>
  <c r="A96" i="5"/>
  <c r="C95" i="5"/>
  <c r="B36" i="5"/>
  <c r="C35" i="5"/>
  <c r="A286" i="5" l="1"/>
  <c r="C285" i="5"/>
  <c r="C96" i="5"/>
  <c r="A97" i="5"/>
  <c r="B37" i="5"/>
  <c r="C36" i="5"/>
  <c r="C286" i="5" l="1"/>
  <c r="A287" i="5"/>
  <c r="C97" i="5"/>
  <c r="A98" i="5"/>
  <c r="C37" i="5"/>
  <c r="B38" i="5"/>
  <c r="C287" i="5" l="1"/>
  <c r="A288" i="5"/>
  <c r="A99" i="5"/>
  <c r="C98" i="5"/>
  <c r="C38" i="5"/>
  <c r="B39" i="5"/>
  <c r="C288" i="5" l="1"/>
  <c r="A289" i="5"/>
  <c r="C99" i="5"/>
  <c r="A100" i="5"/>
  <c r="B40" i="5"/>
  <c r="C39" i="5"/>
  <c r="A290" i="5" l="1"/>
  <c r="C289" i="5"/>
  <c r="A101" i="5"/>
  <c r="C100" i="5"/>
  <c r="C40" i="5"/>
  <c r="B41" i="5"/>
  <c r="C290" i="5" l="1"/>
  <c r="A291" i="5"/>
  <c r="A102" i="5"/>
  <c r="C101" i="5"/>
  <c r="B42" i="5"/>
  <c r="C41" i="5"/>
  <c r="A292" i="5" l="1"/>
  <c r="C291" i="5"/>
  <c r="C102" i="5"/>
  <c r="A103" i="5"/>
  <c r="C42" i="5"/>
  <c r="B43" i="5"/>
  <c r="A293" i="5" l="1"/>
  <c r="A294" i="5" s="1"/>
  <c r="C292" i="5"/>
  <c r="C103" i="5"/>
  <c r="A104" i="5"/>
  <c r="C43" i="5"/>
  <c r="B44" i="5"/>
  <c r="C294" i="5" l="1"/>
  <c r="A295" i="5"/>
  <c r="C293" i="5"/>
  <c r="C104" i="5"/>
  <c r="A105" i="5"/>
  <c r="C44" i="5"/>
  <c r="B45" i="5"/>
  <c r="A296" i="5" l="1"/>
  <c r="C295" i="5"/>
  <c r="A106" i="5"/>
  <c r="C105" i="5"/>
  <c r="C45" i="5"/>
  <c r="B46" i="5"/>
  <c r="A297" i="5" l="1"/>
  <c r="C296" i="5"/>
  <c r="C106" i="5"/>
  <c r="A107" i="5"/>
  <c r="B47" i="5"/>
  <c r="C46" i="5"/>
  <c r="C297" i="5" l="1"/>
  <c r="A298" i="5"/>
  <c r="C107" i="5"/>
  <c r="A108" i="5"/>
  <c r="C47" i="5"/>
  <c r="B48" i="5"/>
  <c r="C298" i="5" l="1"/>
  <c r="A299" i="5"/>
  <c r="C108" i="5"/>
  <c r="A109" i="5"/>
  <c r="C48" i="5"/>
  <c r="B49" i="5"/>
  <c r="C299" i="5" l="1"/>
  <c r="A300" i="5"/>
  <c r="C300" i="5" s="1"/>
  <c r="A110" i="5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<sst xmlns="http://schemas.openxmlformats.org/spreadsheetml/2006/main" count="1739" uniqueCount="886">
  <si>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</si>
  <si>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</si>
  <si>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</si>
  <si>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</si>
  <si>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</si>
  <si>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</si>
  <si>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</si>
  <si>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</si>
  <si>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</si>
  <si>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</si>
  <si>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</si>
  <si>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</si>
  <si>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</si>
  <si>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</si>
  <si>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</si>
  <si>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</si>
  <si>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</si>
  <si>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</si>
  <si>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</si>
  <si>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</si>
  <si>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</si>
  <si>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</si>
  <si>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</si>
  <si>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</si>
  <si>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</si>
  <si>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</si>
  <si>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</si>
  <si>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</si>
  <si>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</si>
  <si>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</si>
  <si>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</si>
  <si>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</si>
  <si>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</si>
  <si>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</si>
  <si>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</si>
  <si>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</si>
  <si>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</si>
  <si>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</si>
  <si>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</si>
  <si>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</si>
  <si>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</si>
  <si>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</si>
  <si>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</si>
  <si>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</si>
  <si>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</si>
  <si>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</si>
  <si>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</si>
  <si>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</si>
  <si>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</si>
  <si>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</si>
  <si>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</si>
  <si>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</si>
  <si>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</si>
  <si>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</si>
  <si>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</si>
  <si>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</si>
  <si>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</si>
  <si>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</si>
  <si>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</si>
  <si>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</si>
  <si>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</si>
  <si>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</si>
  <si>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</si>
  <si>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</si>
  <si>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</si>
  <si>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</si>
  <si>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</si>
  <si>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</si>
  <si>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</si>
  <si>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</si>
  <si>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</si>
  <si>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</si>
  <si>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</si>
  <si>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</si>
  <si>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</si>
  <si>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</si>
  <si>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</si>
  <si>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</si>
  <si>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</si>
  <si>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</si>
  <si>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</si>
  <si>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</si>
  <si>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</si>
  <si>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</si>
  <si>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</si>
  <si>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</si>
  <si>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</si>
  <si>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</si>
  <si>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</si>
  <si>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</si>
  <si>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</si>
  <si>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</si>
  <si>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</si>
  <si>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</si>
  <si>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</si>
  <si>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</si>
  <si>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</si>
  <si>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</si>
  <si>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</si>
  <si>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</si>
  <si>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</si>
  <si>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</si>
  <si>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</si>
  <si>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</si>
  <si>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</si>
  <si>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</si>
  <si>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</si>
  <si>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</si>
  <si>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</si>
  <si>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</si>
  <si>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</si>
  <si>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</si>
  <si>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</si>
  <si>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</si>
  <si>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</si>
  <si>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</si>
  <si>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</si>
  <si>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</si>
  <si>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</si>
  <si>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</si>
  <si>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</si>
  <si>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</si>
  <si>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</si>
  <si>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</si>
  <si>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</si>
  <si>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</si>
  <si>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</si>
  <si>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</si>
  <si>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</si>
  <si>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</si>
  <si>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</si>
  <si>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</si>
  <si>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</si>
  <si>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</si>
  <si>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</si>
  <si>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</si>
  <si>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</si>
  <si>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</si>
  <si>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</si>
  <si>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</si>
  <si>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</si>
  <si>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</si>
  <si>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</si>
  <si>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</si>
  <si>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</si>
  <si>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</si>
  <si>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</si>
  <si>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</si>
  <si>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</si>
  <si>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</si>
  <si>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</si>
  <si>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</si>
  <si>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</si>
  <si>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</si>
  <si>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</si>
  <si>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</si>
  <si>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</si>
  <si>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</si>
  <si>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</si>
  <si>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</si>
  <si>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</si>
  <si>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</si>
  <si>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</si>
  <si>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</si>
  <si>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</si>
  <si>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</si>
  <si>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</si>
  <si>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</si>
  <si>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</si>
  <si>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</si>
  <si>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</si>
  <si>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</si>
  <si>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</si>
  <si>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</si>
  <si>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</si>
  <si>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</si>
  <si>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</si>
  <si>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</si>
  <si>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</si>
  <si>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</si>
  <si>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</si>
  <si>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</si>
  <si>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</si>
  <si>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</si>
  <si>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</si>
  <si>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</si>
  <si>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</si>
  <si>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</si>
  <si>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</si>
  <si>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</si>
  <si>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</si>
  <si>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</si>
  <si>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</si>
  <si>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</si>
  <si>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</si>
  <si>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</si>
  <si>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</si>
  <si>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</si>
  <si>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</si>
  <si>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</si>
  <si>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</si>
  <si>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</si>
  <si>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</si>
  <si>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</si>
  <si>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</si>
  <si>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</si>
  <si>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</si>
  <si>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</si>
  <si>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</si>
  <si>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</si>
  <si>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</si>
  <si>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</si>
  <si>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</si>
  <si>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</si>
  <si>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</si>
  <si>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</si>
  <si>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</si>
  <si>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</si>
  <si>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</si>
  <si>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</si>
  <si>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</si>
  <si>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</si>
  <si>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</si>
  <si>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</si>
  <si>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</si>
  <si>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</si>
  <si>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</si>
  <si>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</si>
  <si>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</si>
  <si>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</si>
  <si>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</si>
  <si>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</si>
  <si>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</si>
  <si>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</si>
  <si>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</si>
  <si>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</si>
  <si>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</si>
  <si>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</si>
  <si>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</si>
  <si>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</si>
  <si>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</si>
  <si>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</si>
  <si>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</si>
  <si>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</si>
  <si>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</si>
  <si>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</si>
  <si>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</si>
  <si>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</si>
  <si>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</si>
  <si>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</si>
  <si>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</si>
  <si>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</si>
  <si>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</si>
  <si>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</si>
  <si>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</si>
  <si>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</si>
  <si>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</si>
  <si>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</si>
  <si>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</si>
  <si>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</si>
  <si>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</si>
  <si>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</si>
  <si>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</si>
  <si>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</si>
  <si>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</si>
  <si>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</si>
  <si>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</si>
  <si>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</si>
  <si>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</si>
  <si>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</si>
  <si>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</si>
  <si>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</si>
  <si>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</si>
  <si>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</si>
  <si>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</si>
  <si>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</si>
  <si>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</si>
  <si>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</si>
  <si>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</si>
  <si>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</si>
  <si>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</si>
  <si>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</si>
  <si>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</si>
  <si>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</si>
  <si>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</si>
  <si>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</si>
  <si>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</si>
  <si>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</si>
  <si>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</si>
  <si>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</si>
  <si>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</si>
  <si>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</si>
  <si>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</si>
  <si>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</si>
  <si>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</si>
  <si>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</si>
  <si>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</si>
  <si>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</si>
  <si>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</si>
  <si>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</si>
  <si>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</si>
  <si>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</si>
  <si>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</si>
  <si>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</si>
  <si>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</si>
  <si>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</si>
  <si>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</si>
  <si>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</si>
  <si>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</si>
  <si>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</si>
  <si>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</si>
  <si>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</si>
  <si>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</si>
  <si>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</si>
  <si>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</si>
  <si>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</si>
  <si>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</si>
  <si>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</si>
  <si>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</si>
  <si>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</si>
  <si>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</si>
  <si>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</si>
  <si>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</si>
  <si>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</si>
  <si>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</si>
  <si>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</si>
  <si>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</si>
  <si>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</si>
  <si>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</si>
  <si>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</si>
  <si>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</si>
  <si>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</si>
  <si>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</si>
  <si>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</si>
  <si>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</si>
  <si>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</si>
  <si>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</si>
  <si>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</si>
  <si>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</si>
  <si>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</si>
  <si>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</si>
  <si>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</si>
  <si>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</si>
  <si>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</si>
  <si>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</si>
  <si>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</si>
  <si>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</si>
  <si>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</si>
  <si>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</si>
  <si>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</si>
  <si>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</si>
  <si>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</si>
  <si>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</si>
  <si>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</si>
  <si>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</si>
  <si>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</si>
  <si>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</si>
  <si>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</si>
  <si>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</si>
  <si>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</si>
  <si>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</si>
  <si>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</si>
  <si>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</si>
  <si>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</si>
  <si>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</si>
  <si>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</si>
  <si>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</si>
  <si>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</si>
  <si>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</si>
  <si>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</si>
  <si>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</si>
  <si>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</si>
  <si>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</si>
  <si>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</si>
  <si>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</si>
  <si>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</si>
  <si>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</si>
  <si>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</si>
  <si>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</si>
  <si>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</si>
  <si>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</si>
  <si>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</si>
  <si>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</si>
  <si>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</si>
  <si>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</si>
  <si>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</si>
  <si>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</si>
  <si>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</si>
  <si>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</si>
  <si>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</si>
  <si>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</si>
  <si>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</si>
  <si>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</si>
  <si>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</si>
  <si>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</si>
  <si>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</si>
  <si>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</si>
  <si>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</si>
  <si>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</si>
  <si>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</si>
  <si>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</si>
  <si>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</si>
  <si>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</si>
  <si>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</si>
  <si>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</si>
  <si>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</si>
  <si>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</si>
  <si>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</si>
  <si>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</si>
  <si>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</si>
  <si>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</si>
  <si>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</si>
  <si>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</si>
  <si>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</si>
  <si>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</si>
  <si>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</si>
  <si>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</si>
  <si>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</si>
  <si>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</si>
  <si>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</si>
  <si>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</si>
  <si>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</si>
  <si>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</si>
  <si>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</si>
  <si>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</si>
  <si>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</si>
  <si>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</si>
  <si>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</si>
  <si>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</si>
  <si>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</si>
  <si>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</si>
  <si>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</si>
  <si>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</si>
  <si>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</si>
  <si>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</si>
  <si>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</si>
  <si>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</si>
  <si>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</si>
  <si>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</si>
  <si>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</si>
  <si>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</si>
  <si>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</si>
  <si>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</si>
  <si>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</si>
  <si>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</si>
  <si>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</si>
  <si>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</si>
  <si>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</si>
  <si>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</si>
  <si>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</si>
  <si>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</si>
  <si>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</si>
  <si>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</si>
  <si>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</si>
  <si>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</si>
  <si>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</si>
  <si>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</si>
  <si>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</si>
  <si>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</si>
  <si>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</si>
  <si>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</si>
  <si>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</si>
  <si>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</si>
  <si>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</si>
  <si>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</si>
  <si>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</si>
  <si>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</si>
  <si>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"천하를 도모할 판을 짜드리지요.
가만, 누가 자꾸 내 도시락에 손을 대는 것이오!?"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</si>
  <si>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</si>
  <si>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</si>
  <si>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</si>
  <si>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</si>
  <si>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</si>
  <si>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</si>
  <si>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</si>
  <si>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</si>
  <si>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</si>
  <si>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</si>
  <si>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</si>
  <si>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</si>
  <si>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</si>
  <si>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</si>
  <si>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</si>
  <si>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</si>
  <si>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</si>
  <si>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</si>
  <si>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</si>
  <si>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</si>
  <si>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</si>
  <si>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</si>
  <si>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</si>
  <si>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</si>
  <si>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</si>
  <si>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</si>
  <si>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</si>
  <si>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</si>
  <si>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</si>
  <si>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</si>
  <si>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</si>
  <si>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</si>
  <si>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</si>
  <si>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</si>
  <si>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</si>
  <si>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</si>
  <si>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</si>
  <si>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</si>
  <si>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</si>
  <si>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</si>
  <si>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</si>
  <si>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</si>
  <si>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</si>
  <si>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</si>
  <si>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</si>
  <si>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</si>
  <si>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</si>
  <si>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</si>
  <si>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</si>
  <si>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</si>
  <si>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</si>
  <si>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</si>
  <si>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</si>
  <si>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</si>
  <si>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</si>
  <si>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</si>
  <si>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</si>
  <si>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</si>
  <si>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</si>
  <si>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</si>
  <si>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</si>
  <si>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</si>
  <si>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</si>
  <si>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</si>
  <si>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</si>
  <si>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</si>
  <si>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</si>
  <si>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</si>
  <si>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</si>
  <si>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</si>
  <si>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</si>
  <si>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</si>
  <si>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</si>
  <si>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</si>
  <si>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</si>
  <si>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</si>
  <si>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</si>
  <si>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</si>
  <si>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</si>
  <si>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</si>
  <si>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</si>
  <si>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</si>
  <si>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</si>
  <si>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</si>
  <si>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</si>
  <si>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</si>
  <si>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</si>
  <si>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</si>
  <si>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</si>
  <si>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</si>
  <si>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</si>
  <si>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</si>
  <si>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</si>
  <si>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</si>
  <si>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</si>
  <si>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</si>
  <si>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</si>
  <si>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</si>
  <si>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</si>
  <si>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</si>
  <si>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</si>
  <si>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</si>
  <si>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</si>
  <si>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</si>
  <si>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</si>
  <si>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</si>
  <si>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</si>
  <si>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</si>
  <si>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</si>
  <si>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</si>
  <si>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</si>
  <si>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</si>
  <si>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</si>
  <si>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</si>
  <si>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</si>
  <si>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</si>
  <si>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</si>
  <si>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</si>
  <si>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</si>
  <si>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</si>
  <si>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</si>
  <si>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</si>
  <si>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</si>
  <si>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</si>
  <si>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</si>
  <si>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</si>
  <si>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</si>
  <si>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</si>
  <si>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</si>
  <si>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</si>
  <si>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</si>
  <si>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</si>
  <si>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</si>
  <si>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</si>
  <si>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</si>
  <si>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</si>
  <si>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</si>
  <si>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</si>
  <si>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</si>
  <si>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</si>
  <si>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</si>
  <si>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</si>
  <si>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</si>
  <si>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</si>
  <si>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</si>
  <si>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</si>
  <si>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</si>
  <si>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</si>
  <si>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</si>
  <si>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</si>
  <si>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</si>
  <si>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</si>
  <si>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</si>
  <si>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</si>
  <si>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</si>
  <si>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</si>
  <si>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</si>
  <si>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</si>
  <si>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</si>
  <si>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</si>
  <si>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</si>
  <si>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</si>
  <si>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</si>
  <si>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</si>
  <si>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</si>
  <si>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</si>
  <si>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</si>
  <si>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</si>
  <si>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</si>
  <si>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</si>
  <si>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</si>
  <si>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</si>
  <si>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</si>
  <si>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</si>
  <si>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</si>
  <si>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</si>
  <si>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</si>
  <si>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</si>
  <si>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</si>
  <si>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</si>
  <si>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</si>
  <si>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</si>
  <si>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</si>
  <si>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</si>
  <si>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</si>
  <si>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</si>
  <si>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</si>
  <si>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</si>
  <si>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</si>
  <si>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</si>
  <si>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</si>
  <si>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</si>
  <si>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</si>
  <si>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</si>
  <si>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</si>
  <si>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</si>
  <si>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</si>
  <si>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</si>
  <si>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</si>
  <si>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</si>
  <si>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</si>
  <si>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</si>
  <si>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</si>
  <si>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</si>
  <si>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</si>
  <si>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</si>
  <si>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</si>
  <si>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</si>
  <si>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</si>
  <si>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</si>
  <si>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</si>
  <si>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</si>
  <si>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</si>
  <si>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</si>
  <si>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</si>
  <si>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</si>
  <si>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</si>
  <si>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</si>
  <si>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이..이런!!</t>
    <phoneticPr fontId="1" type="noConversion"/>
  </si>
  <si>
    <t>아으.. 바쁘다 바빠!!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</si>
  <si>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</si>
  <si>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</si>
  <si>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</si>
  <si>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</si>
  <si>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</si>
  <si>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</si>
  <si>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</si>
  <si>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</si>
  <si>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</si>
  <si>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</si>
  <si>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</si>
  <si>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</si>
  <si>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</si>
  <si>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</si>
  <si>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</si>
  <si>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</si>
  <si>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</si>
  <si>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</si>
  <si>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</si>
  <si>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</si>
  <si>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</si>
  <si>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</si>
  <si>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</si>
  <si>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</si>
  <si>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</si>
  <si>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</si>
  <si>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</si>
  <si>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</si>
  <si>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</si>
  <si>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</si>
  <si>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</si>
  <si>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</si>
  <si>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</si>
  <si>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</si>
  <si>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</si>
  <si>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</si>
  <si>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</si>
  <si>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</si>
  <si>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</si>
  <si>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</si>
  <si>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</si>
  <si>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</si>
  <si>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</si>
  <si>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</si>
  <si>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</si>
  <si>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</si>
  <si>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</si>
  <si>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</si>
  <si>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</si>
  <si>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</si>
  <si>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</si>
  <si>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</si>
  <si>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</si>
  <si>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</si>
  <si>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</si>
  <si>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</si>
  <si>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</si>
  <si>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</si>
  <si>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</si>
  <si>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</si>
  <si>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</si>
  <si>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</si>
  <si>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</si>
  <si>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</si>
  <si>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</si>
  <si>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</si>
  <si>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</si>
  <si>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</si>
  <si>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</si>
  <si>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</si>
  <si>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</si>
  <si>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</si>
  <si>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</si>
  <si>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</si>
  <si>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</si>
  <si>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</si>
  <si>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</si>
  <si>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</si>
  <si>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</si>
  <si>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</si>
  <si>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</si>
  <si>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</si>
  <si>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</si>
  <si>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</si>
  <si>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</si>
  <si>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</si>
  <si>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</si>
  <si>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</si>
  <si>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역적이라고??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</si>
  <si>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</si>
  <si>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</si>
  <si>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</si>
  <si>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</si>
  <si>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크윽..</t>
    <phoneticPr fontId="1" type="noConversion"/>
  </si>
  <si>
    <t>너는.. 그 악귀를 물리친
영웅이 되는 것이다.. 크읔</t>
    <phoneticPr fontId="1" type="noConversion"/>
  </si>
  <si>
    <t>관우님도 느끼고 있으실 것입니다.
아수라의 기운을..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</si>
  <si>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</si>
  <si>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</si>
  <si>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</si>
  <si>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</si>
  <si>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</si>
  <si>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</si>
  <si>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알고 있네. 혹시..
만약에 말일세..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</si>
  <si>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</si>
  <si>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</si>
  <si>
    <t>으으.. 관형..</t>
    <phoneticPr fontId="1" type="noConversion"/>
  </si>
  <si>
    <t>하하하. 역시 관형이오.
대단하십니다!</t>
    <phoneticPr fontId="1" type="noConversion"/>
  </si>
  <si>
    <t>뭐하는거요, 관형.
그자는 그저 농사꾼이지 않소.</t>
    <phoneticPr fontId="1" type="noConversion"/>
  </si>
  <si>
    <t>역시 전장의 귀신이오!!</t>
    <phoneticPr fontId="1" type="noConversion"/>
  </si>
  <si>
    <t>..? 관공?</t>
    <phoneticPr fontId="1" type="noConversion"/>
  </si>
  <si>
    <t>멈추어라!</t>
    <phoneticPr fontId="1" type="noConversion"/>
  </si>
  <si>
    <t>흥! 역적 놈이 
명을 재촉하는군ㅋ</t>
    <phoneticPr fontId="1" type="noConversion"/>
  </si>
  <si>
    <t>ㅋㅋ 악귀놈, 이제야 온 것이냐ㅋ
어차피 네놈 또한..</t>
    <phoneticPr fontId="1" type="noConversion"/>
  </si>
  <si>
    <t>고생하긴 했지.. 음??</t>
    <phoneticPr fontId="1" type="noConversion"/>
  </si>
  <si>
    <t>뭐야!! 어떻게 안것이냐, 네놈!!</t>
    <phoneticPr fontId="1" type="noConversion"/>
  </si>
  <si>
    <t>아깝군. 이대로만 갔어도 
좋은 흐름이었는데..</t>
    <phoneticPr fontId="1" type="noConversion"/>
  </si>
  <si>
    <t>이 괴물같은 넘..</t>
    <phoneticPr fontId="1" type="noConversion"/>
  </si>
  <si>
    <t>아??</t>
    <phoneticPr fontId="1" type="noConversion"/>
  </si>
  <si>
    <t>어휴.. 죽이지 않고 패는게
더 힘들구만..</t>
    <phoneticPr fontId="1" type="noConversion"/>
  </si>
  <si>
    <t>..번개?</t>
    <phoneticPr fontId="1" type="noConversion"/>
  </si>
  <si>
    <t>시끄럽다!! 큰 형님을 죽음으로 몰고,
역적 조조에게 붙어버린 배신자놈!!</t>
    <phoneticPr fontId="1" type="noConversion"/>
  </si>
  <si>
    <t>이번에는 번개가
안치는군요, 승상.</t>
    <phoneticPr fontId="1" type="noConversion"/>
  </si>
  <si>
    <t>주공, 일단 자리를
피하시지요.</t>
    <phoneticPr fontId="1" type="noConversion"/>
  </si>
  <si>
    <t>캬캬. 술이 식기
전엔 돌아오쇼ㅋ</t>
    <phoneticPr fontId="1" type="noConversion"/>
  </si>
  <si>
    <t>백성들에게는 그런 신의 존재가
필요하다. 그러니 네가..</t>
    <phoneticPr fontId="1" type="noConversion"/>
  </si>
  <si>
    <t>크읔..</t>
    <phoneticPr fontId="1" type="noConversion"/>
  </si>
  <si>
    <t>이..이 버러지같은 것들이!!</t>
    <phoneticPr fontId="1" type="noConversion"/>
  </si>
  <si>
    <t>마..막내야??</t>
    <phoneticPr fontId="1" type="noConversion"/>
  </si>
  <si>
    <t>크윽.. 크아아아아ㅏㅏ</t>
    <phoneticPr fontId="1" type="noConversion"/>
  </si>
  <si>
    <t>잡았다!!</t>
    <phoneticPr fontId="1" type="noConversion"/>
  </si>
  <si>
    <t>하하하!! 내가 이 괴물같은
녀석의 심장을 뚫었다!!</t>
    <phoneticPr fontId="1" type="noConversion"/>
  </si>
  <si>
    <t>몸을 추스리게. 다녀와서
그대의 술잔을 받도록 하지.</t>
    <phoneticPr fontId="1" type="noConversion"/>
  </si>
  <si>
    <t>네 놈의 목을 쳐 그들의
원한을 풀어주겠다.</t>
    <phoneticPr fontId="1" type="noConversion"/>
  </si>
  <si>
    <t>안량, 문추를 잃은 것은 
안타까우나..</t>
    <phoneticPr fontId="1" type="noConversion"/>
  </si>
  <si>
    <t>유비.. 네 놈 때문에 내가 제일
아끼는 장수 두명을 잃었다.</t>
    <phoneticPr fontId="1" type="noConversion"/>
  </si>
  <si>
    <t>명공! 조조는 원래 저를 시기하여 명공의
손을 빌려 저를 죽이려는 것입니다.</t>
    <phoneticPr fontId="1" type="noConversion"/>
  </si>
  <si>
    <t>안량을 벤 자가 누구더냐!</t>
    <phoneticPr fontId="1" type="noConversion"/>
  </si>
  <si>
    <t>흥! 대체 안량이 어떻게..
분명 무슨 암수를 썻을테지!</t>
    <phoneticPr fontId="1" type="noConversion"/>
  </si>
  <si>
    <t>그럴 순 없다네..</t>
    <phoneticPr fontId="1" type="noConversion"/>
  </si>
  <si>
    <t>(누구지? 아무런 기척도
못 느꼈었는데..)</t>
    <phoneticPr fontId="1" type="noConversion"/>
  </si>
  <si>
    <t>급소는 모두 빗겨갔군.
괴물이라 하기엔..</t>
    <phoneticPr fontId="1" type="noConversion"/>
  </si>
  <si>
    <t>크..큰일났다!!</t>
    <phoneticPr fontId="1" type="noConversion"/>
  </si>
  <si>
    <t>범강, 장달.. 으으 저 두 놈은 어느
시간선에서든 문제를 일으키는군 - -+</t>
    <phoneticPr fontId="1" type="noConversion"/>
  </si>
  <si>
    <t>우선 아수라가 현현하는 건 막아야한다..
시간을 되돌릴 수 밖에..</t>
    <phoneticPr fontId="1" type="noConversion"/>
  </si>
  <si>
    <t>푸욱</t>
    <phoneticPr fontId="1" type="noConversion"/>
  </si>
  <si>
    <t>푸우욱</t>
    <phoneticPr fontId="1" type="noConversion"/>
  </si>
  <si>
    <t>혀..형님.. 그런..ㅜㅜ</t>
    <phoneticPr fontId="1" type="noConversion"/>
  </si>
  <si>
    <t>이 놈이!!</t>
    <phoneticPr fontId="1" type="noConversion"/>
  </si>
  <si>
    <t>ㅋㅋ 곧 죽을 놈이
말이 많구나!!ㅋ</t>
    <phoneticPr fontId="1" type="noConversion"/>
  </si>
  <si>
    <t>그 놈 이름이..
[동소]..라고 했던가??</t>
    <phoneticPr fontId="1" type="noConversion"/>
  </si>
  <si>
    <t>유비 형님 3년상 치르느라 고생했다.
살이 좀 빠졌구나, 막내야..</t>
    <phoneticPr fontId="1" type="noConversion"/>
  </si>
  <si>
    <t>어리석은!! 나는 한 나라의 신하일 뿐,
천하를 편안하게 하는 것 외엔 관심없다!</t>
    <phoneticPr fontId="1" type="noConversion"/>
  </si>
  <si>
    <t>네 놈을 위왕으로 책봉하라고
황제를 부추겼다지?ㅋ</t>
    <phoneticPr fontId="1" type="noConversion"/>
  </si>
  <si>
    <t>자 그럼, 다음에 또 보자~</t>
    <phoneticPr fontId="1" type="noConversion"/>
  </si>
  <si>
    <t>후훗. 이제야 안심이구나.</t>
    <phoneticPr fontId="1" type="noConversion"/>
  </si>
  <si>
    <t>훗, 겨우 이정도가
장익덕의 힘이더냐?</t>
    <phoneticPr fontId="1" type="noConversion"/>
  </si>
  <si>
    <t>눈에 띄는 건 싫군</t>
    <phoneticPr fontId="1" type="noConversion"/>
  </si>
  <si>
    <t>문추의 목을 높이 들어라</t>
    <phoneticPr fontId="1" type="noConversion"/>
  </si>
  <si>
    <t>이동하기</t>
  </si>
  <si>
    <t>기본공격 하기</t>
  </si>
  <si>
    <t>스킬 사용하기</t>
  </si>
  <si>
    <t>대쉬 사용하기</t>
  </si>
  <si>
    <t>MOVE</t>
    <phoneticPr fontId="1" type="noConversion"/>
  </si>
  <si>
    <t>GUIDE</t>
    <phoneticPr fontId="1" type="noConversion"/>
  </si>
  <si>
    <t>장수 배치하기</t>
    <phoneticPr fontId="1" type="noConversion"/>
  </si>
  <si>
    <t>REPEAT</t>
    <phoneticPr fontId="1" type="noConversion"/>
  </si>
  <si>
    <t>ENEMY_KILL</t>
    <phoneticPr fontId="1" type="noConversion"/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</si>
  <si>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</si>
  <si>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</si>
  <si>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</si>
  <si>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</si>
  <si>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</si>
  <si>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</si>
  <si>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</si>
  <si>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</si>
  <si>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적 처치하기</t>
  </si>
  <si>
    <t>토너먼트 참여하기</t>
  </si>
  <si>
    <t>레이드 참여하기</t>
  </si>
  <si>
    <t>장수 모집 진행하기</t>
  </si>
  <si>
    <t>군량 수확하기</t>
  </si>
  <si>
    <t>금화 수확하기</t>
  </si>
  <si>
    <t>관아 파견 보내기</t>
  </si>
  <si>
    <t>요일던전 플레이하기</t>
  </si>
  <si>
    <t>스테이지 보스 처치</t>
  </si>
  <si>
    <t>NORMAL_ATTACK</t>
  </si>
  <si>
    <t>MAIN_SKILL_USE</t>
  </si>
  <si>
    <t>DASH_USE</t>
  </si>
  <si>
    <t>STORYMODE_PLAY</t>
  </si>
  <si>
    <t>CHARACTER_DEPLOY</t>
  </si>
  <si>
    <t>스토리모드 클리어</t>
    <phoneticPr fontId="1" type="noConversion"/>
  </si>
  <si>
    <t>ㅋㅋ 오거라ㅋ</t>
    <phoneticPr fontId="1" type="noConversion"/>
  </si>
  <si>
    <r>
      <t>요일</t>
    </r>
    <r>
      <rPr>
        <sz val="11"/>
        <color theme="1"/>
        <rFont val="돋움"/>
        <family val="2"/>
        <charset val="129"/>
      </rPr>
      <t xml:space="preserve"> 던전 클리어</t>
    </r>
    <phoneticPr fontId="1" type="noConversion"/>
  </si>
  <si>
    <t>아수라가.. 현현한다..
어쩔 수 없이 최후의 수단을..</t>
    <phoneticPr fontId="1" type="noConversion"/>
  </si>
  <si>
    <t>GRADE_RANK_ELITE</t>
    <phoneticPr fontId="1" type="noConversion"/>
  </si>
  <si>
    <t>GRADE_RANK_GENERAL</t>
    <phoneticPr fontId="1" type="noConversion"/>
  </si>
  <si>
    <t>GRADE_RANK_HERO</t>
    <phoneticPr fontId="1" type="noConversion"/>
  </si>
  <si>
    <t>GRADE_RANK_LEGEND</t>
    <phoneticPr fontId="1" type="noConversion"/>
  </si>
  <si>
    <t>GRADE_RANK_NORMAL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</si>
</sst>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</font>
    <font>
      <sz val="11"/>
      <color theme="1"/>
      <name val="돋움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58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2" borderId="5" xfId="0" applyFont="1" applyFill="1" applyBorder="1" applyAlignment="1">
      <alignment horizontal="left" vertical="center"/>
    </xf>
    <xf numFmtId="0" fontId="0" fillId="0" borderId="5" xfId="0" applyFont="1" applyBorder="1" applyAlignment="1">
      <alignment horizontal="left" vertical="center"/>
    </xf>
    <xf numFmtId="0" fontId="0" fillId="0" borderId="6" xfId="0" applyFont="1" applyBorder="1" applyAlignment="1">
      <alignment horizontal="left" vertical="center"/>
    </xf>
    <xf numFmtId="0" fontId="0" fillId="0" borderId="4" xfId="0" applyFont="1" applyBorder="1">
      <alignment vertical="center"/>
    </xf>
    <xf numFmtId="0" fontId="0" fillId="0" borderId="7" xfId="0" applyFont="1" applyBorder="1">
      <alignment vertical="center"/>
    </xf>
    <xf numFmtId="0" fontId="5" fillId="0" borderId="4" xfId="0" applyFont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0" xfId="0" applyFont="1">
      <alignment vertical="center"/>
    </xf>
    <xf numFmtId="0" fontId="0" fillId="0" borderId="1" xfId="0" applyFont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0" xfId="0" applyFont="1" applyAlignment="1">
      <alignment vertical="center"/>
    </xf>
    <xf numFmtId="0" fontId="0" fillId="0" borderId="0" xfId="0" applyFont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6" fillId="0" borderId="1" xfId="0" applyFont="1" applyBorder="1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ZhaoYun</v>
          </cell>
        </row>
        <row r="8">
          <cell r="A8" t="str">
            <v>황충</v>
          </cell>
          <cell r="B8" t="str">
            <v>HuangZhong</v>
          </cell>
        </row>
        <row r="9">
          <cell r="A9" t="str">
            <v>제갈량</v>
          </cell>
          <cell r="B9" t="str">
            <v>ZhugeLiang</v>
          </cell>
        </row>
        <row r="10">
          <cell r="A10" t="str">
            <v>조조</v>
          </cell>
          <cell r="B10" t="str">
            <v>CaoCao</v>
          </cell>
        </row>
        <row r="11">
          <cell r="A11" t="str">
            <v>조인</v>
          </cell>
          <cell r="B11" t="str">
            <v>CaoRen</v>
          </cell>
        </row>
        <row r="12">
          <cell r="A12" t="str">
            <v>하후돈</v>
          </cell>
          <cell r="B12" t="str">
            <v>XiahouDun</v>
          </cell>
        </row>
        <row r="13">
          <cell r="A13" t="str">
            <v>장료</v>
          </cell>
          <cell r="B13" t="str">
            <v>ZhangLiao</v>
          </cell>
        </row>
        <row r="14">
          <cell r="A14" t="str">
            <v>하후연</v>
          </cell>
          <cell r="B14" t="str">
            <v>XiahouYuan</v>
          </cell>
        </row>
        <row r="15">
          <cell r="A15" t="str">
            <v>순욱</v>
          </cell>
          <cell r="B15" t="str">
            <v>XunYu</v>
          </cell>
        </row>
        <row r="16">
          <cell r="A16" t="str">
            <v>손견</v>
          </cell>
          <cell r="B16" t="str">
            <v>SunJian</v>
          </cell>
        </row>
        <row r="17">
          <cell r="A17" t="str">
            <v>손권</v>
          </cell>
          <cell r="B17" t="str">
            <v>SunQuan</v>
          </cell>
        </row>
        <row r="18">
          <cell r="A18" t="str">
            <v>황개</v>
          </cell>
          <cell r="B18" t="str">
            <v>HuangGai</v>
          </cell>
        </row>
        <row r="19">
          <cell r="A19" t="str">
            <v>손책</v>
          </cell>
          <cell r="B19" t="str">
            <v>SunCe</v>
          </cell>
        </row>
        <row r="20">
          <cell r="A20" t="str">
            <v>태사자</v>
          </cell>
          <cell r="B20" t="str">
            <v>TaishiCi</v>
          </cell>
        </row>
        <row r="21">
          <cell r="A21" t="str">
            <v>한당</v>
          </cell>
          <cell r="B21" t="str">
            <v>HanDang</v>
          </cell>
        </row>
        <row r="22">
          <cell r="A22" t="str">
            <v>주유</v>
          </cell>
          <cell r="B22" t="str">
            <v>ZhouYu</v>
          </cell>
        </row>
        <row r="23">
          <cell r="A23" t="str">
            <v>여포</v>
          </cell>
          <cell r="B23" t="str">
            <v>LuBu</v>
          </cell>
        </row>
        <row r="24">
          <cell r="A24" t="str">
            <v>원소</v>
          </cell>
          <cell r="B24" t="str">
            <v>YuanShao</v>
          </cell>
        </row>
        <row r="25">
          <cell r="A25" t="str">
            <v>안량</v>
          </cell>
          <cell r="B25" t="str">
            <v>YanLiang</v>
          </cell>
        </row>
        <row r="26">
          <cell r="A26" t="str">
            <v>문추</v>
          </cell>
          <cell r="B26" t="str">
            <v>WenChou</v>
          </cell>
        </row>
        <row r="27">
          <cell r="A27" t="str">
            <v>송헌</v>
          </cell>
          <cell r="B27" t="str">
            <v>SongXian</v>
          </cell>
        </row>
        <row r="28">
          <cell r="A28" t="str">
            <v>위속</v>
          </cell>
          <cell r="B28" t="str">
            <v>WeiXU</v>
          </cell>
        </row>
        <row r="29">
          <cell r="A29" t="str">
            <v>서황</v>
          </cell>
          <cell r="B29" t="str">
            <v>XuHuang</v>
          </cell>
        </row>
        <row r="30">
          <cell r="A30" t="str">
            <v>범강</v>
          </cell>
          <cell r="B30" t="str">
            <v>FanJiang</v>
          </cell>
        </row>
        <row r="31">
          <cell r="A31" t="str">
            <v>장달</v>
          </cell>
          <cell r="B31" t="str">
            <v>ZhangDa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3"/>
  <sheetViews>
    <sheetView tabSelected="1" topLeftCell="A13" workbookViewId="0">
      <selection activeCell="C38" sqref="C38"/>
    </sheetView>
  </sheetViews>
  <sheetFormatPr defaultRowHeight="16.5" x14ac:dyDescent="0.3"/>
  <cols>
    <col min="2" max="2" width="38.125" bestFit="1" customWidth="1"/>
    <col min="3" max="4" width="40.875" customWidth="1"/>
  </cols>
  <sheetData>
    <row r="1" spans="1:4" x14ac:dyDescent="0.3">
      <c r="A1" s="1" t="s">
        <v>384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B3" t="s">
        <v>83</v>
      </c>
      <c r="C3" t="s">
        <v>84</v>
      </c>
    </row>
    <row r="4" spans="1:4" x14ac:dyDescent="0.3">
      <c r="B4" t="s">
        <v>86</v>
      </c>
      <c r="C4" s="3" t="s">
        <v>95</v>
      </c>
    </row>
    <row r="5" spans="1:4" x14ac:dyDescent="0.3">
      <c r="B5" t="s">
        <v>93</v>
      </c>
      <c r="C5" s="3" t="s">
        <v>102</v>
      </c>
    </row>
    <row r="6" spans="1:4" x14ac:dyDescent="0.3">
      <c r="B6" t="s">
        <v>91</v>
      </c>
      <c r="C6" s="3" t="s">
        <v>100</v>
      </c>
    </row>
    <row r="7" spans="1:4" x14ac:dyDescent="0.3">
      <c r="B7" t="s">
        <v>92</v>
      </c>
      <c r="C7" s="3" t="s">
        <v>101</v>
      </c>
    </row>
    <row r="8" spans="1:4" x14ac:dyDescent="0.3">
      <c r="B8" t="s">
        <v>90</v>
      </c>
      <c r="C8" s="3" t="s">
        <v>99</v>
      </c>
    </row>
    <row r="9" spans="1:4" x14ac:dyDescent="0.3">
      <c r="B9" t="s">
        <v>85</v>
      </c>
      <c r="C9" s="3" t="s">
        <v>94</v>
      </c>
    </row>
    <row r="10" spans="1:4" x14ac:dyDescent="0.3">
      <c r="B10" t="s">
        <v>87</v>
      </c>
      <c r="C10" s="3" t="s">
        <v>96</v>
      </c>
    </row>
    <row r="11" spans="1:4" x14ac:dyDescent="0.3">
      <c r="B11" t="s">
        <v>89</v>
      </c>
      <c r="C11" s="3" t="s">
        <v>98</v>
      </c>
    </row>
    <row r="12" spans="1:4" x14ac:dyDescent="0.3">
      <c r="B12" t="s">
        <v>88</v>
      </c>
      <c r="C12" s="3" t="s">
        <v>97</v>
      </c>
    </row>
    <row r="13" spans="1:4" x14ac:dyDescent="0.3">
      <c r="B13" t="s">
        <v>114</v>
      </c>
      <c r="C13" s="3" t="s">
        <v>123</v>
      </c>
    </row>
    <row r="14" spans="1:4" x14ac:dyDescent="0.3">
      <c r="B14" t="s">
        <v>118</v>
      </c>
      <c r="C14" t="s">
        <v>119</v>
      </c>
    </row>
    <row r="15" spans="1:4" x14ac:dyDescent="0.3">
      <c r="B15" t="s">
        <v>115</v>
      </c>
      <c r="C15" s="3" t="s">
        <v>122</v>
      </c>
    </row>
    <row r="16" spans="1:4" x14ac:dyDescent="0.3">
      <c r="B16" t="s">
        <v>117</v>
      </c>
      <c r="C16" t="s">
        <v>120</v>
      </c>
    </row>
    <row r="17" spans="2:3" x14ac:dyDescent="0.3">
      <c r="B17" t="s">
        <v>116</v>
      </c>
      <c r="C17" t="s">
        <v>121</v>
      </c>
    </row>
    <row r="18" spans="2:3" x14ac:dyDescent="0.3">
      <c r="B18" t="s">
        <v>113</v>
      </c>
      <c r="C18" s="3" t="s">
        <v>124</v>
      </c>
    </row>
    <row r="19" spans="2:3" x14ac:dyDescent="0.3">
      <c r="B19" t="s">
        <v>106</v>
      </c>
      <c r="C19" s="3" t="s">
        <v>111</v>
      </c>
    </row>
    <row r="20" spans="2:3" x14ac:dyDescent="0.3">
      <c r="B20" t="s">
        <v>112</v>
      </c>
      <c r="C20" s="3" t="s">
        <v>109</v>
      </c>
    </row>
    <row r="21" spans="2:3" x14ac:dyDescent="0.3">
      <c r="B21" t="s">
        <v>103</v>
      </c>
      <c r="C21" s="3" t="s">
        <v>107</v>
      </c>
    </row>
    <row r="22" spans="2:3" x14ac:dyDescent="0.3">
      <c r="B22" t="s">
        <v>105</v>
      </c>
      <c r="C22" s="3" t="s">
        <v>110</v>
      </c>
    </row>
    <row r="23" spans="2:3" x14ac:dyDescent="0.3">
      <c r="B23" t="s">
        <v>104</v>
      </c>
      <c r="C23" s="3" t="s">
        <v>108</v>
      </c>
    </row>
    <row r="24" spans="2:3" x14ac:dyDescent="0.3">
      <c r="B24" s="17" t="s">
        <v>154</v>
      </c>
      <c r="C24" s="17" t="s">
        <v>146</v>
      </c>
    </row>
    <row r="25" spans="2:3" x14ac:dyDescent="0.3">
      <c r="B25" s="17" t="s">
        <v>155</v>
      </c>
      <c r="C25" s="17" t="s">
        <v>147</v>
      </c>
    </row>
    <row r="26" spans="2:3" x14ac:dyDescent="0.3">
      <c r="B26" s="17" t="s">
        <v>156</v>
      </c>
      <c r="C26" s="17" t="s">
        <v>148</v>
      </c>
    </row>
    <row r="27" spans="2:3" x14ac:dyDescent="0.3">
      <c r="B27" s="17" t="s">
        <v>157</v>
      </c>
      <c r="C27" s="17" t="s">
        <v>149</v>
      </c>
    </row>
    <row r="28" spans="2:3" x14ac:dyDescent="0.3">
      <c r="B28" s="17" t="s">
        <v>153</v>
      </c>
      <c r="C28" s="17" t="s">
        <v>62</v>
      </c>
    </row>
    <row r="29" spans="2:3" x14ac:dyDescent="0.3">
      <c r="B29" t="s">
        <v>63</v>
      </c>
      <c r="C29" s="3" t="s">
        <v>64</v>
      </c>
    </row>
    <row r="30" spans="2:3" x14ac:dyDescent="0.3">
      <c r="B30" t="s">
        <v>65</v>
      </c>
      <c r="C30" s="3" t="s">
        <v>68</v>
      </c>
    </row>
    <row r="31" spans="2:3" x14ac:dyDescent="0.3">
      <c r="B31" t="s">
        <v>66</v>
      </c>
      <c r="C31" s="3" t="s">
        <v>67</v>
      </c>
    </row>
    <row r="32" spans="2:3" x14ac:dyDescent="0.3">
      <c r="B32" t="s">
        <v>69</v>
      </c>
      <c r="C32" s="3" t="s">
        <v>70</v>
      </c>
    </row>
    <row r="33" spans="2:4" x14ac:dyDescent="0.3">
      <c r="B33" t="s">
        <v>61</v>
      </c>
      <c r="C33" s="3" t="s">
        <v>62</v>
      </c>
    </row>
    <row r="34" spans="2:4" x14ac:dyDescent="0.3">
      <c r="B34" t="s">
        <v>881</v>
      </c>
      <c r="C34" s="3" t="s">
        <v>64</v>
      </c>
    </row>
    <row r="35" spans="2:4" x14ac:dyDescent="0.3">
      <c r="B35" t="s">
        <v>882</v>
      </c>
      <c r="C35" s="3" t="s">
        <v>68</v>
      </c>
    </row>
    <row r="36" spans="2:4" x14ac:dyDescent="0.3">
      <c r="B36" t="s">
        <v>883</v>
      </c>
      <c r="C36" s="3" t="s">
        <v>67</v>
      </c>
    </row>
    <row r="37" spans="2:4" x14ac:dyDescent="0.3">
      <c r="B37" t="s">
        <v>884</v>
      </c>
      <c r="C37" s="3" t="s">
        <v>70</v>
      </c>
    </row>
    <row r="38" spans="2:4" x14ac:dyDescent="0.3">
      <c r="B38" t="s">
        <v>885</v>
      </c>
      <c r="C38" s="3" t="s">
        <v>62</v>
      </c>
    </row>
    <row r="39" spans="2:4" x14ac:dyDescent="0.3">
      <c r="B39" t="s">
        <v>151</v>
      </c>
      <c r="C39" t="s">
        <v>77</v>
      </c>
    </row>
    <row r="40" spans="2:4" x14ac:dyDescent="0.3">
      <c r="B40" t="s">
        <v>74</v>
      </c>
      <c r="C40" t="s">
        <v>75</v>
      </c>
    </row>
    <row r="41" spans="2:4" x14ac:dyDescent="0.3">
      <c r="B41" t="s">
        <v>150</v>
      </c>
      <c r="C41" t="s">
        <v>79</v>
      </c>
    </row>
    <row r="42" spans="2:4" x14ac:dyDescent="0.3">
      <c r="B42" t="s">
        <v>80</v>
      </c>
      <c r="C42" t="s">
        <v>76</v>
      </c>
    </row>
    <row r="43" spans="2:4" x14ac:dyDescent="0.3">
      <c r="B43" t="s">
        <v>152</v>
      </c>
      <c r="C43" t="s">
        <v>78</v>
      </c>
    </row>
    <row r="44" spans="2:4" x14ac:dyDescent="0.3">
      <c r="B44" t="s">
        <v>53</v>
      </c>
      <c r="C44" s="3" t="s">
        <v>54</v>
      </c>
      <c r="D44" s="3"/>
    </row>
    <row r="45" spans="2:4" x14ac:dyDescent="0.3">
      <c r="B45" t="s">
        <v>164</v>
      </c>
      <c r="C45" t="s">
        <v>165</v>
      </c>
    </row>
    <row r="46" spans="2:4" x14ac:dyDescent="0.3">
      <c r="B46" t="s">
        <v>267</v>
      </c>
      <c r="C46" t="s">
        <v>263</v>
      </c>
    </row>
    <row r="47" spans="2:4" x14ac:dyDescent="0.3">
      <c r="B47" t="s">
        <v>265</v>
      </c>
      <c r="C47" t="s">
        <v>261</v>
      </c>
    </row>
    <row r="48" spans="2:4" x14ac:dyDescent="0.3">
      <c r="B48" t="s">
        <v>264</v>
      </c>
      <c r="C48" t="s">
        <v>260</v>
      </c>
    </row>
    <row r="49" spans="1:3" x14ac:dyDescent="0.3">
      <c r="B49" t="s">
        <v>266</v>
      </c>
      <c r="C49" t="s">
        <v>262</v>
      </c>
    </row>
    <row r="50" spans="1:3" x14ac:dyDescent="0.3">
      <c r="B50" t="s">
        <v>163</v>
      </c>
      <c r="C50" t="s">
        <v>159</v>
      </c>
    </row>
    <row r="51" spans="1:3" x14ac:dyDescent="0.3">
      <c r="B51" t="s">
        <v>161</v>
      </c>
      <c r="C51" t="s">
        <v>158</v>
      </c>
    </row>
    <row r="52" spans="1:3" x14ac:dyDescent="0.3">
      <c r="B52" t="s">
        <v>162</v>
      </c>
      <c r="C52" t="s">
        <v>160</v>
      </c>
    </row>
    <row r="53" spans="1:3" x14ac:dyDescent="0.3">
      <c r="A53" t="s">
        <v>543</v>
      </c>
      <c r="B53" t="str">
        <f>"SORTTYPE_"&amp;A53</f>
        <v>SORTTYPE_CLASS</v>
      </c>
      <c r="C53" t="s">
        <v>548</v>
      </c>
    </row>
    <row r="54" spans="1:3" x14ac:dyDescent="0.3">
      <c r="A54" t="s">
        <v>544</v>
      </c>
      <c r="B54" t="str">
        <f>"SORTTYPE_"&amp;A54</f>
        <v>SORTTYPE_GRADE</v>
      </c>
      <c r="C54" t="s">
        <v>549</v>
      </c>
    </row>
    <row r="55" spans="1:3" x14ac:dyDescent="0.3">
      <c r="A55" t="s">
        <v>545</v>
      </c>
      <c r="B55" t="str">
        <f>"SORTTYPE_"&amp;A55</f>
        <v>SORTTYPE_LEVEL</v>
      </c>
      <c r="C55" t="s">
        <v>550</v>
      </c>
    </row>
    <row r="56" spans="1:3" x14ac:dyDescent="0.3">
      <c r="A56" t="s">
        <v>546</v>
      </c>
      <c r="B56" t="str">
        <f>"SORTTYPE_"&amp;A56</f>
        <v>SORTTYPE_POWER</v>
      </c>
      <c r="C56" t="s">
        <v>551</v>
      </c>
    </row>
    <row r="57" spans="1:3" x14ac:dyDescent="0.3">
      <c r="A57" t="s">
        <v>542</v>
      </c>
      <c r="B57" t="str">
        <f>"SORTTYPE_"&amp;A57</f>
        <v>SORTTYPE_REGION</v>
      </c>
      <c r="C57" t="s">
        <v>547</v>
      </c>
    </row>
    <row r="58" spans="1:3" x14ac:dyDescent="0.3">
      <c r="B58" t="s">
        <v>552</v>
      </c>
      <c r="C58" t="s">
        <v>368</v>
      </c>
    </row>
    <row r="59" spans="1:3" x14ac:dyDescent="0.3">
      <c r="B59" t="s">
        <v>520</v>
      </c>
      <c r="C59" t="s">
        <v>529</v>
      </c>
    </row>
    <row r="60" spans="1:3" x14ac:dyDescent="0.3">
      <c r="B60" t="s">
        <v>516</v>
      </c>
      <c r="C60" t="s">
        <v>523</v>
      </c>
    </row>
    <row r="61" spans="1:3" x14ac:dyDescent="0.3">
      <c r="B61" t="s">
        <v>521</v>
      </c>
      <c r="C61" t="s">
        <v>528</v>
      </c>
    </row>
    <row r="62" spans="1:3" x14ac:dyDescent="0.3">
      <c r="B62" t="s">
        <v>517</v>
      </c>
      <c r="C62" t="s">
        <v>524</v>
      </c>
    </row>
    <row r="63" spans="1:3" x14ac:dyDescent="0.3">
      <c r="B63" t="s">
        <v>519</v>
      </c>
      <c r="C63" t="s">
        <v>526</v>
      </c>
    </row>
    <row r="64" spans="1:3" x14ac:dyDescent="0.3">
      <c r="B64" t="s">
        <v>515</v>
      </c>
      <c r="C64" t="s">
        <v>553</v>
      </c>
    </row>
    <row r="65" spans="2:4" x14ac:dyDescent="0.3">
      <c r="B65" t="s">
        <v>522</v>
      </c>
      <c r="C65" t="s">
        <v>527</v>
      </c>
    </row>
    <row r="66" spans="2:4" x14ac:dyDescent="0.3">
      <c r="B66" t="s">
        <v>518</v>
      </c>
      <c r="C66" t="s">
        <v>525</v>
      </c>
    </row>
    <row r="67" spans="2:4" x14ac:dyDescent="0.3">
      <c r="B67" t="s">
        <v>286</v>
      </c>
      <c r="C67" t="s">
        <v>292</v>
      </c>
      <c r="D67" t="s">
        <v>299</v>
      </c>
    </row>
    <row r="68" spans="2:4" x14ac:dyDescent="0.3">
      <c r="B68" t="s">
        <v>282</v>
      </c>
      <c r="C68" t="s">
        <v>281</v>
      </c>
      <c r="D68" t="s">
        <v>295</v>
      </c>
    </row>
    <row r="69" spans="2:4" x14ac:dyDescent="0.3">
      <c r="B69" t="s">
        <v>287</v>
      </c>
      <c r="C69" t="s">
        <v>293</v>
      </c>
      <c r="D69" t="s">
        <v>300</v>
      </c>
    </row>
    <row r="70" spans="2:4" x14ac:dyDescent="0.3">
      <c r="B70" t="s">
        <v>288</v>
      </c>
      <c r="C70" t="s">
        <v>294</v>
      </c>
      <c r="D70" t="s">
        <v>301</v>
      </c>
    </row>
    <row r="71" spans="2:4" x14ac:dyDescent="0.3">
      <c r="B71" t="s">
        <v>285</v>
      </c>
      <c r="C71" t="s">
        <v>291</v>
      </c>
      <c r="D71" t="s">
        <v>298</v>
      </c>
    </row>
    <row r="72" spans="2:4" x14ac:dyDescent="0.3">
      <c r="B72" t="s">
        <v>283</v>
      </c>
      <c r="C72" t="s">
        <v>289</v>
      </c>
      <c r="D72" t="s">
        <v>296</v>
      </c>
    </row>
    <row r="73" spans="2:4" x14ac:dyDescent="0.3">
      <c r="B73" t="s">
        <v>284</v>
      </c>
      <c r="C73" t="s">
        <v>290</v>
      </c>
      <c r="D73" t="s">
        <v>297</v>
      </c>
    </row>
  </sheetData>
  <sortState xmlns:xlrd2="http://schemas.microsoft.com/office/spreadsheetml/2017/richdata2" ref="A3:D73">
    <sortCondition ref="B3:B7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>
      <selection activeCell="B29" sqref="B29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125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 x14ac:dyDescent="0.3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 x14ac:dyDescent="0.3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 x14ac:dyDescent="0.3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 x14ac:dyDescent="0.3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 x14ac:dyDescent="0.3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 x14ac:dyDescent="0.3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 x14ac:dyDescent="0.3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 x14ac:dyDescent="0.3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 x14ac:dyDescent="0.3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2"/>
  <sheetViews>
    <sheetView topLeftCell="A82" workbookViewId="0">
      <selection activeCell="C94" sqref="C94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450</v>
      </c>
      <c r="B1" s="1" t="s">
        <v>55</v>
      </c>
      <c r="C1" s="1" t="s">
        <v>445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 x14ac:dyDescent="0.3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 x14ac:dyDescent="0.3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 x14ac:dyDescent="0.3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 x14ac:dyDescent="0.3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 x14ac:dyDescent="0.3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 x14ac:dyDescent="0.3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 x14ac:dyDescent="0.3">
      <c r="A9" s="27" t="s">
        <v>479</v>
      </c>
      <c r="B9" s="38" t="s">
        <v>258</v>
      </c>
      <c r="C9" s="38" t="s">
        <v>449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507</v>
      </c>
    </row>
    <row r="10" spans="1:7" x14ac:dyDescent="0.3">
      <c r="A10" s="27" t="s">
        <v>479</v>
      </c>
      <c r="B10" s="38" t="s">
        <v>8</v>
      </c>
      <c r="C10" s="38" t="s">
        <v>446</v>
      </c>
      <c r="D10" s="27" t="str">
        <f t="shared" si="0"/>
        <v>COURTESY_SHU_GUANYU</v>
      </c>
      <c r="E10" s="38" t="s">
        <v>32</v>
      </c>
      <c r="F10" s="38" t="s">
        <v>508</v>
      </c>
    </row>
    <row r="11" spans="1:7" x14ac:dyDescent="0.3">
      <c r="A11" s="27" t="s">
        <v>479</v>
      </c>
      <c r="B11" s="27" t="s">
        <v>430</v>
      </c>
      <c r="C11" s="38" t="s">
        <v>446</v>
      </c>
      <c r="D11" s="27" t="str">
        <f t="shared" si="0"/>
        <v>COURTESY_SHU_HUANGZHONG</v>
      </c>
      <c r="E11" s="38" t="s">
        <v>480</v>
      </c>
      <c r="F11" s="38" t="s">
        <v>509</v>
      </c>
    </row>
    <row r="12" spans="1:7" x14ac:dyDescent="0.3">
      <c r="A12" s="27" t="s">
        <v>479</v>
      </c>
      <c r="B12" s="38" t="s">
        <v>6</v>
      </c>
      <c r="C12" s="38" t="s">
        <v>446</v>
      </c>
      <c r="D12" s="27" t="str">
        <f t="shared" si="0"/>
        <v>COURTESY_SHU_LIUBEI</v>
      </c>
      <c r="E12" s="38" t="s">
        <v>31</v>
      </c>
      <c r="F12" s="38" t="s">
        <v>510</v>
      </c>
    </row>
    <row r="13" spans="1:7" x14ac:dyDescent="0.3">
      <c r="A13" s="27" t="s">
        <v>479</v>
      </c>
      <c r="B13" s="38" t="s">
        <v>10</v>
      </c>
      <c r="C13" s="38" t="s">
        <v>446</v>
      </c>
      <c r="D13" s="27" t="str">
        <f t="shared" si="0"/>
        <v>COURTESY_SHU_ZHANGFEI</v>
      </c>
      <c r="E13" s="38" t="s">
        <v>33</v>
      </c>
      <c r="F13" s="38" t="s">
        <v>511</v>
      </c>
    </row>
    <row r="14" spans="1:7" x14ac:dyDescent="0.3">
      <c r="A14" s="27" t="s">
        <v>479</v>
      </c>
      <c r="B14" s="38" t="s">
        <v>514</v>
      </c>
      <c r="C14" s="38" t="s">
        <v>446</v>
      </c>
      <c r="D14" s="27" t="str">
        <f t="shared" si="0"/>
        <v>COURTESY_SHU_ZHAOYUN</v>
      </c>
      <c r="E14" s="38" t="s">
        <v>34</v>
      </c>
      <c r="F14" s="38" t="s">
        <v>512</v>
      </c>
    </row>
    <row r="15" spans="1:7" x14ac:dyDescent="0.3">
      <c r="A15" s="27" t="s">
        <v>479</v>
      </c>
      <c r="B15" s="38" t="s">
        <v>14</v>
      </c>
      <c r="C15" s="38" t="s">
        <v>446</v>
      </c>
      <c r="D15" s="27" t="str">
        <f t="shared" si="0"/>
        <v>COURTESY_SHU_ZHUGELIANG</v>
      </c>
      <c r="E15" s="38" t="s">
        <v>35</v>
      </c>
      <c r="F15" s="38" t="s">
        <v>513</v>
      </c>
    </row>
    <row r="16" spans="1:7" x14ac:dyDescent="0.3">
      <c r="A16" s="27" t="s">
        <v>479</v>
      </c>
      <c r="B16" s="27" t="s">
        <v>52</v>
      </c>
      <c r="C16" s="38" t="s">
        <v>447</v>
      </c>
      <c r="D16" s="27" t="str">
        <f t="shared" si="0"/>
        <v>COURTESY_WEI_CAOCAO</v>
      </c>
      <c r="E16" s="38" t="s">
        <v>481</v>
      </c>
      <c r="F16" s="27" t="s">
        <v>494</v>
      </c>
    </row>
    <row r="17" spans="1:6" x14ac:dyDescent="0.3">
      <c r="A17" s="27" t="s">
        <v>479</v>
      </c>
      <c r="B17" s="27" t="s">
        <v>418</v>
      </c>
      <c r="C17" s="38" t="s">
        <v>447</v>
      </c>
      <c r="D17" s="27" t="str">
        <f t="shared" si="0"/>
        <v>COURTESY_WEI_CAOREN</v>
      </c>
      <c r="E17" s="38" t="s">
        <v>482</v>
      </c>
      <c r="F17" s="27" t="s">
        <v>495</v>
      </c>
    </row>
    <row r="18" spans="1:6" x14ac:dyDescent="0.3">
      <c r="A18" s="27" t="s">
        <v>479</v>
      </c>
      <c r="B18" s="27" t="s">
        <v>419</v>
      </c>
      <c r="C18" s="38" t="s">
        <v>447</v>
      </c>
      <c r="D18" s="27" t="str">
        <f t="shared" si="0"/>
        <v>COURTESY_WEI_XIAHOUDUN</v>
      </c>
      <c r="E18" s="38" t="s">
        <v>483</v>
      </c>
      <c r="F18" s="38" t="s">
        <v>496</v>
      </c>
    </row>
    <row r="19" spans="1:6" x14ac:dyDescent="0.3">
      <c r="A19" s="27" t="s">
        <v>479</v>
      </c>
      <c r="B19" s="27" t="s">
        <v>421</v>
      </c>
      <c r="C19" s="38" t="s">
        <v>447</v>
      </c>
      <c r="D19" s="27" t="str">
        <f t="shared" si="0"/>
        <v>COURTESY_WEI_XIAHOUYUAN</v>
      </c>
      <c r="E19" s="38" t="s">
        <v>484</v>
      </c>
      <c r="F19" s="38" t="s">
        <v>497</v>
      </c>
    </row>
    <row r="20" spans="1:6" x14ac:dyDescent="0.3">
      <c r="A20" s="27" t="s">
        <v>479</v>
      </c>
      <c r="B20" s="27" t="s">
        <v>422</v>
      </c>
      <c r="C20" s="38" t="s">
        <v>447</v>
      </c>
      <c r="D20" s="27" t="str">
        <f t="shared" si="0"/>
        <v>COURTESY_WEI_XUNYU</v>
      </c>
      <c r="E20" s="38" t="s">
        <v>485</v>
      </c>
      <c r="F20" s="38" t="s">
        <v>498</v>
      </c>
    </row>
    <row r="21" spans="1:6" x14ac:dyDescent="0.3">
      <c r="A21" s="27" t="s">
        <v>479</v>
      </c>
      <c r="B21" s="27" t="s">
        <v>420</v>
      </c>
      <c r="C21" s="38" t="s">
        <v>447</v>
      </c>
      <c r="D21" s="27" t="str">
        <f t="shared" si="0"/>
        <v>COURTESY_WEI_ZHANGLIAO</v>
      </c>
      <c r="E21" s="38" t="s">
        <v>486</v>
      </c>
      <c r="F21" s="38" t="s">
        <v>500</v>
      </c>
    </row>
    <row r="22" spans="1:6" x14ac:dyDescent="0.3">
      <c r="A22" s="27" t="s">
        <v>479</v>
      </c>
      <c r="B22" s="27" t="s">
        <v>428</v>
      </c>
      <c r="C22" s="38" t="s">
        <v>448</v>
      </c>
      <c r="D22" s="27" t="str">
        <f t="shared" si="0"/>
        <v>COURTESY_WU_HANDANG</v>
      </c>
      <c r="E22" s="38" t="s">
        <v>487</v>
      </c>
      <c r="F22" s="27" t="s">
        <v>499</v>
      </c>
    </row>
    <row r="23" spans="1:6" x14ac:dyDescent="0.3">
      <c r="A23" s="27" t="s">
        <v>479</v>
      </c>
      <c r="B23" s="27" t="s">
        <v>425</v>
      </c>
      <c r="C23" s="38" t="s">
        <v>448</v>
      </c>
      <c r="D23" s="27" t="str">
        <f t="shared" si="0"/>
        <v>COURTESY_WU_HUANGGAI</v>
      </c>
      <c r="E23" s="38" t="s">
        <v>488</v>
      </c>
      <c r="F23" s="27" t="s">
        <v>501</v>
      </c>
    </row>
    <row r="24" spans="1:6" x14ac:dyDescent="0.3">
      <c r="A24" s="27" t="s">
        <v>479</v>
      </c>
      <c r="B24" s="27" t="s">
        <v>426</v>
      </c>
      <c r="C24" s="38" t="s">
        <v>448</v>
      </c>
      <c r="D24" s="27" t="str">
        <f t="shared" si="0"/>
        <v>COURTESY_WU_SUNCE</v>
      </c>
      <c r="E24" s="38" t="s">
        <v>489</v>
      </c>
      <c r="F24" s="27" t="s">
        <v>502</v>
      </c>
    </row>
    <row r="25" spans="1:6" x14ac:dyDescent="0.3">
      <c r="A25" s="27" t="s">
        <v>479</v>
      </c>
      <c r="B25" s="27" t="s">
        <v>423</v>
      </c>
      <c r="C25" s="38" t="s">
        <v>448</v>
      </c>
      <c r="D25" s="27" t="str">
        <f t="shared" si="0"/>
        <v>COURTESY_WU_SUNJIAN</v>
      </c>
      <c r="E25" s="38" t="s">
        <v>490</v>
      </c>
      <c r="F25" s="27" t="s">
        <v>503</v>
      </c>
    </row>
    <row r="26" spans="1:6" x14ac:dyDescent="0.3">
      <c r="A26" s="27" t="s">
        <v>479</v>
      </c>
      <c r="B26" s="27" t="s">
        <v>424</v>
      </c>
      <c r="C26" s="38" t="s">
        <v>448</v>
      </c>
      <c r="D26" s="27" t="str">
        <f t="shared" si="0"/>
        <v>COURTESY_WU_SUNQUAN</v>
      </c>
      <c r="E26" s="38" t="s">
        <v>491</v>
      </c>
      <c r="F26" s="27" t="s">
        <v>504</v>
      </c>
    </row>
    <row r="27" spans="1:6" x14ac:dyDescent="0.3">
      <c r="A27" s="27" t="s">
        <v>479</v>
      </c>
      <c r="B27" s="27" t="s">
        <v>427</v>
      </c>
      <c r="C27" s="38" t="s">
        <v>448</v>
      </c>
      <c r="D27" s="27" t="str">
        <f t="shared" si="0"/>
        <v>COURTESY_WU_TAISHICI</v>
      </c>
      <c r="E27" s="38" t="s">
        <v>492</v>
      </c>
      <c r="F27" s="27" t="s">
        <v>505</v>
      </c>
    </row>
    <row r="28" spans="1:6" x14ac:dyDescent="0.3">
      <c r="A28" s="27" t="s">
        <v>479</v>
      </c>
      <c r="B28" s="27" t="s">
        <v>429</v>
      </c>
      <c r="C28" s="38" t="s">
        <v>448</v>
      </c>
      <c r="D28" s="27" t="str">
        <f t="shared" si="0"/>
        <v>COURTESY_WU_ZHOUYU</v>
      </c>
      <c r="E28" s="38" t="s">
        <v>493</v>
      </c>
      <c r="F28" s="27" t="s">
        <v>506</v>
      </c>
    </row>
    <row r="29" spans="1:6" ht="33" x14ac:dyDescent="0.3">
      <c r="A29" s="27" t="s">
        <v>464</v>
      </c>
      <c r="B29" s="38" t="s">
        <v>258</v>
      </c>
      <c r="C29" s="38" t="s">
        <v>449</v>
      </c>
      <c r="D29" s="27" t="str">
        <f t="shared" si="0"/>
        <v>DESC_TALK_ETC_LUBU</v>
      </c>
      <c r="E29" s="38" t="s">
        <v>268</v>
      </c>
      <c r="F29" s="38"/>
    </row>
    <row r="30" spans="1:6" ht="33" x14ac:dyDescent="0.3">
      <c r="A30" s="27" t="s">
        <v>464</v>
      </c>
      <c r="B30" s="38" t="s">
        <v>8</v>
      </c>
      <c r="C30" s="38" t="s">
        <v>446</v>
      </c>
      <c r="D30" s="27" t="str">
        <f t="shared" si="0"/>
        <v>DESC_TALK_SHU_GUANYU</v>
      </c>
      <c r="E30" s="38" t="s">
        <v>38</v>
      </c>
      <c r="F30" s="38"/>
    </row>
    <row r="31" spans="1:6" ht="33" x14ac:dyDescent="0.3">
      <c r="A31" s="27" t="s">
        <v>464</v>
      </c>
      <c r="B31" s="38" t="s">
        <v>6</v>
      </c>
      <c r="C31" s="38" t="s">
        <v>446</v>
      </c>
      <c r="D31" s="27" t="str">
        <f t="shared" si="0"/>
        <v>DESC_TALK_SHU_LIUBEI</v>
      </c>
      <c r="E31" s="38" t="s">
        <v>36</v>
      </c>
      <c r="F31" s="38"/>
    </row>
    <row r="32" spans="1:6" ht="33" x14ac:dyDescent="0.3">
      <c r="A32" s="27" t="s">
        <v>464</v>
      </c>
      <c r="B32" s="38" t="s">
        <v>10</v>
      </c>
      <c r="C32" s="38" t="s">
        <v>446</v>
      </c>
      <c r="D32" s="27" t="str">
        <f t="shared" si="0"/>
        <v>DESC_TALK_SHU_ZHANGFEI</v>
      </c>
      <c r="E32" s="38" t="s">
        <v>37</v>
      </c>
      <c r="F32" s="38"/>
    </row>
    <row r="33" spans="1:6" ht="33" x14ac:dyDescent="0.3">
      <c r="A33" s="27" t="s">
        <v>464</v>
      </c>
      <c r="B33" s="38" t="s">
        <v>514</v>
      </c>
      <c r="C33" s="38" t="s">
        <v>446</v>
      </c>
      <c r="D33" s="27" t="str">
        <f t="shared" si="0"/>
        <v>DESC_TALK_SHU_ZHAOYUN</v>
      </c>
      <c r="E33" s="38" t="s">
        <v>72</v>
      </c>
      <c r="F33" s="38"/>
    </row>
    <row r="34" spans="1:6" ht="33" x14ac:dyDescent="0.3">
      <c r="A34" s="27" t="s">
        <v>464</v>
      </c>
      <c r="B34" s="38" t="s">
        <v>14</v>
      </c>
      <c r="C34" s="38" t="s">
        <v>446</v>
      </c>
      <c r="D34" s="27" t="str">
        <f t="shared" si="0"/>
        <v>DESC_TALK_SHU_ZHUGELIANG</v>
      </c>
      <c r="E34" s="38" t="s">
        <v>71</v>
      </c>
      <c r="F34" s="38"/>
    </row>
    <row r="35" spans="1:6" ht="33" x14ac:dyDescent="0.3">
      <c r="A35" s="27" t="s">
        <v>464</v>
      </c>
      <c r="B35" s="27" t="s">
        <v>430</v>
      </c>
      <c r="C35" s="38" t="s">
        <v>446</v>
      </c>
      <c r="D35" s="27" t="str">
        <f t="shared" si="0"/>
        <v>DESC_TALK_SHU_HUANGZHONG</v>
      </c>
      <c r="E35" s="38" t="s">
        <v>470</v>
      </c>
      <c r="F35" s="38"/>
    </row>
    <row r="36" spans="1:6" ht="33" x14ac:dyDescent="0.3">
      <c r="A36" s="27" t="s">
        <v>464</v>
      </c>
      <c r="B36" s="27" t="s">
        <v>417</v>
      </c>
      <c r="C36" s="38" t="s">
        <v>447</v>
      </c>
      <c r="D36" s="27" t="str">
        <f t="shared" si="0"/>
        <v>DESC_TALK_WEI_CAOCAO</v>
      </c>
      <c r="E36" s="38" t="s">
        <v>476</v>
      </c>
      <c r="F36" s="38"/>
    </row>
    <row r="37" spans="1:6" ht="33" x14ac:dyDescent="0.3">
      <c r="A37" s="27" t="s">
        <v>464</v>
      </c>
      <c r="B37" s="27" t="s">
        <v>418</v>
      </c>
      <c r="C37" s="38" t="s">
        <v>447</v>
      </c>
      <c r="D37" s="27" t="str">
        <f t="shared" si="0"/>
        <v>DESC_TALK_WEI_CAOREN</v>
      </c>
      <c r="E37" s="38" t="s">
        <v>465</v>
      </c>
      <c r="F37" s="38"/>
    </row>
    <row r="38" spans="1:6" ht="33" x14ac:dyDescent="0.3">
      <c r="A38" s="27" t="s">
        <v>464</v>
      </c>
      <c r="B38" s="27" t="s">
        <v>419</v>
      </c>
      <c r="C38" s="38" t="s">
        <v>447</v>
      </c>
      <c r="D38" s="27" t="str">
        <f t="shared" si="0"/>
        <v>DESC_TALK_WEI_XIAHOUDUN</v>
      </c>
      <c r="E38" s="38" t="s">
        <v>466</v>
      </c>
      <c r="F38" s="38"/>
    </row>
    <row r="39" spans="1:6" ht="33" x14ac:dyDescent="0.3">
      <c r="A39" s="27" t="s">
        <v>464</v>
      </c>
      <c r="B39" s="27" t="s">
        <v>421</v>
      </c>
      <c r="C39" s="38" t="s">
        <v>447</v>
      </c>
      <c r="D39" s="27" t="str">
        <f t="shared" si="0"/>
        <v>DESC_TALK_WEI_XIAHOUYUAN</v>
      </c>
      <c r="E39" s="38" t="s">
        <v>469</v>
      </c>
      <c r="F39" s="38"/>
    </row>
    <row r="40" spans="1:6" ht="33" x14ac:dyDescent="0.3">
      <c r="A40" s="27" t="s">
        <v>464</v>
      </c>
      <c r="B40" s="27" t="s">
        <v>422</v>
      </c>
      <c r="C40" s="38" t="s">
        <v>447</v>
      </c>
      <c r="D40" s="27" t="str">
        <f t="shared" si="0"/>
        <v>DESC_TALK_WEI_XUNYU</v>
      </c>
      <c r="E40" s="38" t="s">
        <v>467</v>
      </c>
      <c r="F40" s="38"/>
    </row>
    <row r="41" spans="1:6" x14ac:dyDescent="0.3">
      <c r="A41" s="27" t="s">
        <v>464</v>
      </c>
      <c r="B41" s="27" t="s">
        <v>420</v>
      </c>
      <c r="C41" s="38" t="s">
        <v>447</v>
      </c>
      <c r="D41" s="27" t="str">
        <f t="shared" si="0"/>
        <v>DESC_TALK_WEI_ZHANGLIAO</v>
      </c>
      <c r="E41" s="38" t="s">
        <v>478</v>
      </c>
      <c r="F41" s="38" t="s">
        <v>258</v>
      </c>
    </row>
    <row r="42" spans="1:6" ht="33" x14ac:dyDescent="0.3">
      <c r="A42" s="27" t="s">
        <v>464</v>
      </c>
      <c r="B42" s="27" t="s">
        <v>428</v>
      </c>
      <c r="C42" s="38" t="s">
        <v>448</v>
      </c>
      <c r="D42" s="27" t="str">
        <f t="shared" si="0"/>
        <v>DESC_TALK_WU_HANDANG</v>
      </c>
      <c r="E42" s="38" t="s">
        <v>468</v>
      </c>
      <c r="F42" s="38" t="s">
        <v>8</v>
      </c>
    </row>
    <row r="43" spans="1:6" ht="33" x14ac:dyDescent="0.3">
      <c r="A43" s="27" t="s">
        <v>464</v>
      </c>
      <c r="B43" s="27" t="s">
        <v>425</v>
      </c>
      <c r="C43" s="38" t="s">
        <v>448</v>
      </c>
      <c r="D43" s="27" t="str">
        <f t="shared" si="0"/>
        <v>DESC_TALK_WU_HUANGGAI</v>
      </c>
      <c r="E43" s="38" t="s">
        <v>475</v>
      </c>
      <c r="F43" s="27" t="s">
        <v>430</v>
      </c>
    </row>
    <row r="44" spans="1:6" ht="33" x14ac:dyDescent="0.3">
      <c r="A44" s="27" t="s">
        <v>464</v>
      </c>
      <c r="B44" s="27" t="s">
        <v>426</v>
      </c>
      <c r="C44" s="38" t="s">
        <v>448</v>
      </c>
      <c r="D44" s="27" t="str">
        <f t="shared" si="0"/>
        <v>DESC_TALK_WU_SUNCE</v>
      </c>
      <c r="E44" s="38" t="s">
        <v>471</v>
      </c>
      <c r="F44" s="38" t="s">
        <v>6</v>
      </c>
    </row>
    <row r="45" spans="1:6" x14ac:dyDescent="0.3">
      <c r="A45" s="27" t="s">
        <v>464</v>
      </c>
      <c r="B45" s="27" t="s">
        <v>423</v>
      </c>
      <c r="C45" s="38" t="s">
        <v>448</v>
      </c>
      <c r="D45" s="27" t="str">
        <f t="shared" si="0"/>
        <v>DESC_TALK_WU_SUNJIAN</v>
      </c>
      <c r="E45" s="38" t="s">
        <v>473</v>
      </c>
      <c r="F45" s="38" t="s">
        <v>10</v>
      </c>
    </row>
    <row r="46" spans="1:6" ht="33" x14ac:dyDescent="0.3">
      <c r="A46" s="27" t="s">
        <v>464</v>
      </c>
      <c r="B46" s="27" t="s">
        <v>424</v>
      </c>
      <c r="C46" s="38" t="s">
        <v>448</v>
      </c>
      <c r="D46" s="27" t="str">
        <f t="shared" si="0"/>
        <v>DESC_TALK_WU_SUNQUAN</v>
      </c>
      <c r="E46" s="38" t="s">
        <v>472</v>
      </c>
      <c r="F46" s="38" t="s">
        <v>13</v>
      </c>
    </row>
    <row r="47" spans="1:6" ht="33" x14ac:dyDescent="0.3">
      <c r="A47" s="27" t="s">
        <v>464</v>
      </c>
      <c r="B47" s="27" t="s">
        <v>427</v>
      </c>
      <c r="C47" s="38" t="s">
        <v>448</v>
      </c>
      <c r="D47" s="27" t="str">
        <f t="shared" si="0"/>
        <v>DESC_TALK_WU_TAISHICI</v>
      </c>
      <c r="E47" s="38" t="s">
        <v>474</v>
      </c>
      <c r="F47" s="38" t="s">
        <v>14</v>
      </c>
    </row>
    <row r="48" spans="1:6" ht="33" x14ac:dyDescent="0.3">
      <c r="A48" s="27" t="s">
        <v>464</v>
      </c>
      <c r="B48" s="27" t="s">
        <v>429</v>
      </c>
      <c r="C48" s="38" t="s">
        <v>448</v>
      </c>
      <c r="D48" s="27" t="str">
        <f t="shared" si="0"/>
        <v>DESC_TALK_WU_ZHOUYU</v>
      </c>
      <c r="E48" s="38" t="s">
        <v>477</v>
      </c>
      <c r="F48" s="27" t="s">
        <v>417</v>
      </c>
    </row>
    <row r="49" spans="1:6" x14ac:dyDescent="0.3">
      <c r="A49" s="27"/>
      <c r="B49" s="27"/>
      <c r="C49" s="27"/>
      <c r="D49" s="27" t="s">
        <v>463</v>
      </c>
      <c r="E49" s="38" t="s">
        <v>270</v>
      </c>
      <c r="F49" s="27" t="s">
        <v>418</v>
      </c>
    </row>
    <row r="50" spans="1:6" x14ac:dyDescent="0.3">
      <c r="A50" s="27"/>
      <c r="B50" s="27"/>
      <c r="C50" s="27"/>
      <c r="D50" s="27" t="s">
        <v>452</v>
      </c>
      <c r="E50" s="38" t="s">
        <v>276</v>
      </c>
      <c r="F50" s="27" t="s">
        <v>419</v>
      </c>
    </row>
    <row r="51" spans="1:6" x14ac:dyDescent="0.3">
      <c r="A51" s="27"/>
      <c r="B51" s="27"/>
      <c r="C51" s="27"/>
      <c r="D51" s="27" t="s">
        <v>453</v>
      </c>
      <c r="E51" s="38" t="s">
        <v>273</v>
      </c>
      <c r="F51" s="27" t="s">
        <v>421</v>
      </c>
    </row>
    <row r="52" spans="1:6" x14ac:dyDescent="0.3">
      <c r="A52" s="27"/>
      <c r="B52" s="27"/>
      <c r="C52" s="27"/>
      <c r="D52" s="27" t="s">
        <v>454</v>
      </c>
      <c r="E52" s="38" t="s">
        <v>280</v>
      </c>
      <c r="F52" s="27" t="s">
        <v>422</v>
      </c>
    </row>
    <row r="53" spans="1:6" x14ac:dyDescent="0.3">
      <c r="A53" s="27"/>
      <c r="B53" s="27"/>
      <c r="C53" s="27"/>
      <c r="D53" s="27" t="s">
        <v>455</v>
      </c>
      <c r="E53" s="38" t="s">
        <v>269</v>
      </c>
      <c r="F53" s="27" t="s">
        <v>420</v>
      </c>
    </row>
    <row r="54" spans="1:6" x14ac:dyDescent="0.3">
      <c r="A54" s="27"/>
      <c r="B54" s="27"/>
      <c r="C54" s="27"/>
      <c r="D54" s="27" t="s">
        <v>456</v>
      </c>
      <c r="E54" s="38" t="s">
        <v>275</v>
      </c>
      <c r="F54" s="27" t="s">
        <v>428</v>
      </c>
    </row>
    <row r="55" spans="1:6" x14ac:dyDescent="0.3">
      <c r="A55" s="27"/>
      <c r="B55" s="27"/>
      <c r="C55" s="27"/>
      <c r="D55" s="27" t="s">
        <v>457</v>
      </c>
      <c r="E55" s="38" t="s">
        <v>274</v>
      </c>
      <c r="F55" s="27" t="s">
        <v>425</v>
      </c>
    </row>
    <row r="56" spans="1:6" x14ac:dyDescent="0.3">
      <c r="A56" s="27"/>
      <c r="B56" s="27"/>
      <c r="C56" s="27"/>
      <c r="D56" s="27" t="s">
        <v>458</v>
      </c>
      <c r="E56" s="38" t="s">
        <v>279</v>
      </c>
      <c r="F56" s="27" t="s">
        <v>426</v>
      </c>
    </row>
    <row r="57" spans="1:6" x14ac:dyDescent="0.3">
      <c r="A57" s="27"/>
      <c r="B57" s="27"/>
      <c r="C57" s="27"/>
      <c r="D57" s="27" t="s">
        <v>459</v>
      </c>
      <c r="E57" s="38" t="s">
        <v>271</v>
      </c>
      <c r="F57" s="27" t="s">
        <v>423</v>
      </c>
    </row>
    <row r="58" spans="1:6" x14ac:dyDescent="0.3">
      <c r="A58" s="27"/>
      <c r="B58" s="27"/>
      <c r="C58" s="27"/>
      <c r="D58" s="27" t="s">
        <v>460</v>
      </c>
      <c r="E58" s="38" t="s">
        <v>277</v>
      </c>
      <c r="F58" s="27" t="s">
        <v>424</v>
      </c>
    </row>
    <row r="59" spans="1:6" x14ac:dyDescent="0.3">
      <c r="A59" s="27"/>
      <c r="B59" s="27"/>
      <c r="C59" s="27"/>
      <c r="D59" s="27" t="s">
        <v>461</v>
      </c>
      <c r="E59" s="38" t="s">
        <v>272</v>
      </c>
      <c r="F59" s="27" t="s">
        <v>427</v>
      </c>
    </row>
    <row r="60" spans="1:6" x14ac:dyDescent="0.3">
      <c r="A60" s="27"/>
      <c r="B60" s="27"/>
      <c r="C60" s="27"/>
      <c r="D60" s="27" t="s">
        <v>462</v>
      </c>
      <c r="E60" s="38" t="s">
        <v>278</v>
      </c>
      <c r="F60" s="27" t="s">
        <v>429</v>
      </c>
    </row>
    <row r="61" spans="1:6" x14ac:dyDescent="0.3">
      <c r="A61" s="27" t="s">
        <v>451</v>
      </c>
      <c r="B61" s="38" t="s">
        <v>258</v>
      </c>
      <c r="C61" s="38" t="s">
        <v>449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 x14ac:dyDescent="0.3">
      <c r="A62" s="27" t="s">
        <v>451</v>
      </c>
      <c r="B62" s="38" t="s">
        <v>8</v>
      </c>
      <c r="C62" s="38" t="s">
        <v>446</v>
      </c>
      <c r="D62" s="27" t="str">
        <f t="shared" si="1"/>
        <v>NAME_SHU_GUANYU</v>
      </c>
      <c r="E62" s="38" t="s">
        <v>7</v>
      </c>
      <c r="F62" s="38"/>
    </row>
    <row r="63" spans="1:6" x14ac:dyDescent="0.3">
      <c r="A63" s="27" t="s">
        <v>451</v>
      </c>
      <c r="B63" s="27" t="s">
        <v>430</v>
      </c>
      <c r="C63" s="38" t="s">
        <v>446</v>
      </c>
      <c r="D63" s="27" t="str">
        <f t="shared" si="1"/>
        <v>NAME_SHU_HUANGZHONG</v>
      </c>
      <c r="E63" s="38" t="s">
        <v>431</v>
      </c>
      <c r="F63" s="38"/>
    </row>
    <row r="64" spans="1:6" x14ac:dyDescent="0.3">
      <c r="A64" s="27" t="s">
        <v>451</v>
      </c>
      <c r="B64" s="38" t="s">
        <v>6</v>
      </c>
      <c r="C64" s="38" t="s">
        <v>446</v>
      </c>
      <c r="D64" s="27" t="str">
        <f t="shared" si="1"/>
        <v>NAME_SHU_LIUBEI</v>
      </c>
      <c r="E64" s="38" t="s">
        <v>5</v>
      </c>
      <c r="F64" s="38"/>
    </row>
    <row r="65" spans="1:6" x14ac:dyDescent="0.3">
      <c r="A65" s="27" t="s">
        <v>451</v>
      </c>
      <c r="B65" s="38" t="s">
        <v>10</v>
      </c>
      <c r="C65" s="38" t="s">
        <v>446</v>
      </c>
      <c r="D65" s="27" t="str">
        <f t="shared" si="1"/>
        <v>NAME_SHU_ZHANGFEI</v>
      </c>
      <c r="E65" s="38" t="s">
        <v>9</v>
      </c>
      <c r="F65" s="38"/>
    </row>
    <row r="66" spans="1:6" x14ac:dyDescent="0.3">
      <c r="A66" s="27" t="s">
        <v>451</v>
      </c>
      <c r="B66" s="38" t="s">
        <v>514</v>
      </c>
      <c r="C66" s="38" t="s">
        <v>446</v>
      </c>
      <c r="D66" s="27" t="str">
        <f t="shared" si="1"/>
        <v>NAME_SHU_ZHAOYUN</v>
      </c>
      <c r="E66" s="38" t="s">
        <v>11</v>
      </c>
      <c r="F66" s="38"/>
    </row>
    <row r="67" spans="1:6" x14ac:dyDescent="0.3">
      <c r="A67" s="27" t="s">
        <v>451</v>
      </c>
      <c r="B67" s="38" t="s">
        <v>14</v>
      </c>
      <c r="C67" s="38" t="s">
        <v>446</v>
      </c>
      <c r="D67" s="27" t="str">
        <f t="shared" si="1"/>
        <v>NAME_SHU_ZHUGELIANG</v>
      </c>
      <c r="E67" s="38" t="s">
        <v>12</v>
      </c>
      <c r="F67" s="38"/>
    </row>
    <row r="68" spans="1:6" x14ac:dyDescent="0.3">
      <c r="A68" s="27" t="s">
        <v>451</v>
      </c>
      <c r="B68" s="27" t="s">
        <v>417</v>
      </c>
      <c r="C68" s="38" t="s">
        <v>447</v>
      </c>
      <c r="D68" s="27" t="str">
        <f t="shared" si="1"/>
        <v>NAME_WEI_CAOCAO</v>
      </c>
      <c r="E68" s="38" t="s">
        <v>432</v>
      </c>
      <c r="F68" s="38"/>
    </row>
    <row r="69" spans="1:6" x14ac:dyDescent="0.3">
      <c r="A69" s="27" t="s">
        <v>451</v>
      </c>
      <c r="B69" s="27" t="s">
        <v>418</v>
      </c>
      <c r="C69" s="38" t="s">
        <v>447</v>
      </c>
      <c r="D69" s="27" t="str">
        <f t="shared" si="1"/>
        <v>NAME_WEI_CAOREN</v>
      </c>
      <c r="E69" s="38" t="s">
        <v>433</v>
      </c>
      <c r="F69" s="38"/>
    </row>
    <row r="70" spans="1:6" x14ac:dyDescent="0.3">
      <c r="A70" s="27" t="s">
        <v>451</v>
      </c>
      <c r="B70" s="27" t="s">
        <v>419</v>
      </c>
      <c r="C70" s="38" t="s">
        <v>447</v>
      </c>
      <c r="D70" s="27" t="str">
        <f t="shared" si="1"/>
        <v>NAME_WEI_XIAHOUDUN</v>
      </c>
      <c r="E70" s="38" t="s">
        <v>434</v>
      </c>
      <c r="F70" s="38"/>
    </row>
    <row r="71" spans="1:6" x14ac:dyDescent="0.3">
      <c r="A71" s="27" t="s">
        <v>451</v>
      </c>
      <c r="B71" s="27" t="s">
        <v>421</v>
      </c>
      <c r="C71" s="38" t="s">
        <v>447</v>
      </c>
      <c r="D71" s="27" t="str">
        <f t="shared" si="1"/>
        <v>NAME_WEI_XIAHOUYUAN</v>
      </c>
      <c r="E71" s="38" t="s">
        <v>436</v>
      </c>
      <c r="F71" s="38"/>
    </row>
    <row r="72" spans="1:6" x14ac:dyDescent="0.3">
      <c r="A72" s="27" t="s">
        <v>451</v>
      </c>
      <c r="B72" s="27" t="s">
        <v>422</v>
      </c>
      <c r="C72" s="38" t="s">
        <v>447</v>
      </c>
      <c r="D72" s="27" t="str">
        <f t="shared" si="1"/>
        <v>NAME_WEI_XUNYU</v>
      </c>
      <c r="E72" s="38" t="s">
        <v>437</v>
      </c>
      <c r="F72" s="38"/>
    </row>
    <row r="73" spans="1:6" x14ac:dyDescent="0.3">
      <c r="A73" s="27" t="s">
        <v>451</v>
      </c>
      <c r="B73" s="27" t="s">
        <v>420</v>
      </c>
      <c r="C73" s="38" t="s">
        <v>447</v>
      </c>
      <c r="D73" s="27" t="str">
        <f t="shared" si="1"/>
        <v>NAME_WEI_ZHANGLIAO</v>
      </c>
      <c r="E73" s="38" t="s">
        <v>435</v>
      </c>
      <c r="F73" s="38"/>
    </row>
    <row r="74" spans="1:6" x14ac:dyDescent="0.3">
      <c r="A74" s="27" t="s">
        <v>451</v>
      </c>
      <c r="B74" s="27" t="s">
        <v>428</v>
      </c>
      <c r="C74" s="38" t="s">
        <v>448</v>
      </c>
      <c r="D74" s="27" t="str">
        <f t="shared" si="1"/>
        <v>NAME_WU_HANDANG</v>
      </c>
      <c r="E74" s="27" t="s">
        <v>443</v>
      </c>
      <c r="F74" s="38"/>
    </row>
    <row r="75" spans="1:6" x14ac:dyDescent="0.3">
      <c r="A75" s="27" t="s">
        <v>451</v>
      </c>
      <c r="B75" s="27" t="s">
        <v>425</v>
      </c>
      <c r="C75" s="38" t="s">
        <v>448</v>
      </c>
      <c r="D75" s="27" t="str">
        <f t="shared" si="1"/>
        <v>NAME_WU_HUANGGAI</v>
      </c>
      <c r="E75" s="27" t="s">
        <v>440</v>
      </c>
      <c r="F75" s="38"/>
    </row>
    <row r="76" spans="1:6" x14ac:dyDescent="0.3">
      <c r="A76" s="27" t="s">
        <v>451</v>
      </c>
      <c r="B76" s="27" t="s">
        <v>426</v>
      </c>
      <c r="C76" s="38" t="s">
        <v>448</v>
      </c>
      <c r="D76" s="27" t="str">
        <f t="shared" si="1"/>
        <v>NAME_WU_SUNCE</v>
      </c>
      <c r="E76" s="27" t="s">
        <v>441</v>
      </c>
      <c r="F76" s="38"/>
    </row>
    <row r="77" spans="1:6" x14ac:dyDescent="0.3">
      <c r="A77" s="27" t="s">
        <v>451</v>
      </c>
      <c r="B77" s="27" t="s">
        <v>423</v>
      </c>
      <c r="C77" s="38" t="s">
        <v>448</v>
      </c>
      <c r="D77" s="27" t="str">
        <f t="shared" si="1"/>
        <v>NAME_WU_SUNJIAN</v>
      </c>
      <c r="E77" s="27" t="s">
        <v>438</v>
      </c>
      <c r="F77" s="38"/>
    </row>
    <row r="78" spans="1:6" x14ac:dyDescent="0.3">
      <c r="A78" s="27" t="s">
        <v>451</v>
      </c>
      <c r="B78" s="27" t="s">
        <v>424</v>
      </c>
      <c r="C78" s="38" t="s">
        <v>448</v>
      </c>
      <c r="D78" s="27" t="str">
        <f t="shared" si="1"/>
        <v>NAME_WU_SUNQUAN</v>
      </c>
      <c r="E78" s="27" t="s">
        <v>439</v>
      </c>
      <c r="F78" s="38"/>
    </row>
    <row r="79" spans="1:6" x14ac:dyDescent="0.3">
      <c r="A79" s="27" t="s">
        <v>451</v>
      </c>
      <c r="B79" s="27" t="s">
        <v>427</v>
      </c>
      <c r="C79" s="38" t="s">
        <v>448</v>
      </c>
      <c r="D79" s="27" t="str">
        <f t="shared" si="1"/>
        <v>NAME_WU_TAISHICI</v>
      </c>
      <c r="E79" s="27" t="s">
        <v>442</v>
      </c>
      <c r="F79" s="38"/>
    </row>
    <row r="80" spans="1:6" x14ac:dyDescent="0.3">
      <c r="A80" s="27" t="s">
        <v>451</v>
      </c>
      <c r="B80" s="27" t="s">
        <v>429</v>
      </c>
      <c r="C80" s="38" t="s">
        <v>448</v>
      </c>
      <c r="D80" s="27" t="str">
        <f t="shared" si="1"/>
        <v>NAME_WU_ZHOUYU</v>
      </c>
      <c r="E80" s="27" t="s">
        <v>444</v>
      </c>
      <c r="F80" s="38"/>
    </row>
    <row r="81" spans="1:6" x14ac:dyDescent="0.3">
      <c r="A81" s="27"/>
      <c r="B81" s="27"/>
      <c r="C81" s="27"/>
      <c r="D81" s="27" t="s">
        <v>39</v>
      </c>
      <c r="E81" s="27" t="s">
        <v>40</v>
      </c>
      <c r="F81" s="38"/>
    </row>
    <row r="82" spans="1:6" x14ac:dyDescent="0.3">
      <c r="A82" s="27"/>
      <c r="B82" s="27"/>
      <c r="C82" s="27"/>
      <c r="D82" s="27" t="s">
        <v>41</v>
      </c>
      <c r="E82" s="27" t="s">
        <v>42</v>
      </c>
      <c r="F82" s="38"/>
    </row>
    <row r="83" spans="1:6" x14ac:dyDescent="0.3">
      <c r="A83" s="27"/>
      <c r="B83" s="27"/>
      <c r="C83" s="27"/>
      <c r="D83" s="27" t="s">
        <v>44</v>
      </c>
      <c r="E83" s="27" t="s">
        <v>50</v>
      </c>
      <c r="F83" s="38"/>
    </row>
    <row r="84" spans="1:6" x14ac:dyDescent="0.3">
      <c r="A84" s="27"/>
      <c r="B84" s="27"/>
      <c r="C84" s="27"/>
      <c r="D84" s="27" t="s">
        <v>46</v>
      </c>
      <c r="E84" s="27" t="s">
        <v>49</v>
      </c>
      <c r="F84" s="38"/>
    </row>
    <row r="85" spans="1:6" x14ac:dyDescent="0.3">
      <c r="A85" s="27"/>
      <c r="B85" s="27"/>
      <c r="C85" s="27"/>
      <c r="D85" s="27" t="s">
        <v>43</v>
      </c>
      <c r="E85" s="27" t="s">
        <v>47</v>
      </c>
      <c r="F85" s="38"/>
    </row>
    <row r="86" spans="1:6" x14ac:dyDescent="0.3">
      <c r="A86" s="27"/>
      <c r="B86" s="27"/>
      <c r="C86" s="27"/>
      <c r="D86" s="27" t="s">
        <v>45</v>
      </c>
      <c r="E86" s="27" t="s">
        <v>48</v>
      </c>
      <c r="F86" s="38"/>
    </row>
    <row r="87" spans="1:6" x14ac:dyDescent="0.3">
      <c r="A87" s="27" t="s">
        <v>451</v>
      </c>
      <c r="B87" s="27" t="s">
        <v>621</v>
      </c>
      <c r="C87" s="27" t="s">
        <v>449</v>
      </c>
      <c r="D87" s="27" t="str">
        <f t="shared" ref="D87:D102" si="2">UPPER(A87)&amp;"_"&amp;UPPER(C87)&amp;"_"&amp;UPPER(B87)</f>
        <v>NAME_ETC_YUANSHAO</v>
      </c>
      <c r="E87" s="27" t="s">
        <v>600</v>
      </c>
      <c r="F87" s="38"/>
    </row>
    <row r="88" spans="1:6" x14ac:dyDescent="0.3">
      <c r="A88" s="27" t="s">
        <v>451</v>
      </c>
      <c r="B88" s="27" t="s">
        <v>622</v>
      </c>
      <c r="C88" s="27" t="s">
        <v>449</v>
      </c>
      <c r="D88" s="27" t="str">
        <f t="shared" si="2"/>
        <v>NAME_ETC_YANLIANG</v>
      </c>
      <c r="E88" s="27" t="s">
        <v>589</v>
      </c>
      <c r="F88" s="38"/>
    </row>
    <row r="89" spans="1:6" x14ac:dyDescent="0.3">
      <c r="A89" s="27" t="s">
        <v>451</v>
      </c>
      <c r="B89" s="27" t="s">
        <v>623</v>
      </c>
      <c r="C89" s="27" t="s">
        <v>449</v>
      </c>
      <c r="D89" s="27" t="str">
        <f t="shared" si="2"/>
        <v>NAME_ETC_WENCHOU</v>
      </c>
      <c r="E89" s="27" t="s">
        <v>599</v>
      </c>
      <c r="F89" s="38"/>
    </row>
    <row r="90" spans="1:6" x14ac:dyDescent="0.3">
      <c r="A90" s="27" t="s">
        <v>451</v>
      </c>
      <c r="B90" s="27" t="s">
        <v>625</v>
      </c>
      <c r="C90" s="27" t="s">
        <v>449</v>
      </c>
      <c r="D90" s="27" t="str">
        <f t="shared" si="2"/>
        <v>NAME_ETC_SONGXIAN</v>
      </c>
      <c r="E90" s="27" t="s">
        <v>624</v>
      </c>
      <c r="F90" s="38"/>
    </row>
    <row r="91" spans="1:6" x14ac:dyDescent="0.3">
      <c r="A91" s="27" t="s">
        <v>451</v>
      </c>
      <c r="B91" s="27" t="s">
        <v>627</v>
      </c>
      <c r="C91" s="27" t="s">
        <v>449</v>
      </c>
      <c r="D91" s="27" t="str">
        <f t="shared" si="2"/>
        <v>NAME_ETC_WEIXU</v>
      </c>
      <c r="E91" s="27" t="s">
        <v>626</v>
      </c>
      <c r="F91" s="38"/>
    </row>
    <row r="92" spans="1:6" x14ac:dyDescent="0.3">
      <c r="A92" s="27" t="s">
        <v>451</v>
      </c>
      <c r="B92" s="27" t="s">
        <v>629</v>
      </c>
      <c r="C92" s="27" t="s">
        <v>447</v>
      </c>
      <c r="D92" s="27" t="str">
        <f t="shared" si="2"/>
        <v>NAME_WEI_XUHUANG</v>
      </c>
      <c r="E92" s="27" t="s">
        <v>628</v>
      </c>
      <c r="F92" s="38"/>
    </row>
    <row r="93" spans="1:6" x14ac:dyDescent="0.3">
      <c r="A93" s="27" t="s">
        <v>451</v>
      </c>
      <c r="B93" s="27" t="s">
        <v>701</v>
      </c>
      <c r="C93" s="27" t="s">
        <v>447</v>
      </c>
      <c r="D93" s="27" t="str">
        <f t="shared" si="2"/>
        <v>NAME_WEI_FANJIANG</v>
      </c>
      <c r="E93" s="38" t="s">
        <v>690</v>
      </c>
      <c r="F93" s="38"/>
    </row>
    <row r="94" spans="1:6" x14ac:dyDescent="0.3">
      <c r="A94" s="27" t="s">
        <v>451</v>
      </c>
      <c r="B94" s="27" t="s">
        <v>702</v>
      </c>
      <c r="C94" s="27" t="s">
        <v>447</v>
      </c>
      <c r="D94" s="27" t="str">
        <f t="shared" si="2"/>
        <v>NAME_WEI_ZHANGDA</v>
      </c>
      <c r="E94" s="38" t="s">
        <v>691</v>
      </c>
      <c r="F94" s="38"/>
    </row>
    <row r="95" spans="1:6" x14ac:dyDescent="0.3">
      <c r="A95" s="27" t="s">
        <v>479</v>
      </c>
      <c r="B95" s="27" t="s">
        <v>621</v>
      </c>
      <c r="C95" s="27" t="s">
        <v>449</v>
      </c>
      <c r="D95" s="27" t="str">
        <f t="shared" ref="D95:D97" si="3">UPPER(A95)&amp;"_"&amp;UPPER(C95)&amp;"_"&amp;UPPER(B95)</f>
        <v>COURTESY_ETC_YUANSHAO</v>
      </c>
      <c r="E95" s="38" t="s">
        <v>630</v>
      </c>
      <c r="F95" s="38"/>
    </row>
    <row r="96" spans="1:6" x14ac:dyDescent="0.3">
      <c r="A96" s="27" t="s">
        <v>479</v>
      </c>
      <c r="B96" s="27" t="s">
        <v>622</v>
      </c>
      <c r="C96" s="27" t="s">
        <v>449</v>
      </c>
      <c r="D96" s="27" t="str">
        <f t="shared" si="3"/>
        <v>COURTESY_ETC_YANLIANG</v>
      </c>
      <c r="E96" s="38" t="s">
        <v>385</v>
      </c>
      <c r="F96" s="38"/>
    </row>
    <row r="97" spans="1:6" x14ac:dyDescent="0.3">
      <c r="A97" s="27" t="s">
        <v>479</v>
      </c>
      <c r="B97" s="27" t="s">
        <v>623</v>
      </c>
      <c r="C97" s="27" t="s">
        <v>449</v>
      </c>
      <c r="D97" s="27" t="str">
        <f t="shared" si="3"/>
        <v>COURTESY_ETC_WENCHOU</v>
      </c>
      <c r="E97" s="38" t="s">
        <v>385</v>
      </c>
      <c r="F97" s="38"/>
    </row>
    <row r="98" spans="1:6" x14ac:dyDescent="0.3">
      <c r="A98" s="27" t="s">
        <v>479</v>
      </c>
      <c r="B98" s="27" t="s">
        <v>629</v>
      </c>
      <c r="C98" s="27" t="s">
        <v>447</v>
      </c>
      <c r="D98" s="27" t="str">
        <f t="shared" si="2"/>
        <v>COURTESY_WEI_XUHUANG</v>
      </c>
      <c r="E98" s="38" t="s">
        <v>35</v>
      </c>
      <c r="F98" s="38"/>
    </row>
    <row r="99" spans="1:6" ht="33" x14ac:dyDescent="0.3">
      <c r="A99" s="27" t="s">
        <v>464</v>
      </c>
      <c r="B99" s="27" t="s">
        <v>621</v>
      </c>
      <c r="C99" s="27" t="s">
        <v>449</v>
      </c>
      <c r="D99" s="27" t="str">
        <f t="shared" si="2"/>
        <v>DESC_TALK_ETC_YUANSHAO</v>
      </c>
      <c r="E99" s="38" t="s">
        <v>631</v>
      </c>
      <c r="F99" s="38"/>
    </row>
    <row r="100" spans="1:6" ht="33" x14ac:dyDescent="0.3">
      <c r="A100" s="27" t="s">
        <v>464</v>
      </c>
      <c r="B100" s="27" t="s">
        <v>622</v>
      </c>
      <c r="C100" s="27" t="s">
        <v>449</v>
      </c>
      <c r="D100" s="27" t="str">
        <f t="shared" si="2"/>
        <v>DESC_TALK_ETC_YANLIANG</v>
      </c>
      <c r="E100" s="38" t="s">
        <v>632</v>
      </c>
      <c r="F100" s="38"/>
    </row>
    <row r="101" spans="1:6" ht="33" x14ac:dyDescent="0.3">
      <c r="A101" s="27" t="s">
        <v>464</v>
      </c>
      <c r="B101" s="27" t="s">
        <v>623</v>
      </c>
      <c r="C101" s="27" t="s">
        <v>449</v>
      </c>
      <c r="D101" s="27" t="str">
        <f t="shared" si="2"/>
        <v>DESC_TALK_ETC_WENCHOU</v>
      </c>
      <c r="E101" s="38" t="s">
        <v>633</v>
      </c>
      <c r="F101" s="38"/>
    </row>
    <row r="102" spans="1:6" ht="33" x14ac:dyDescent="0.3">
      <c r="A102" s="27" t="s">
        <v>464</v>
      </c>
      <c r="B102" s="27" t="s">
        <v>629</v>
      </c>
      <c r="C102" s="27" t="s">
        <v>447</v>
      </c>
      <c r="D102" s="27" t="str">
        <f t="shared" si="2"/>
        <v>DESC_TALK_WEI_XUHUANG</v>
      </c>
      <c r="E102" s="38" t="s">
        <v>634</v>
      </c>
      <c r="F102" s="38"/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7"/>
  <sheetViews>
    <sheetView topLeftCell="A25" workbookViewId="0">
      <selection activeCell="B26" sqref="B26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 x14ac:dyDescent="0.3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 x14ac:dyDescent="0.3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 x14ac:dyDescent="0.3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 x14ac:dyDescent="0.3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 x14ac:dyDescent="0.3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 x14ac:dyDescent="0.3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 x14ac:dyDescent="0.3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 x14ac:dyDescent="0.3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 x14ac:dyDescent="0.3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 x14ac:dyDescent="0.3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 x14ac:dyDescent="0.3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 x14ac:dyDescent="0.3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 x14ac:dyDescent="0.3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 x14ac:dyDescent="0.3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 x14ac:dyDescent="0.3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 x14ac:dyDescent="0.3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 x14ac:dyDescent="0.3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 x14ac:dyDescent="0.3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 x14ac:dyDescent="0.3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 x14ac:dyDescent="0.3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 x14ac:dyDescent="0.3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 x14ac:dyDescent="0.3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 x14ac:dyDescent="0.3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 x14ac:dyDescent="0.3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 x14ac:dyDescent="0.3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 x14ac:dyDescent="0.3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 x14ac:dyDescent="0.3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 x14ac:dyDescent="0.3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 x14ac:dyDescent="0.3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 x14ac:dyDescent="0.3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 x14ac:dyDescent="0.3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 x14ac:dyDescent="0.3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 x14ac:dyDescent="0.3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 x14ac:dyDescent="0.3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 x14ac:dyDescent="0.3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 x14ac:dyDescent="0.3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 x14ac:dyDescent="0.3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 x14ac:dyDescent="0.3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 x14ac:dyDescent="0.3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 x14ac:dyDescent="0.3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 x14ac:dyDescent="0.3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 x14ac:dyDescent="0.3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 x14ac:dyDescent="0.3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 x14ac:dyDescent="0.3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00"/>
  <sheetViews>
    <sheetView topLeftCell="A282" workbookViewId="0">
      <selection activeCell="G302" sqref="G30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411</v>
      </c>
      <c r="B3">
        <v>0</v>
      </c>
      <c r="C3" t="str">
        <f t="shared" ref="C3:C34" si="0">CONCATENATE(A3, "_", B3, IF(D3&lt;&gt;"", "_"&amp;D3, ""))</f>
        <v>NODE_2_0</v>
      </c>
      <c r="E3" t="str">
        <f>VLOOKUP(F3,[1]HeroData!$A$3:$B$118,2, FALSE)</f>
        <v>CaoRen</v>
      </c>
      <c r="F3" t="s">
        <v>403</v>
      </c>
      <c r="G3" s="3" t="s">
        <v>412</v>
      </c>
    </row>
    <row r="4" spans="1:9" x14ac:dyDescent="0.3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str">
        <f>VLOOKUP(F4,[1]HeroData!$A$3:$B$118,2, FALSE)</f>
        <v>CaoRen</v>
      </c>
      <c r="F4" t="s">
        <v>403</v>
      </c>
      <c r="G4" s="3" t="s">
        <v>404</v>
      </c>
    </row>
    <row r="5" spans="1:9" x14ac:dyDescent="0.3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 x14ac:dyDescent="0.3">
      <c r="A6" t="str">
        <f t="shared" si="1"/>
        <v>NODE_2</v>
      </c>
      <c r="B6">
        <f t="shared" si="2"/>
        <v>3</v>
      </c>
      <c r="C6" t="str">
        <f t="shared" si="0"/>
        <v>NODE_2_3</v>
      </c>
      <c r="E6" t="str">
        <f>VLOOKUP(F6,[1]HeroData!$A$3:$B$118,2, FALSE)</f>
        <v>CaoRen</v>
      </c>
      <c r="F6" t="s">
        <v>403</v>
      </c>
      <c r="G6" s="3" t="s">
        <v>413</v>
      </c>
    </row>
    <row r="7" spans="1:9" ht="33" x14ac:dyDescent="0.3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415</v>
      </c>
      <c r="G7" s="3" t="s">
        <v>575</v>
      </c>
    </row>
    <row r="8" spans="1:9" x14ac:dyDescent="0.3">
      <c r="A8" t="str">
        <f t="shared" si="1"/>
        <v>NODE_2</v>
      </c>
      <c r="B8">
        <f t="shared" si="2"/>
        <v>5</v>
      </c>
      <c r="C8" t="str">
        <f t="shared" si="0"/>
        <v>NODE_2_5</v>
      </c>
      <c r="E8" t="str">
        <f>VLOOKUP(F8,[1]HeroData!$A$3:$B$118,2, FALSE)</f>
        <v>CaoRen</v>
      </c>
      <c r="F8" t="s">
        <v>403</v>
      </c>
      <c r="G8" s="3" t="s">
        <v>405</v>
      </c>
    </row>
    <row r="9" spans="1:9" ht="33" x14ac:dyDescent="0.3">
      <c r="A9" t="str">
        <f t="shared" si="1"/>
        <v>NODE_2</v>
      </c>
      <c r="B9">
        <f t="shared" si="2"/>
        <v>6</v>
      </c>
      <c r="C9" t="str">
        <f t="shared" si="0"/>
        <v>NODE_2_6</v>
      </c>
      <c r="E9" t="str">
        <f>VLOOKUP(F9,[1]HeroData!$A$3:$B$118,2, FALSE)</f>
        <v>CaoRen</v>
      </c>
      <c r="F9" t="s">
        <v>403</v>
      </c>
      <c r="G9" s="3" t="s">
        <v>567</v>
      </c>
    </row>
    <row r="10" spans="1:9" x14ac:dyDescent="0.3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3" x14ac:dyDescent="0.3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str">
        <f>VLOOKUP(F11,[1]HeroData!$A$3:$B$118,2, FALSE)</f>
        <v>CaoCao</v>
      </c>
      <c r="F11" t="s">
        <v>51</v>
      </c>
      <c r="G11" s="3" t="s">
        <v>574</v>
      </c>
    </row>
    <row r="12" spans="1:9" ht="33" x14ac:dyDescent="0.3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str">
        <f>VLOOKUP(F12,[1]HeroData!$A$3:$B$118,2, FALSE)</f>
        <v>XiahouDun</v>
      </c>
      <c r="F12" t="s">
        <v>406</v>
      </c>
      <c r="G12" s="3" t="s">
        <v>566</v>
      </c>
    </row>
    <row r="13" spans="1:9" ht="33" x14ac:dyDescent="0.3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str">
        <f>VLOOKUP(F13,[1]HeroData!$A$3:$B$118,2, FALSE)</f>
        <v>XiahouYuan</v>
      </c>
      <c r="F13" t="s">
        <v>407</v>
      </c>
      <c r="G13" s="3" t="s">
        <v>565</v>
      </c>
    </row>
    <row r="14" spans="1:9" ht="33" x14ac:dyDescent="0.3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str">
        <f>VLOOKUP(F14,[1]HeroData!$A$3:$B$118,2, FALSE)</f>
        <v>XiahouDun</v>
      </c>
      <c r="F14" t="s">
        <v>406</v>
      </c>
      <c r="G14" s="3" t="s">
        <v>572</v>
      </c>
    </row>
    <row r="15" spans="1:9" ht="33" x14ac:dyDescent="0.3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str">
        <f>VLOOKUP(F15,[1]HeroData!$A$3:$B$118,2, FALSE)</f>
        <v>CaoCao</v>
      </c>
      <c r="F15" t="s">
        <v>51</v>
      </c>
      <c r="G15" s="3" t="s">
        <v>573</v>
      </c>
    </row>
    <row r="16" spans="1:9" ht="49.5" x14ac:dyDescent="0.3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415</v>
      </c>
      <c r="G16" s="3" t="s">
        <v>571</v>
      </c>
    </row>
    <row r="17" spans="1:7" x14ac:dyDescent="0.3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str">
        <f>VLOOKUP(F17,[1]HeroData!$A$3:$B$118,2, FALSE)</f>
        <v>XiahouYuan</v>
      </c>
      <c r="F17" t="s">
        <v>407</v>
      </c>
      <c r="G17" s="3" t="s">
        <v>416</v>
      </c>
    </row>
    <row r="18" spans="1:7" x14ac:dyDescent="0.3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str">
        <f>VLOOKUP(F18,[1]HeroData!$A$3:$B$118,2, FALSE)</f>
        <v>CaoCao</v>
      </c>
      <c r="F18" t="s">
        <v>51</v>
      </c>
      <c r="G18" s="3" t="s">
        <v>414</v>
      </c>
    </row>
    <row r="19" spans="1:7" x14ac:dyDescent="0.3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3" x14ac:dyDescent="0.3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str">
        <f>VLOOKUP(F20,[1]HeroData!$A$3:$B$118,2, FALSE)</f>
        <v>CaoRen</v>
      </c>
      <c r="F20" t="s">
        <v>403</v>
      </c>
      <c r="G20" s="3" t="s">
        <v>619</v>
      </c>
    </row>
    <row r="21" spans="1:7" x14ac:dyDescent="0.3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str">
        <f>VLOOKUP(F21,[1]HeroData!$A$3:$B$118,2, FALSE)</f>
        <v>XiahouDun</v>
      </c>
      <c r="F21" t="s">
        <v>406</v>
      </c>
      <c r="G21" s="3" t="s">
        <v>410</v>
      </c>
    </row>
    <row r="22" spans="1:7" ht="33" x14ac:dyDescent="0.3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str">
        <f>VLOOKUP(F22,[1]HeroData!$A$3:$B$118,2, FALSE)</f>
        <v>CaoCao</v>
      </c>
      <c r="F22" t="s">
        <v>51</v>
      </c>
      <c r="G22" s="3" t="s">
        <v>620</v>
      </c>
    </row>
    <row r="23" spans="1:7" x14ac:dyDescent="0.3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str">
        <f>VLOOKUP(F23,[1]HeroData!$A$3:$B$118,2, FALSE)</f>
        <v>CaoRen</v>
      </c>
      <c r="F23" t="s">
        <v>403</v>
      </c>
      <c r="G23" s="3" t="s">
        <v>408</v>
      </c>
    </row>
    <row r="24" spans="1:7" ht="33" x14ac:dyDescent="0.3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str">
        <f>VLOOKUP(F24,[1]HeroData!$A$3:$B$118,2, FALSE)</f>
        <v>CaoRen</v>
      </c>
      <c r="F24" t="s">
        <v>403</v>
      </c>
      <c r="G24" s="3" t="s">
        <v>564</v>
      </c>
    </row>
    <row r="25" spans="1:7" ht="49.5" x14ac:dyDescent="0.3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str">
        <f>VLOOKUP(F25,[1]HeroData!$A$3:$B$118,2, FALSE)</f>
        <v>CaoCao</v>
      </c>
      <c r="F25" t="s">
        <v>51</v>
      </c>
      <c r="G25" s="3" t="s">
        <v>570</v>
      </c>
    </row>
    <row r="26" spans="1:7" x14ac:dyDescent="0.3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str">
        <f>VLOOKUP(F26,[1]HeroData!$A$3:$B$118,2, FALSE)</f>
        <v>CaoRen</v>
      </c>
      <c r="F26" t="s">
        <v>403</v>
      </c>
      <c r="G26" s="3" t="s">
        <v>409</v>
      </c>
    </row>
    <row r="27" spans="1:7" ht="33" x14ac:dyDescent="0.3">
      <c r="A27" t="s">
        <v>561</v>
      </c>
      <c r="B27">
        <v>0</v>
      </c>
      <c r="C27" t="str">
        <f t="shared" si="0"/>
        <v>NODE_30B_0</v>
      </c>
      <c r="E27" t="str">
        <f>VLOOKUP(F27,[1]HeroData!$A$3:$B$118,2, FALSE)</f>
        <v>LiuBei</v>
      </c>
      <c r="F27" t="s">
        <v>5</v>
      </c>
      <c r="G27" s="3" t="s">
        <v>585</v>
      </c>
    </row>
    <row r="28" spans="1:7" x14ac:dyDescent="0.3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str">
        <f>VLOOKUP(F28,[1]HeroData!$A$3:$B$118,2, FALSE)</f>
        <v>LiuBei</v>
      </c>
      <c r="F28" t="s">
        <v>5</v>
      </c>
      <c r="G28" s="3" t="s">
        <v>583</v>
      </c>
    </row>
    <row r="29" spans="1:7" ht="33" x14ac:dyDescent="0.3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str">
        <f>VLOOKUP(F29,[1]HeroData!$A$3:$B$118,2, FALSE)</f>
        <v>ZhangFei</v>
      </c>
      <c r="F29" t="s">
        <v>9</v>
      </c>
      <c r="G29" s="3" t="s">
        <v>581</v>
      </c>
    </row>
    <row r="30" spans="1:7" ht="33" x14ac:dyDescent="0.3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str">
        <f>VLOOKUP(F30,[1]HeroData!$A$3:$B$118,2, FALSE)</f>
        <v>LiuBei</v>
      </c>
      <c r="F30" t="s">
        <v>5</v>
      </c>
      <c r="G30" s="3" t="s">
        <v>577</v>
      </c>
    </row>
    <row r="31" spans="1:7" x14ac:dyDescent="0.3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str">
        <f>VLOOKUP(F31,[1]HeroData!$A$3:$B$118,2, FALSE)</f>
        <v>GuanYu</v>
      </c>
      <c r="F31" t="s">
        <v>7</v>
      </c>
      <c r="G31" s="3" t="s">
        <v>584</v>
      </c>
    </row>
    <row r="32" spans="1:7" ht="33" x14ac:dyDescent="0.3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str">
        <f>VLOOKUP(F32,[1]HeroData!$A$3:$B$118,2, FALSE)</f>
        <v>LiuBei</v>
      </c>
      <c r="F32" t="s">
        <v>5</v>
      </c>
      <c r="G32" s="3" t="s">
        <v>569</v>
      </c>
    </row>
    <row r="33" spans="1:7" ht="33" x14ac:dyDescent="0.3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str">
        <f>VLOOKUP(F33,[1]HeroData!$A$3:$B$118,2, FALSE)</f>
        <v>GuanYu</v>
      </c>
      <c r="F33" t="s">
        <v>7</v>
      </c>
      <c r="G33" s="3" t="s">
        <v>562</v>
      </c>
    </row>
    <row r="34" spans="1:7" x14ac:dyDescent="0.3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str">
        <f>VLOOKUP(F34,[1]HeroData!$A$3:$B$118,2, FALSE)</f>
        <v>LiuBei</v>
      </c>
      <c r="F34" t="s">
        <v>5</v>
      </c>
      <c r="G34" s="3" t="s">
        <v>554</v>
      </c>
    </row>
    <row r="35" spans="1:7" ht="33" x14ac:dyDescent="0.3">
      <c r="A35" t="str">
        <f t="shared" si="3"/>
        <v>NODE_30B</v>
      </c>
      <c r="B35">
        <f t="shared" si="4"/>
        <v>8</v>
      </c>
      <c r="C35" t="str">
        <f t="shared" ref="C35:C52" si="5">CONCATENATE(A35, "_", B35, IF(D35&lt;&gt;"", "_"&amp;D35, ""))</f>
        <v>NODE_30B_8</v>
      </c>
      <c r="E35" t="str">
        <f>VLOOKUP(F35,[1]HeroData!$A$3:$B$118,2, FALSE)</f>
        <v>ZhangFei</v>
      </c>
      <c r="F35" t="s">
        <v>9</v>
      </c>
      <c r="G35" s="3" t="s">
        <v>563</v>
      </c>
    </row>
    <row r="36" spans="1:7" ht="33" x14ac:dyDescent="0.3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str">
        <f>VLOOKUP(F36,[1]HeroData!$A$3:$B$118,2, FALSE)</f>
        <v>LiuBei</v>
      </c>
      <c r="F36" t="s">
        <v>5</v>
      </c>
      <c r="G36" s="3" t="s">
        <v>662</v>
      </c>
    </row>
    <row r="37" spans="1:7" x14ac:dyDescent="0.3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str">
        <f>VLOOKUP(F37,[1]HeroData!$A$3:$B$118,2, FALSE)</f>
        <v>GuanYu</v>
      </c>
      <c r="F37" t="s">
        <v>7</v>
      </c>
      <c r="G37" s="3" t="s">
        <v>560</v>
      </c>
    </row>
    <row r="38" spans="1:7" x14ac:dyDescent="0.3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3" x14ac:dyDescent="0.3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str">
        <f>VLOOKUP(F39,[1]HeroData!$A$3:$B$118,2, FALSE)</f>
        <v>ZhangFei</v>
      </c>
      <c r="F39" t="s">
        <v>9</v>
      </c>
      <c r="G39" s="3" t="s">
        <v>568</v>
      </c>
    </row>
    <row r="40" spans="1:7" ht="33" x14ac:dyDescent="0.3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str">
        <f>VLOOKUP(F40,[1]HeroData!$A$3:$B$118,2, FALSE)</f>
        <v>GuanYu</v>
      </c>
      <c r="F40" t="s">
        <v>7</v>
      </c>
      <c r="G40" s="3" t="s">
        <v>580</v>
      </c>
    </row>
    <row r="41" spans="1:7" x14ac:dyDescent="0.3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str">
        <f>VLOOKUP(F41,[1]HeroData!$A$3:$B$118,2, FALSE)</f>
        <v>LiuBei</v>
      </c>
      <c r="F41" t="s">
        <v>5</v>
      </c>
      <c r="G41" s="3" t="s">
        <v>576</v>
      </c>
    </row>
    <row r="42" spans="1:7" ht="33" x14ac:dyDescent="0.3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str">
        <f>VLOOKUP(F42,[1]HeroData!$A$3:$B$118,2, FALSE)</f>
        <v>LiuBei</v>
      </c>
      <c r="F42" t="s">
        <v>5</v>
      </c>
      <c r="G42" s="3" t="s">
        <v>724</v>
      </c>
    </row>
    <row r="43" spans="1:7" ht="33" x14ac:dyDescent="0.3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str">
        <f>VLOOKUP(F43,[1]HeroData!$A$3:$B$118,2, FALSE)</f>
        <v>LiuBei</v>
      </c>
      <c r="F43" t="s">
        <v>5</v>
      </c>
      <c r="G43" s="3" t="s">
        <v>555</v>
      </c>
    </row>
    <row r="44" spans="1:7" x14ac:dyDescent="0.3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str">
        <f>VLOOKUP(F44,[1]HeroData!$A$3:$B$118,2, FALSE)</f>
        <v>ZhangFei</v>
      </c>
      <c r="F44" t="s">
        <v>9</v>
      </c>
      <c r="G44" s="3" t="s">
        <v>556</v>
      </c>
    </row>
    <row r="45" spans="1:7" ht="33" x14ac:dyDescent="0.3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str">
        <f>VLOOKUP(F45,[1]HeroData!$A$3:$B$118,2, FALSE)</f>
        <v>GuanYu</v>
      </c>
      <c r="F45" t="s">
        <v>7</v>
      </c>
      <c r="G45" s="3" t="s">
        <v>558</v>
      </c>
    </row>
    <row r="46" spans="1:7" ht="33" x14ac:dyDescent="0.3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str">
        <f>VLOOKUP(F46,[1]HeroData!$A$3:$B$118,2, FALSE)</f>
        <v>ZhangFei</v>
      </c>
      <c r="F46" t="s">
        <v>9</v>
      </c>
      <c r="G46" s="3" t="s">
        <v>579</v>
      </c>
    </row>
    <row r="47" spans="1:7" x14ac:dyDescent="0.3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str">
        <f>VLOOKUP(F47,[1]HeroData!$A$3:$B$118,2, FALSE)</f>
        <v>LiuBei</v>
      </c>
      <c r="F47" t="s">
        <v>5</v>
      </c>
      <c r="G47" s="3" t="s">
        <v>73</v>
      </c>
    </row>
    <row r="48" spans="1:7" ht="33" x14ac:dyDescent="0.3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str">
        <f>VLOOKUP(F48,[1]HeroData!$A$3:$B$118,2, FALSE)</f>
        <v>GuanYu</v>
      </c>
      <c r="F48" t="s">
        <v>7</v>
      </c>
      <c r="G48" s="3" t="s">
        <v>578</v>
      </c>
    </row>
    <row r="49" spans="1:7" ht="33" x14ac:dyDescent="0.3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str">
        <f>VLOOKUP(F49,[1]HeroData!$A$3:$B$118,2, FALSE)</f>
        <v>LiuBei</v>
      </c>
      <c r="F49" t="s">
        <v>5</v>
      </c>
      <c r="G49" s="3" t="s">
        <v>557</v>
      </c>
    </row>
    <row r="50" spans="1:7" x14ac:dyDescent="0.3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str">
        <f>VLOOKUP(F50,[1]HeroData!$A$3:$B$118,2, FALSE)</f>
        <v>ZhangFei</v>
      </c>
      <c r="F50" t="s">
        <v>9</v>
      </c>
      <c r="G50" s="3" t="s">
        <v>582</v>
      </c>
    </row>
    <row r="51" spans="1:7" ht="33" x14ac:dyDescent="0.3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str">
        <f>VLOOKUP(F51,[1]HeroData!$A$3:$B$118,2, FALSE)</f>
        <v>GuanYu</v>
      </c>
      <c r="F51" t="s">
        <v>7</v>
      </c>
      <c r="G51" s="3" t="s">
        <v>653</v>
      </c>
    </row>
    <row r="52" spans="1:7" x14ac:dyDescent="0.3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str">
        <f>VLOOKUP(F52,[1]HeroData!$A$3:$B$118,2, FALSE)</f>
        <v>ZhangFei</v>
      </c>
      <c r="F52" t="s">
        <v>9</v>
      </c>
      <c r="G52" s="3" t="s">
        <v>559</v>
      </c>
    </row>
    <row r="54" spans="1:7" x14ac:dyDescent="0.3">
      <c r="A54" t="s">
        <v>587</v>
      </c>
      <c r="B54">
        <v>0</v>
      </c>
      <c r="C54" t="str">
        <f>CONCATENATE(A54, "_", B54, IF(D54&lt;&gt;"", "_"&amp;D54, ""))</f>
        <v>NODE_16_0</v>
      </c>
      <c r="E54" t="str">
        <f>VLOOKUP(F54,[1]HeroData!$A$3:$B$118,2, FALSE)</f>
        <v>CaoCao</v>
      </c>
      <c r="F54" t="s">
        <v>51</v>
      </c>
      <c r="G54" s="3" t="s">
        <v>594</v>
      </c>
    </row>
    <row r="55" spans="1:7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str">
        <f>VLOOKUP(F55,[1]HeroData!$A$3:$B$118,2, FALSE)</f>
        <v>CaoCao</v>
      </c>
      <c r="F55" t="s">
        <v>51</v>
      </c>
      <c r="G55" s="3" t="s">
        <v>636</v>
      </c>
    </row>
    <row r="56" spans="1:7" ht="33" x14ac:dyDescent="0.3">
      <c r="A56" t="str">
        <f>A55</f>
        <v>NODE_16</v>
      </c>
      <c r="B56">
        <f>B55+1</f>
        <v>2</v>
      </c>
      <c r="C56" t="str">
        <f t="shared" ref="C56:C74" si="6">CONCATENATE(A56, "_", B56, IF(D56&lt;&gt;"", "_"&amp;D56, ""))</f>
        <v>NODE_16_2</v>
      </c>
      <c r="E56" t="str">
        <f>VLOOKUP(F56,[1]HeroData!$A$3:$B$118,2, FALSE)</f>
        <v>YanLiang</v>
      </c>
      <c r="F56" t="s">
        <v>589</v>
      </c>
      <c r="G56" s="3" t="s">
        <v>588</v>
      </c>
    </row>
    <row r="57" spans="1:7" x14ac:dyDescent="0.3">
      <c r="A57" t="str">
        <f t="shared" ref="A57:A115" si="7">A56</f>
        <v>NODE_16</v>
      </c>
      <c r="B57">
        <f t="shared" ref="B57:B115" si="8">B56+1</f>
        <v>3</v>
      </c>
      <c r="C57" t="str">
        <f t="shared" si="6"/>
        <v>NODE_16_3</v>
      </c>
      <c r="E57" t="str">
        <f>VLOOKUP(F57,[1]HeroData!$A$3:$B$118,2, FALSE)</f>
        <v>XiahouDun</v>
      </c>
      <c r="F57" t="s">
        <v>406</v>
      </c>
      <c r="G57" s="3" t="s">
        <v>650</v>
      </c>
    </row>
    <row r="58" spans="1:7" ht="33" x14ac:dyDescent="0.3">
      <c r="A58" t="str">
        <f t="shared" si="7"/>
        <v>NODE_16</v>
      </c>
      <c r="B58">
        <f t="shared" si="8"/>
        <v>4</v>
      </c>
      <c r="C58" t="str">
        <f t="shared" si="6"/>
        <v>NODE_16_4</v>
      </c>
      <c r="E58" t="str">
        <f>VLOOKUP(F58,[1]HeroData!$A$3:$B$118,2, FALSE)</f>
        <v>XiahouDun</v>
      </c>
      <c r="F58" t="s">
        <v>406</v>
      </c>
      <c r="G58" s="3" t="s">
        <v>663</v>
      </c>
    </row>
    <row r="59" spans="1:7" ht="33" x14ac:dyDescent="0.3">
      <c r="A59" t="str">
        <f t="shared" si="7"/>
        <v>NODE_16</v>
      </c>
      <c r="B59">
        <f t="shared" si="8"/>
        <v>5</v>
      </c>
      <c r="C59" t="str">
        <f t="shared" si="6"/>
        <v>NODE_16_5</v>
      </c>
      <c r="E59" t="str">
        <f>VLOOKUP(F59,[1]HeroData!$A$3:$B$118,2, FALSE)</f>
        <v>XiahouYuan</v>
      </c>
      <c r="F59" t="s">
        <v>407</v>
      </c>
      <c r="G59" s="3" t="s">
        <v>637</v>
      </c>
    </row>
    <row r="60" spans="1:7" ht="33" x14ac:dyDescent="0.3">
      <c r="A60" t="str">
        <f t="shared" si="7"/>
        <v>NODE_16</v>
      </c>
      <c r="B60">
        <f t="shared" si="8"/>
        <v>6</v>
      </c>
      <c r="C60" t="str">
        <f t="shared" si="6"/>
        <v>NODE_16_6</v>
      </c>
      <c r="E60" t="str">
        <f>VLOOKUP(F60,[1]HeroData!$A$3:$B$118,2, FALSE)</f>
        <v>XiahouDun</v>
      </c>
      <c r="F60" t="s">
        <v>406</v>
      </c>
      <c r="G60" s="3" t="s">
        <v>638</v>
      </c>
    </row>
    <row r="61" spans="1:7" x14ac:dyDescent="0.3">
      <c r="A61" t="str">
        <f t="shared" si="7"/>
        <v>NODE_16</v>
      </c>
      <c r="B61">
        <f t="shared" si="8"/>
        <v>7</v>
      </c>
      <c r="C61" t="str">
        <f t="shared" si="6"/>
        <v>NODE_16_7</v>
      </c>
      <c r="E61" t="str">
        <f>VLOOKUP(F61,[1]HeroData!$A$3:$B$118,2, FALSE)</f>
        <v>XiahouDun</v>
      </c>
      <c r="F61" t="s">
        <v>406</v>
      </c>
      <c r="G61" s="3" t="s">
        <v>640</v>
      </c>
    </row>
    <row r="62" spans="1:7" x14ac:dyDescent="0.3">
      <c r="A62" t="str">
        <f t="shared" si="7"/>
        <v>NODE_16</v>
      </c>
      <c r="B62">
        <f t="shared" si="8"/>
        <v>8</v>
      </c>
      <c r="C62" t="str">
        <f t="shared" si="6"/>
        <v>NODE_16_8</v>
      </c>
      <c r="E62" t="str">
        <f>VLOOKUP(F62,[1]HeroData!$A$3:$B$118,2, FALSE)</f>
        <v>CaoCao</v>
      </c>
      <c r="F62" t="s">
        <v>51</v>
      </c>
      <c r="G62" s="3" t="s">
        <v>590</v>
      </c>
    </row>
    <row r="63" spans="1:7" x14ac:dyDescent="0.3">
      <c r="A63" t="str">
        <f t="shared" si="7"/>
        <v>NODE_16</v>
      </c>
      <c r="B63">
        <f t="shared" si="8"/>
        <v>9</v>
      </c>
      <c r="C63" t="str">
        <f t="shared" si="6"/>
        <v>NODE_16_9</v>
      </c>
      <c r="E63" t="str">
        <f>VLOOKUP(F63,[1]HeroData!$A$3:$B$118,2, FALSE)</f>
        <v>GuanYu</v>
      </c>
      <c r="F63" t="s">
        <v>7</v>
      </c>
      <c r="G63" s="3" t="s">
        <v>720</v>
      </c>
    </row>
    <row r="64" spans="1:7" x14ac:dyDescent="0.3">
      <c r="A64" t="str">
        <f t="shared" si="7"/>
        <v>NODE_16</v>
      </c>
      <c r="B64">
        <f t="shared" si="8"/>
        <v>10</v>
      </c>
      <c r="C64" t="str">
        <f t="shared" si="6"/>
        <v>NODE_16_10</v>
      </c>
      <c r="E64" t="str">
        <f>VLOOKUP(F64,[1]HeroData!$A$3:$B$118,2, FALSE)</f>
        <v>ZhangLiao</v>
      </c>
      <c r="F64" t="s">
        <v>591</v>
      </c>
      <c r="G64" s="3" t="s">
        <v>768</v>
      </c>
    </row>
    <row r="65" spans="1:9" ht="33" x14ac:dyDescent="0.3">
      <c r="A65" t="str">
        <f t="shared" si="7"/>
        <v>NODE_16</v>
      </c>
      <c r="B65">
        <f t="shared" si="8"/>
        <v>11</v>
      </c>
      <c r="C65" t="str">
        <f t="shared" si="6"/>
        <v>NODE_16_11</v>
      </c>
      <c r="E65" t="str">
        <f>VLOOKUP(F65,[1]HeroData!$A$3:$B$118,2, FALSE)</f>
        <v>ZhangLiao</v>
      </c>
      <c r="F65" t="s">
        <v>591</v>
      </c>
      <c r="G65" s="3" t="s">
        <v>769</v>
      </c>
    </row>
    <row r="66" spans="1:9" x14ac:dyDescent="0.3">
      <c r="A66" t="str">
        <f t="shared" si="7"/>
        <v>NODE_16</v>
      </c>
      <c r="B66">
        <f t="shared" si="8"/>
        <v>12</v>
      </c>
      <c r="C66" t="str">
        <f t="shared" si="6"/>
        <v>NODE_16_12</v>
      </c>
      <c r="E66" t="str">
        <f>VLOOKUP(F66,[1]HeroData!$A$3:$B$118,2, FALSE)</f>
        <v>CaoCao</v>
      </c>
      <c r="F66" t="s">
        <v>51</v>
      </c>
      <c r="G66" s="3" t="s">
        <v>592</v>
      </c>
    </row>
    <row r="67" spans="1:9" ht="33" x14ac:dyDescent="0.3">
      <c r="A67" t="str">
        <f t="shared" si="7"/>
        <v>NODE_16</v>
      </c>
      <c r="B67">
        <f t="shared" si="8"/>
        <v>13</v>
      </c>
      <c r="C67" t="str">
        <f t="shared" si="6"/>
        <v>NODE_16_13</v>
      </c>
      <c r="E67" t="str">
        <f>VLOOKUP(F67,[1]HeroData!$A$3:$B$118,2, FALSE)</f>
        <v>CaoCao</v>
      </c>
      <c r="F67" t="s">
        <v>51</v>
      </c>
      <c r="G67" s="3" t="s">
        <v>641</v>
      </c>
    </row>
    <row r="68" spans="1:9" x14ac:dyDescent="0.3">
      <c r="A68" t="str">
        <f t="shared" si="7"/>
        <v>NODE_16</v>
      </c>
      <c r="B68">
        <f t="shared" si="8"/>
        <v>14</v>
      </c>
      <c r="C68" t="str">
        <f t="shared" si="6"/>
        <v>NODE_16_14</v>
      </c>
      <c r="E68" t="str">
        <f>VLOOKUP(F68,[1]HeroData!$A$3:$B$118,2, FALSE)</f>
        <v>CaoCao</v>
      </c>
      <c r="F68" t="s">
        <v>51</v>
      </c>
      <c r="G68" s="3" t="s">
        <v>593</v>
      </c>
    </row>
    <row r="69" spans="1:9" ht="33" x14ac:dyDescent="0.3">
      <c r="A69" t="str">
        <f t="shared" si="7"/>
        <v>NODE_16</v>
      </c>
      <c r="B69">
        <f t="shared" si="8"/>
        <v>15</v>
      </c>
      <c r="C69" t="str">
        <f t="shared" si="6"/>
        <v>NODE_16_15</v>
      </c>
      <c r="E69" t="str">
        <f>VLOOKUP(F69,[1]HeroData!$A$3:$B$118,2, FALSE)</f>
        <v>GuanYu</v>
      </c>
      <c r="F69" t="s">
        <v>7</v>
      </c>
      <c r="G69" s="3" t="s">
        <v>639</v>
      </c>
    </row>
    <row r="70" spans="1:9" ht="33" x14ac:dyDescent="0.3">
      <c r="A70" t="str">
        <f t="shared" si="7"/>
        <v>NODE_16</v>
      </c>
      <c r="B70">
        <f t="shared" si="8"/>
        <v>16</v>
      </c>
      <c r="C70" t="str">
        <f t="shared" si="6"/>
        <v>NODE_16_16</v>
      </c>
      <c r="E70" t="str">
        <f>VLOOKUP(F70,[1]HeroData!$A$3:$B$118,2, FALSE)</f>
        <v>CaoCao</v>
      </c>
      <c r="F70" t="s">
        <v>51</v>
      </c>
      <c r="G70" s="3" t="s">
        <v>643</v>
      </c>
    </row>
    <row r="71" spans="1:9" ht="33" x14ac:dyDescent="0.3">
      <c r="A71" t="str">
        <f t="shared" si="7"/>
        <v>NODE_16</v>
      </c>
      <c r="B71">
        <f t="shared" si="8"/>
        <v>17</v>
      </c>
      <c r="C71" t="str">
        <f t="shared" si="6"/>
        <v>NODE_16_17</v>
      </c>
      <c r="E71" t="str">
        <f>VLOOKUP(F71,[1]HeroData!$A$3:$B$118,2, FALSE)</f>
        <v>YanLiang</v>
      </c>
      <c r="F71" t="s">
        <v>589</v>
      </c>
      <c r="G71" s="3" t="s">
        <v>734</v>
      </c>
    </row>
    <row r="72" spans="1:9" ht="33" x14ac:dyDescent="0.3">
      <c r="A72" t="str">
        <f t="shared" si="7"/>
        <v>NODE_16</v>
      </c>
      <c r="B72">
        <f t="shared" si="8"/>
        <v>18</v>
      </c>
      <c r="C72" t="str">
        <f t="shared" si="6"/>
        <v>NODE_16_18</v>
      </c>
      <c r="E72" t="str">
        <f>VLOOKUP(F72,[1]HeroData!$A$3:$B$118,2, FALSE)</f>
        <v>YanLiang</v>
      </c>
      <c r="F72" t="s">
        <v>589</v>
      </c>
      <c r="G72" s="3" t="s">
        <v>722</v>
      </c>
      <c r="H72"/>
      <c r="I72" s="3"/>
    </row>
    <row r="73" spans="1:9" ht="33" x14ac:dyDescent="0.3">
      <c r="A73" t="str">
        <f t="shared" si="7"/>
        <v>NODE_16</v>
      </c>
      <c r="B73">
        <f t="shared" si="8"/>
        <v>19</v>
      </c>
      <c r="C73" t="str">
        <f t="shared" si="6"/>
        <v>NODE_16_19</v>
      </c>
      <c r="E73" t="str">
        <f>VLOOKUP(F73,[1]HeroData!$A$3:$B$118,2, FALSE)</f>
        <v>ZhangLiao</v>
      </c>
      <c r="F73" t="s">
        <v>591</v>
      </c>
      <c r="G73" s="3" t="s">
        <v>649</v>
      </c>
    </row>
    <row r="74" spans="1:9" ht="33" x14ac:dyDescent="0.3">
      <c r="A74" t="str">
        <f t="shared" si="7"/>
        <v>NODE_16</v>
      </c>
      <c r="B74">
        <f t="shared" si="8"/>
        <v>20</v>
      </c>
      <c r="C74" t="str">
        <f t="shared" si="6"/>
        <v>NODE_16_20</v>
      </c>
      <c r="E74" t="str">
        <f>VLOOKUP(F74,[1]HeroData!$A$3:$B$118,2, FALSE)</f>
        <v>YanLiang</v>
      </c>
      <c r="F74" t="s">
        <v>589</v>
      </c>
      <c r="G74" s="3" t="s">
        <v>642</v>
      </c>
    </row>
    <row r="75" spans="1:9" x14ac:dyDescent="0.3">
      <c r="A75" t="str">
        <f t="shared" si="7"/>
        <v>NODE_16</v>
      </c>
      <c r="B75">
        <f t="shared" si="8"/>
        <v>21</v>
      </c>
      <c r="C75" t="str">
        <f t="shared" ref="C75:C119" si="9">CONCATENATE(A75, "_", B75, IF(D75&lt;&gt;"", "_"&amp;D75, ""))</f>
        <v>NODE_16_21</v>
      </c>
      <c r="E75" t="str">
        <f>VLOOKUP(F75,[1]HeroData!$A$3:$B$118,2, FALSE)</f>
        <v>YanLiang</v>
      </c>
      <c r="F75" t="s">
        <v>589</v>
      </c>
      <c r="G75" s="3" t="s">
        <v>594</v>
      </c>
    </row>
    <row r="76" spans="1:9" x14ac:dyDescent="0.3">
      <c r="A76" t="str">
        <f t="shared" si="7"/>
        <v>NODE_16</v>
      </c>
      <c r="B76">
        <f t="shared" si="8"/>
        <v>22</v>
      </c>
      <c r="C76" t="str">
        <f t="shared" si="9"/>
        <v>NODE_16_22</v>
      </c>
      <c r="E76" t="str">
        <f>VLOOKUP(F76,[1]HeroData!$A$3:$B$118,2, FALSE)</f>
        <v>ZhangLiao</v>
      </c>
      <c r="F76" t="s">
        <v>591</v>
      </c>
      <c r="G76" s="3" t="s">
        <v>652</v>
      </c>
    </row>
    <row r="77" spans="1:9" ht="33" x14ac:dyDescent="0.3">
      <c r="A77" t="str">
        <f t="shared" si="7"/>
        <v>NODE_16</v>
      </c>
      <c r="B77">
        <f t="shared" si="8"/>
        <v>23</v>
      </c>
      <c r="C77" t="str">
        <f t="shared" si="9"/>
        <v>NODE_16_23</v>
      </c>
      <c r="E77" t="str">
        <f>VLOOKUP(F77,[1]HeroData!$A$3:$B$118,2, FALSE)</f>
        <v>CaoCao</v>
      </c>
      <c r="F77" t="s">
        <v>51</v>
      </c>
      <c r="G77" s="3" t="s">
        <v>644</v>
      </c>
    </row>
    <row r="78" spans="1:9" x14ac:dyDescent="0.3">
      <c r="A78" t="str">
        <f t="shared" si="7"/>
        <v>NODE_16</v>
      </c>
      <c r="B78">
        <f t="shared" si="8"/>
        <v>24</v>
      </c>
      <c r="C78" t="str">
        <f t="shared" si="9"/>
        <v>NODE_16_24</v>
      </c>
      <c r="E78" t="str">
        <f>VLOOKUP(F78,[1]HeroData!$A$3:$B$118,2, FALSE)</f>
        <v>GuanYu</v>
      </c>
      <c r="F78" t="s">
        <v>7</v>
      </c>
      <c r="G78" s="3" t="s">
        <v>595</v>
      </c>
    </row>
    <row r="79" spans="1:9" x14ac:dyDescent="0.3">
      <c r="A79" t="str">
        <f t="shared" si="7"/>
        <v>NODE_16</v>
      </c>
      <c r="B79">
        <f t="shared" si="8"/>
        <v>25</v>
      </c>
      <c r="C79" t="str">
        <f t="shared" si="9"/>
        <v>NODE_16_25</v>
      </c>
      <c r="E79" t="str">
        <f>VLOOKUP(F79,[1]HeroData!$A$3:$B$118,2, FALSE)</f>
        <v>XiahouDun</v>
      </c>
      <c r="F79" t="s">
        <v>406</v>
      </c>
      <c r="G79" s="3" t="s">
        <v>635</v>
      </c>
    </row>
    <row r="80" spans="1:9" x14ac:dyDescent="0.3">
      <c r="A80" t="str">
        <f t="shared" si="7"/>
        <v>NODE_16</v>
      </c>
      <c r="B80">
        <f t="shared" si="8"/>
        <v>26</v>
      </c>
      <c r="C80" t="str">
        <f t="shared" si="9"/>
        <v>NODE_16_26</v>
      </c>
      <c r="E80" t="str">
        <f>VLOOKUP(F80,[1]HeroData!$A$3:$B$118,2, FALSE)</f>
        <v>XiahouYuan</v>
      </c>
      <c r="F80" t="s">
        <v>407</v>
      </c>
      <c r="G80" s="3" t="s">
        <v>596</v>
      </c>
    </row>
    <row r="81" spans="1:7" x14ac:dyDescent="0.3">
      <c r="A81" t="str">
        <f t="shared" si="7"/>
        <v>NODE_16</v>
      </c>
      <c r="B81">
        <f t="shared" si="8"/>
        <v>27</v>
      </c>
      <c r="C81" t="str">
        <f t="shared" si="9"/>
        <v>NODE_16_27</v>
      </c>
      <c r="E81" t="str">
        <f>VLOOKUP(F81,[1]HeroData!$A$3:$B$118,2, FALSE)</f>
        <v>GuanYu</v>
      </c>
      <c r="F81" t="s">
        <v>7</v>
      </c>
      <c r="G81" s="3" t="s">
        <v>597</v>
      </c>
    </row>
    <row r="82" spans="1:7" ht="33" x14ac:dyDescent="0.3">
      <c r="A82" t="str">
        <f t="shared" si="7"/>
        <v>NODE_16</v>
      </c>
      <c r="B82">
        <f t="shared" si="8"/>
        <v>28</v>
      </c>
      <c r="C82" t="str">
        <f t="shared" si="9"/>
        <v>NODE_16_28</v>
      </c>
      <c r="E82" t="str">
        <f>VLOOKUP(F82,[1]HeroData!$A$3:$B$118,2, FALSE)</f>
        <v>ZhangLiao</v>
      </c>
      <c r="F82" t="s">
        <v>591</v>
      </c>
      <c r="G82" s="3" t="s">
        <v>598</v>
      </c>
    </row>
    <row r="83" spans="1:7" x14ac:dyDescent="0.3">
      <c r="A83" t="str">
        <f t="shared" si="7"/>
        <v>NODE_16</v>
      </c>
      <c r="B83">
        <f t="shared" si="8"/>
        <v>29</v>
      </c>
      <c r="C83" t="str">
        <f t="shared" si="9"/>
        <v>NODE_16_29</v>
      </c>
      <c r="E83" t="str">
        <f>VLOOKUP(F83,[1]HeroData!$A$3:$B$118,2, FALSE)</f>
        <v>WenChou</v>
      </c>
      <c r="F83" t="s">
        <v>599</v>
      </c>
      <c r="G83" s="3" t="s">
        <v>824</v>
      </c>
    </row>
    <row r="84" spans="1:7" x14ac:dyDescent="0.3">
      <c r="A84" t="str">
        <f t="shared" si="7"/>
        <v>NODE_16</v>
      </c>
      <c r="B84">
        <f t="shared" si="8"/>
        <v>30</v>
      </c>
      <c r="C84" t="str">
        <f t="shared" si="9"/>
        <v>NODE_16_30</v>
      </c>
      <c r="E84" t="str">
        <f>VLOOKUP(F84,[1]HeroData!$A$3:$B$118,2, FALSE)</f>
        <v>LiuBei</v>
      </c>
      <c r="F84" t="s">
        <v>5</v>
      </c>
      <c r="G84" s="3" t="s">
        <v>597</v>
      </c>
    </row>
    <row r="85" spans="1:7" x14ac:dyDescent="0.3">
      <c r="A85" t="str">
        <f t="shared" si="7"/>
        <v>NODE_16</v>
      </c>
      <c r="B85">
        <f t="shared" si="8"/>
        <v>31</v>
      </c>
      <c r="C85" t="str">
        <f t="shared" si="9"/>
        <v>NODE_16_31</v>
      </c>
      <c r="E85" t="str">
        <f>VLOOKUP(F85,[1]HeroData!$A$3:$B$118,2, FALSE)</f>
        <v>LiuBei</v>
      </c>
      <c r="F85" t="s">
        <v>5</v>
      </c>
      <c r="G85" s="3" t="s">
        <v>645</v>
      </c>
    </row>
    <row r="86" spans="1:7" x14ac:dyDescent="0.3">
      <c r="A86" t="str">
        <f t="shared" si="7"/>
        <v>NODE_16</v>
      </c>
      <c r="B86">
        <f t="shared" si="8"/>
        <v>32</v>
      </c>
      <c r="C86" t="str">
        <f t="shared" si="9"/>
        <v>NODE_16_32</v>
      </c>
      <c r="E86" t="str">
        <f>VLOOKUP(F86,[1]HeroData!$A$3:$B$118,2, FALSE)</f>
        <v>YuanShao</v>
      </c>
      <c r="F86" t="s">
        <v>600</v>
      </c>
      <c r="G86" s="3" t="s">
        <v>601</v>
      </c>
    </row>
    <row r="87" spans="1:7" ht="33" x14ac:dyDescent="0.3">
      <c r="A87" t="str">
        <f t="shared" si="7"/>
        <v>NODE_16</v>
      </c>
      <c r="B87">
        <f t="shared" si="8"/>
        <v>33</v>
      </c>
      <c r="C87" t="str">
        <f t="shared" si="9"/>
        <v>NODE_16_33</v>
      </c>
      <c r="E87" t="str">
        <f>VLOOKUP(F87,[1]HeroData!$A$3:$B$118,2, FALSE)</f>
        <v>WenChou</v>
      </c>
      <c r="F87" t="s">
        <v>599</v>
      </c>
      <c r="G87" s="3" t="s">
        <v>825</v>
      </c>
    </row>
    <row r="88" spans="1:7" x14ac:dyDescent="0.3">
      <c r="A88" t="str">
        <f t="shared" si="7"/>
        <v>NODE_16</v>
      </c>
      <c r="B88">
        <f t="shared" si="8"/>
        <v>34</v>
      </c>
      <c r="C88" t="str">
        <f t="shared" si="9"/>
        <v>NODE_16_34</v>
      </c>
      <c r="E88" t="str">
        <f>VLOOKUP(F88,[1]HeroData!$A$3:$B$118,2, FALSE)</f>
        <v>WenChou</v>
      </c>
      <c r="F88" t="s">
        <v>599</v>
      </c>
      <c r="G88" s="3" t="s">
        <v>602</v>
      </c>
    </row>
    <row r="89" spans="1:7" x14ac:dyDescent="0.3">
      <c r="A89" t="str">
        <f t="shared" si="7"/>
        <v>NODE_16</v>
      </c>
      <c r="B89">
        <f t="shared" si="8"/>
        <v>35</v>
      </c>
      <c r="C89" t="str">
        <f t="shared" si="9"/>
        <v>NODE_16_35</v>
      </c>
      <c r="E89" t="str">
        <f>VLOOKUP(F89,[1]HeroData!$A$3:$B$118,2, FALSE)</f>
        <v>WenChou</v>
      </c>
      <c r="F89" t="s">
        <v>599</v>
      </c>
      <c r="G89" s="3" t="s">
        <v>603</v>
      </c>
    </row>
    <row r="90" spans="1:7" x14ac:dyDescent="0.3">
      <c r="A90" t="str">
        <f t="shared" si="7"/>
        <v>NODE_16</v>
      </c>
      <c r="B90">
        <f t="shared" si="8"/>
        <v>36</v>
      </c>
      <c r="C90" t="str">
        <f t="shared" si="9"/>
        <v>NODE_16_36</v>
      </c>
      <c r="E90" t="str">
        <f>VLOOKUP(F90,[1]HeroData!$A$3:$B$118,2, FALSE)</f>
        <v>GuanYu</v>
      </c>
      <c r="F90" t="s">
        <v>7</v>
      </c>
      <c r="G90" s="3" t="s">
        <v>597</v>
      </c>
    </row>
    <row r="91" spans="1:7" ht="33" x14ac:dyDescent="0.3">
      <c r="A91" t="str">
        <f t="shared" si="7"/>
        <v>NODE_16</v>
      </c>
      <c r="B91">
        <f t="shared" si="8"/>
        <v>37</v>
      </c>
      <c r="C91" t="str">
        <f t="shared" si="9"/>
        <v>NODE_16_37</v>
      </c>
      <c r="E91" t="str">
        <f>VLOOKUP(F91,[1]HeroData!$A$3:$B$118,2, FALSE)</f>
        <v>WenChou</v>
      </c>
      <c r="F91" t="s">
        <v>599</v>
      </c>
      <c r="G91" s="3" t="s">
        <v>704</v>
      </c>
    </row>
    <row r="92" spans="1:7" x14ac:dyDescent="0.3">
      <c r="A92" t="str">
        <f t="shared" si="7"/>
        <v>NODE_16</v>
      </c>
      <c r="B92">
        <f t="shared" si="8"/>
        <v>38</v>
      </c>
      <c r="C92" t="str">
        <f t="shared" si="9"/>
        <v>NODE_16_38</v>
      </c>
      <c r="E92" t="str">
        <f>VLOOKUP(F92,[1]HeroData!$A$3:$B$118,2, FALSE)</f>
        <v>WenChou</v>
      </c>
      <c r="F92" t="s">
        <v>599</v>
      </c>
      <c r="G92" s="3" t="s">
        <v>604</v>
      </c>
    </row>
    <row r="93" spans="1:7" x14ac:dyDescent="0.3">
      <c r="A93" t="str">
        <f t="shared" si="7"/>
        <v>NODE_16</v>
      </c>
      <c r="B93">
        <f t="shared" si="8"/>
        <v>39</v>
      </c>
      <c r="C93" t="str">
        <f t="shared" si="9"/>
        <v>NODE_16_39</v>
      </c>
      <c r="E93" t="str">
        <f>VLOOKUP(F93,[1]HeroData!$A$3:$B$118,2, FALSE)</f>
        <v>GuanYu</v>
      </c>
      <c r="F93" t="s">
        <v>7</v>
      </c>
      <c r="G93" s="3" t="s">
        <v>605</v>
      </c>
    </row>
    <row r="94" spans="1:7" x14ac:dyDescent="0.3">
      <c r="A94" t="str">
        <f t="shared" si="7"/>
        <v>NODE_16</v>
      </c>
      <c r="B94">
        <f t="shared" si="8"/>
        <v>40</v>
      </c>
      <c r="C94" t="str">
        <f t="shared" si="9"/>
        <v>NODE_16_40</v>
      </c>
      <c r="E94" t="str">
        <f>VLOOKUP(F94,[1]HeroData!$A$3:$B$118,2, FALSE)</f>
        <v>WenChou</v>
      </c>
      <c r="F94" t="s">
        <v>599</v>
      </c>
      <c r="G94" s="3" t="s">
        <v>606</v>
      </c>
    </row>
    <row r="95" spans="1:7" ht="33" x14ac:dyDescent="0.3">
      <c r="A95" t="str">
        <f t="shared" si="7"/>
        <v>NODE_16</v>
      </c>
      <c r="B95">
        <f t="shared" si="8"/>
        <v>41</v>
      </c>
      <c r="C95" t="str">
        <f t="shared" si="9"/>
        <v>NODE_16_41</v>
      </c>
      <c r="E95" t="str">
        <f>VLOOKUP(F95,[1]HeroData!$A$3:$B$118,2, FALSE)</f>
        <v>YuanShao</v>
      </c>
      <c r="F95" t="s">
        <v>600</v>
      </c>
      <c r="G95" s="3" t="s">
        <v>723</v>
      </c>
    </row>
    <row r="96" spans="1:7" ht="33" x14ac:dyDescent="0.3">
      <c r="A96" t="str">
        <f t="shared" si="7"/>
        <v>NODE_16</v>
      </c>
      <c r="B96">
        <f t="shared" si="8"/>
        <v>42</v>
      </c>
      <c r="C96" t="str">
        <f t="shared" si="9"/>
        <v>NODE_16_42</v>
      </c>
      <c r="E96" t="str">
        <f>VLOOKUP(F96,[1]HeroData!$A$3:$B$118,2, FALSE)</f>
        <v>LiuBei</v>
      </c>
      <c r="F96" t="s">
        <v>5</v>
      </c>
      <c r="G96" s="3" t="s">
        <v>823</v>
      </c>
    </row>
    <row r="97" spans="1:7" x14ac:dyDescent="0.3">
      <c r="A97" t="str">
        <f t="shared" si="7"/>
        <v>NODE_16</v>
      </c>
      <c r="B97">
        <f t="shared" si="8"/>
        <v>43</v>
      </c>
      <c r="C97" t="str">
        <f t="shared" si="9"/>
        <v>NODE_16_43</v>
      </c>
      <c r="E97" t="str">
        <f>VLOOKUP(F97,[1]HeroData!$A$3:$B$118,2, FALSE)</f>
        <v>YuanShao</v>
      </c>
      <c r="F97" t="s">
        <v>600</v>
      </c>
      <c r="G97" s="3" t="s">
        <v>607</v>
      </c>
    </row>
    <row r="98" spans="1:7" x14ac:dyDescent="0.3">
      <c r="A98" t="str">
        <f t="shared" si="7"/>
        <v>NODE_16</v>
      </c>
      <c r="B98">
        <f t="shared" si="8"/>
        <v>44</v>
      </c>
      <c r="C98" t="str">
        <f t="shared" si="9"/>
        <v>NODE_16_44</v>
      </c>
      <c r="E98" t="str">
        <f>VLOOKUP(F98,[1]HeroData!$A$3:$B$118,2, FALSE)</f>
        <v>GuanYu</v>
      </c>
      <c r="F98" t="s">
        <v>7</v>
      </c>
      <c r="G98" s="3" t="s">
        <v>608</v>
      </c>
    </row>
    <row r="99" spans="1:7" ht="33" x14ac:dyDescent="0.3">
      <c r="A99" t="str">
        <f t="shared" si="7"/>
        <v>NODE_16</v>
      </c>
      <c r="B99">
        <f t="shared" si="8"/>
        <v>45</v>
      </c>
      <c r="C99" t="str">
        <f t="shared" si="9"/>
        <v>NODE_16_45</v>
      </c>
      <c r="E99" t="str">
        <f>VLOOKUP(F99,[1]HeroData!$A$3:$B$118,2, FALSE)</f>
        <v>GuanYu</v>
      </c>
      <c r="F99" t="s">
        <v>7</v>
      </c>
      <c r="G99" s="3" t="s">
        <v>609</v>
      </c>
    </row>
    <row r="100" spans="1:7" ht="33" x14ac:dyDescent="0.3">
      <c r="A100" t="str">
        <f t="shared" si="7"/>
        <v>NODE_16</v>
      </c>
      <c r="B100">
        <f t="shared" si="8"/>
        <v>46</v>
      </c>
      <c r="C100" t="str">
        <f t="shared" si="9"/>
        <v>NODE_16_46</v>
      </c>
      <c r="E100" t="str">
        <f>VLOOKUP(F100,[1]HeroData!$A$3:$B$118,2, FALSE)</f>
        <v>GuanYu</v>
      </c>
      <c r="F100" t="s">
        <v>7</v>
      </c>
      <c r="G100" s="3" t="s">
        <v>610</v>
      </c>
    </row>
    <row r="101" spans="1:7" ht="33" x14ac:dyDescent="0.3">
      <c r="A101" t="str">
        <f t="shared" si="7"/>
        <v>NODE_16</v>
      </c>
      <c r="B101">
        <f t="shared" si="8"/>
        <v>47</v>
      </c>
      <c r="C101" t="str">
        <f t="shared" si="9"/>
        <v>NODE_16_47_1</v>
      </c>
      <c r="D101">
        <v>1</v>
      </c>
      <c r="E101" t="str">
        <f>VLOOKUP(F101,[1]HeroData!$A$3:$B$118,2, FALSE)</f>
        <v>LiuBei</v>
      </c>
      <c r="F101" t="s">
        <v>5</v>
      </c>
      <c r="G101" s="3" t="s">
        <v>648</v>
      </c>
    </row>
    <row r="102" spans="1:7" ht="33" x14ac:dyDescent="0.3">
      <c r="A102" t="str">
        <f t="shared" si="7"/>
        <v>NODE_16</v>
      </c>
      <c r="B102">
        <f t="shared" si="8"/>
        <v>48</v>
      </c>
      <c r="C102" t="str">
        <f t="shared" si="9"/>
        <v>NODE_16_48_1</v>
      </c>
      <c r="D102">
        <v>1</v>
      </c>
      <c r="E102" t="str">
        <f>VLOOKUP(F102,[1]HeroData!$A$3:$B$118,2, FALSE)</f>
        <v>LiuBei</v>
      </c>
      <c r="F102" t="s">
        <v>5</v>
      </c>
      <c r="G102" s="3" t="s">
        <v>647</v>
      </c>
    </row>
    <row r="103" spans="1:7" x14ac:dyDescent="0.3">
      <c r="A103" t="str">
        <f t="shared" si="7"/>
        <v>NODE_16</v>
      </c>
      <c r="B103">
        <f t="shared" si="8"/>
        <v>49</v>
      </c>
      <c r="C103" t="str">
        <f t="shared" si="9"/>
        <v>NODE_16_49_1</v>
      </c>
      <c r="D103">
        <v>1</v>
      </c>
      <c r="E103" t="str">
        <f>VLOOKUP(F103,[1]HeroData!$A$3:$B$118,2, FALSE)</f>
        <v>YuanShao</v>
      </c>
      <c r="F103" t="s">
        <v>600</v>
      </c>
      <c r="G103" s="3" t="s">
        <v>597</v>
      </c>
    </row>
    <row r="104" spans="1:7" ht="33" x14ac:dyDescent="0.3">
      <c r="A104" t="str">
        <f t="shared" si="7"/>
        <v>NODE_16</v>
      </c>
      <c r="B104">
        <f t="shared" si="8"/>
        <v>50</v>
      </c>
      <c r="C104" t="str">
        <f t="shared" si="9"/>
        <v>NODE_16_50_1</v>
      </c>
      <c r="D104">
        <v>1</v>
      </c>
      <c r="E104" t="str">
        <f>VLOOKUP(F104,[1]HeroData!$A$3:$B$118,2, FALSE)</f>
        <v>LiuBei</v>
      </c>
      <c r="F104" t="s">
        <v>5</v>
      </c>
      <c r="G104" s="3" t="s">
        <v>646</v>
      </c>
    </row>
    <row r="105" spans="1:7" ht="33" x14ac:dyDescent="0.3">
      <c r="A105" t="str">
        <f t="shared" si="7"/>
        <v>NODE_16</v>
      </c>
      <c r="B105">
        <f t="shared" si="8"/>
        <v>51</v>
      </c>
      <c r="C105" t="str">
        <f t="shared" si="9"/>
        <v>NODE_16_51_1</v>
      </c>
      <c r="D105">
        <v>1</v>
      </c>
      <c r="E105" t="str">
        <f>VLOOKUP(F105,[1]HeroData!$A$3:$B$118,2, FALSE)</f>
        <v>LiuBei</v>
      </c>
      <c r="F105" t="s">
        <v>5</v>
      </c>
      <c r="G105" s="3" t="s">
        <v>611</v>
      </c>
    </row>
    <row r="106" spans="1:7" ht="33" x14ac:dyDescent="0.3">
      <c r="A106" t="str">
        <f t="shared" si="7"/>
        <v>NODE_16</v>
      </c>
      <c r="B106">
        <f t="shared" si="8"/>
        <v>52</v>
      </c>
      <c r="C106" t="str">
        <f t="shared" si="9"/>
        <v>NODE_16_52_1</v>
      </c>
      <c r="D106">
        <v>1</v>
      </c>
      <c r="E106" t="str">
        <f>VLOOKUP(F106,[1]HeroData!$A$3:$B$118,2, FALSE)</f>
        <v>YuanShao</v>
      </c>
      <c r="F106" t="s">
        <v>600</v>
      </c>
      <c r="G106" s="3" t="s">
        <v>612</v>
      </c>
    </row>
    <row r="107" spans="1:7" ht="33" x14ac:dyDescent="0.3">
      <c r="A107" t="str">
        <f t="shared" si="7"/>
        <v>NODE_16</v>
      </c>
      <c r="B107">
        <f t="shared" si="8"/>
        <v>53</v>
      </c>
      <c r="C107" t="str">
        <f t="shared" si="9"/>
        <v>NODE_16_53_1</v>
      </c>
      <c r="D107">
        <v>1</v>
      </c>
      <c r="E107" t="str">
        <f>VLOOKUP(F107,[1]HeroData!$A$3:$B$118,2, FALSE)</f>
        <v>YuanShao</v>
      </c>
      <c r="F107" t="s">
        <v>600</v>
      </c>
      <c r="G107" s="3" t="s">
        <v>613</v>
      </c>
    </row>
    <row r="108" spans="1:7" x14ac:dyDescent="0.3">
      <c r="A108" t="str">
        <f t="shared" si="7"/>
        <v>NODE_16</v>
      </c>
      <c r="B108">
        <f t="shared" si="8"/>
        <v>54</v>
      </c>
      <c r="C108" t="str">
        <f t="shared" si="9"/>
        <v>NODE_16_54_1</v>
      </c>
      <c r="D108">
        <v>1</v>
      </c>
      <c r="E108" t="str">
        <f>VLOOKUP(F108,[1]HeroData!$A$3:$B$118,2, FALSE)</f>
        <v>LiuBei</v>
      </c>
      <c r="F108" t="s">
        <v>5</v>
      </c>
      <c r="G108" s="3" t="s">
        <v>614</v>
      </c>
    </row>
    <row r="109" spans="1:7" x14ac:dyDescent="0.3">
      <c r="A109" t="str">
        <f t="shared" si="7"/>
        <v>NODE_16</v>
      </c>
      <c r="B109">
        <f t="shared" si="8"/>
        <v>55</v>
      </c>
      <c r="C109" t="str">
        <f t="shared" si="9"/>
        <v>NODE_16_55_2</v>
      </c>
      <c r="D109">
        <v>2</v>
      </c>
      <c r="E109" t="str">
        <f>VLOOKUP(F109,[1]HeroData!$A$3:$B$118,2, FALSE)</f>
        <v>YuanShao</v>
      </c>
      <c r="F109" t="s">
        <v>600</v>
      </c>
      <c r="G109" s="3" t="s">
        <v>597</v>
      </c>
    </row>
    <row r="110" spans="1:7" x14ac:dyDescent="0.3">
      <c r="A110" t="str">
        <f t="shared" si="7"/>
        <v>NODE_16</v>
      </c>
      <c r="B110">
        <f t="shared" si="8"/>
        <v>56</v>
      </c>
      <c r="C110" t="str">
        <f t="shared" si="9"/>
        <v>NODE_16_56_2</v>
      </c>
      <c r="D110">
        <v>2</v>
      </c>
      <c r="E110" t="str">
        <f>VLOOKUP(F110,[1]HeroData!$A$3:$B$118,2, FALSE)</f>
        <v>LiuBei</v>
      </c>
      <c r="F110" t="s">
        <v>5</v>
      </c>
      <c r="G110" s="3" t="s">
        <v>615</v>
      </c>
    </row>
    <row r="111" spans="1:7" ht="33" x14ac:dyDescent="0.3">
      <c r="A111" t="str">
        <f t="shared" si="7"/>
        <v>NODE_16</v>
      </c>
      <c r="B111">
        <f t="shared" si="8"/>
        <v>57</v>
      </c>
      <c r="C111" t="str">
        <f t="shared" si="9"/>
        <v>NODE_16_57_2</v>
      </c>
      <c r="D111">
        <v>2</v>
      </c>
      <c r="E111" t="str">
        <f>VLOOKUP(F111,[1]HeroData!$A$3:$B$118,2, FALSE)</f>
        <v>YuanShao</v>
      </c>
      <c r="F111" t="s">
        <v>600</v>
      </c>
      <c r="G111" s="3" t="s">
        <v>822</v>
      </c>
    </row>
    <row r="112" spans="1:7" ht="33" x14ac:dyDescent="0.3">
      <c r="A112" t="str">
        <f t="shared" si="7"/>
        <v>NODE_16</v>
      </c>
      <c r="B112">
        <f t="shared" si="8"/>
        <v>58</v>
      </c>
      <c r="C112" t="str">
        <f t="shared" si="9"/>
        <v>NODE_16_58_2</v>
      </c>
      <c r="D112">
        <v>2</v>
      </c>
      <c r="E112" t="str">
        <f>VLOOKUP(F112,[1]HeroData!$A$3:$B$118,2, FALSE)</f>
        <v>LiuBei</v>
      </c>
      <c r="F112" t="s">
        <v>5</v>
      </c>
      <c r="G112" s="3" t="s">
        <v>616</v>
      </c>
    </row>
    <row r="113" spans="1:10" x14ac:dyDescent="0.3">
      <c r="A113" t="str">
        <f t="shared" si="7"/>
        <v>NODE_16</v>
      </c>
      <c r="B113">
        <f t="shared" si="8"/>
        <v>59</v>
      </c>
      <c r="C113" t="str">
        <f t="shared" si="9"/>
        <v>NODE_16_59_2</v>
      </c>
      <c r="D113">
        <v>2</v>
      </c>
      <c r="E113" t="str">
        <f>VLOOKUP(F113,[1]HeroData!$A$3:$B$118,2, FALSE)</f>
        <v>YuanShao</v>
      </c>
      <c r="F113" t="s">
        <v>600</v>
      </c>
      <c r="G113" s="3" t="s">
        <v>617</v>
      </c>
    </row>
    <row r="114" spans="1:10" ht="33" x14ac:dyDescent="0.3">
      <c r="A114" t="str">
        <f t="shared" si="7"/>
        <v>NODE_16</v>
      </c>
      <c r="B114">
        <f t="shared" si="8"/>
        <v>60</v>
      </c>
      <c r="C114" t="str">
        <f t="shared" si="9"/>
        <v>NODE_16_60_2</v>
      </c>
      <c r="D114">
        <v>2</v>
      </c>
      <c r="E114" t="str">
        <f>VLOOKUP(F114,[1]HeroData!$A$3:$B$118,2, FALSE)</f>
        <v>LiuBei</v>
      </c>
      <c r="F114" t="s">
        <v>5</v>
      </c>
      <c r="G114" s="3" t="s">
        <v>821</v>
      </c>
    </row>
    <row r="115" spans="1:10" ht="33" x14ac:dyDescent="0.3">
      <c r="A115" t="str">
        <f t="shared" si="7"/>
        <v>NODE_16</v>
      </c>
      <c r="B115">
        <f t="shared" si="8"/>
        <v>61</v>
      </c>
      <c r="C115" t="str">
        <f t="shared" si="9"/>
        <v>NODE_16_61_2</v>
      </c>
      <c r="D115">
        <v>2</v>
      </c>
      <c r="E115" t="str">
        <f>VLOOKUP(F115,[1]HeroData!$A$3:$B$118,2, FALSE)</f>
        <v>YuanShao</v>
      </c>
      <c r="F115" t="s">
        <v>600</v>
      </c>
      <c r="G115" s="3" t="s">
        <v>820</v>
      </c>
    </row>
    <row r="116" spans="1:10" ht="33" x14ac:dyDescent="0.3">
      <c r="A116" t="str">
        <f t="shared" ref="A116:A119" si="10">A115</f>
        <v>NODE_16</v>
      </c>
      <c r="B116">
        <f t="shared" ref="B116:B119" si="11">B115+1</f>
        <v>62</v>
      </c>
      <c r="C116" t="str">
        <f t="shared" si="9"/>
        <v>NODE_16_62_2</v>
      </c>
      <c r="D116">
        <v>2</v>
      </c>
      <c r="E116" t="str">
        <f>VLOOKUP(F116,[1]HeroData!$A$3:$B$118,2, FALSE)</f>
        <v>LiuBei</v>
      </c>
      <c r="F116" t="s">
        <v>5</v>
      </c>
      <c r="G116" s="3" t="s">
        <v>618</v>
      </c>
    </row>
    <row r="117" spans="1:10" ht="33" x14ac:dyDescent="0.3">
      <c r="A117" t="str">
        <f t="shared" si="10"/>
        <v>NODE_16</v>
      </c>
      <c r="B117">
        <f t="shared" si="11"/>
        <v>63</v>
      </c>
      <c r="C117" t="str">
        <f t="shared" si="9"/>
        <v>NODE_16_63_2</v>
      </c>
      <c r="D117">
        <v>2</v>
      </c>
      <c r="E117" t="str">
        <f>VLOOKUP(F117,[1]HeroData!$A$3:$B$118,2, FALSE)</f>
        <v>YuanShao</v>
      </c>
      <c r="F117" t="s">
        <v>600</v>
      </c>
      <c r="G117" s="3" t="s">
        <v>708</v>
      </c>
    </row>
    <row r="118" spans="1:10" x14ac:dyDescent="0.3">
      <c r="A118" t="str">
        <f t="shared" si="10"/>
        <v>NODE_16</v>
      </c>
      <c r="B118">
        <f t="shared" si="11"/>
        <v>64</v>
      </c>
      <c r="C118" t="str">
        <f t="shared" si="9"/>
        <v>NODE_16_64_2</v>
      </c>
      <c r="D118">
        <v>2</v>
      </c>
      <c r="E118" t="str">
        <f>VLOOKUP(F118,[1]HeroData!$A$3:$B$118,2, FALSE)</f>
        <v>LiuBei</v>
      </c>
      <c r="F118" t="s">
        <v>5</v>
      </c>
      <c r="G118" s="3" t="s">
        <v>705</v>
      </c>
    </row>
    <row r="119" spans="1:10" x14ac:dyDescent="0.3">
      <c r="A119" t="str">
        <f t="shared" si="10"/>
        <v>NODE_16</v>
      </c>
      <c r="B119">
        <f t="shared" si="11"/>
        <v>65</v>
      </c>
      <c r="C119" t="str">
        <f t="shared" si="9"/>
        <v>NODE_16_65_2</v>
      </c>
      <c r="D119">
        <v>2</v>
      </c>
      <c r="E119" t="str">
        <f>VLOOKUP(F119,[1]HeroData!$A$3:$B$118,2, FALSE)</f>
        <v>GuanYu</v>
      </c>
      <c r="F119" t="s">
        <v>7</v>
      </c>
      <c r="G119" s="3" t="s">
        <v>651</v>
      </c>
    </row>
    <row r="121" spans="1:10" x14ac:dyDescent="0.3">
      <c r="A121" t="s">
        <v>666</v>
      </c>
      <c r="B121">
        <v>0</v>
      </c>
      <c r="C121" t="str">
        <f t="shared" ref="C121:C123" si="12">CONCATENATE(A121, "_", B121, IF(D121&lt;&gt;"", "_"&amp;D121, ""))</f>
        <v>NODE_27_0</v>
      </c>
      <c r="E121" t="str">
        <f>VLOOKUP(F121,[1]HeroData!$A$3:$B$118,2, FALSE)</f>
        <v>GuanYu</v>
      </c>
      <c r="F121" t="s">
        <v>7</v>
      </c>
      <c r="G121" s="3" t="s">
        <v>706</v>
      </c>
    </row>
    <row r="122" spans="1:10" ht="33" x14ac:dyDescent="0.3">
      <c r="A122" t="s">
        <v>666</v>
      </c>
      <c r="B122">
        <f t="shared" ref="B122:B159" si="13">B121+1</f>
        <v>1</v>
      </c>
      <c r="C122" t="str">
        <f t="shared" si="12"/>
        <v>NODE_27_1</v>
      </c>
      <c r="E122" t="str">
        <f>VLOOKUP(F122,[1]HeroData!$A$3:$B$118,2, FALSE)</f>
        <v>ZhangLiao</v>
      </c>
      <c r="F122" t="s">
        <v>591</v>
      </c>
      <c r="G122" s="3" t="s">
        <v>718</v>
      </c>
    </row>
    <row r="123" spans="1:10" ht="33" x14ac:dyDescent="0.3">
      <c r="A123" t="s">
        <v>666</v>
      </c>
      <c r="B123">
        <f t="shared" si="13"/>
        <v>2</v>
      </c>
      <c r="C123" t="str">
        <f t="shared" si="12"/>
        <v>NODE_27_2</v>
      </c>
      <c r="E123" t="str">
        <f>VLOOKUP(F123,[1]HeroData!$A$3:$B$118,2, FALSE)</f>
        <v>GuanYu</v>
      </c>
      <c r="F123" t="s">
        <v>7</v>
      </c>
      <c r="G123" s="3" t="s">
        <v>703</v>
      </c>
    </row>
    <row r="124" spans="1:10" x14ac:dyDescent="0.3">
      <c r="A124" t="s">
        <v>666</v>
      </c>
      <c r="B124">
        <f t="shared" si="13"/>
        <v>3</v>
      </c>
      <c r="C124" t="str">
        <f t="shared" ref="C124:C125" si="14">CONCATENATE(A124, "_", B124, IF(D124&lt;&gt;"", "_"&amp;D124, ""))</f>
        <v>NODE_27_3</v>
      </c>
      <c r="E124" t="str">
        <f>VLOOKUP(F124,[1]HeroData!$A$3:$B$118,2, FALSE)</f>
        <v>GuanYu</v>
      </c>
      <c r="F124" t="s">
        <v>7</v>
      </c>
      <c r="G124" s="3" t="s">
        <v>715</v>
      </c>
    </row>
    <row r="125" spans="1:10" ht="33" x14ac:dyDescent="0.3">
      <c r="A125" t="s">
        <v>666</v>
      </c>
      <c r="B125">
        <f t="shared" si="13"/>
        <v>4</v>
      </c>
      <c r="C125" t="str">
        <f t="shared" si="14"/>
        <v>NODE_27_4</v>
      </c>
      <c r="E125" t="str">
        <f>VLOOKUP(F125,[1]HeroData!$A$3:$B$118,2, FALSE)</f>
        <v>GuanYu</v>
      </c>
      <c r="F125" t="s">
        <v>7</v>
      </c>
      <c r="G125" s="3" t="s">
        <v>716</v>
      </c>
      <c r="J125" s="3"/>
    </row>
    <row r="126" spans="1:10" x14ac:dyDescent="0.3">
      <c r="A126" t="s">
        <v>666</v>
      </c>
      <c r="B126">
        <f t="shared" si="13"/>
        <v>5</v>
      </c>
      <c r="C126" t="str">
        <f t="shared" ref="C126:C159" si="15">CONCATENATE(A126, "_", B126, IF(D126&lt;&gt;"", "_"&amp;D126, ""))</f>
        <v>NODE_27_5</v>
      </c>
      <c r="E126" t="str">
        <f>VLOOKUP(F126,[1]HeroData!$A$3:$B$118,2, FALSE)</f>
        <v>ZhangLiao</v>
      </c>
      <c r="F126" t="s">
        <v>591</v>
      </c>
      <c r="G126" s="3" t="s">
        <v>770</v>
      </c>
    </row>
    <row r="127" spans="1:10" x14ac:dyDescent="0.3">
      <c r="A127" t="s">
        <v>666</v>
      </c>
      <c r="B127">
        <f t="shared" si="13"/>
        <v>6</v>
      </c>
      <c r="C127" t="str">
        <f t="shared" si="15"/>
        <v>NODE_27_6</v>
      </c>
      <c r="E127" t="str">
        <f>VLOOKUP(F127,[1]HeroData!$A$3:$B$118,2, FALSE)</f>
        <v>CaoCao</v>
      </c>
      <c r="F127" t="s">
        <v>51</v>
      </c>
      <c r="G127" s="3" t="s">
        <v>654</v>
      </c>
    </row>
    <row r="128" spans="1:10" x14ac:dyDescent="0.3">
      <c r="A128" t="s">
        <v>666</v>
      </c>
      <c r="B128">
        <f t="shared" si="13"/>
        <v>7</v>
      </c>
      <c r="C128" t="str">
        <f t="shared" si="15"/>
        <v>NODE_27_7</v>
      </c>
      <c r="E128" t="str">
        <f>VLOOKUP(F128,[1]HeroData!$A$3:$B$118,2, FALSE)</f>
        <v>CaoCao</v>
      </c>
      <c r="F128" t="s">
        <v>51</v>
      </c>
      <c r="G128" s="3" t="s">
        <v>655</v>
      </c>
    </row>
    <row r="129" spans="1:7" ht="33" x14ac:dyDescent="0.3">
      <c r="A129" t="s">
        <v>666</v>
      </c>
      <c r="B129">
        <f t="shared" si="13"/>
        <v>8</v>
      </c>
      <c r="C129" t="str">
        <f t="shared" si="15"/>
        <v>NODE_27_8</v>
      </c>
      <c r="E129" t="str">
        <f>VLOOKUP(F129,[1]HeroData!$A$3:$B$118,2, FALSE)</f>
        <v>GuanYu</v>
      </c>
      <c r="F129" t="s">
        <v>7</v>
      </c>
      <c r="G129" s="3" t="s">
        <v>721</v>
      </c>
    </row>
    <row r="130" spans="1:7" x14ac:dyDescent="0.3">
      <c r="A130" t="s">
        <v>666</v>
      </c>
      <c r="B130">
        <f t="shared" si="13"/>
        <v>9</v>
      </c>
      <c r="C130" t="str">
        <f t="shared" si="15"/>
        <v>NODE_27_9</v>
      </c>
      <c r="E130" t="str">
        <f>VLOOKUP(F130,[1]HeroData!$A$3:$B$118,2, FALSE)</f>
        <v>GuanYu</v>
      </c>
      <c r="F130" t="s">
        <v>7</v>
      </c>
      <c r="G130" s="3" t="s">
        <v>710</v>
      </c>
    </row>
    <row r="131" spans="1:7" x14ac:dyDescent="0.3">
      <c r="A131" t="s">
        <v>666</v>
      </c>
      <c r="B131">
        <f t="shared" si="13"/>
        <v>10</v>
      </c>
      <c r="C131" t="str">
        <f t="shared" si="15"/>
        <v>NODE_27_10</v>
      </c>
      <c r="E131" t="str">
        <f>VLOOKUP(F131,[1]HeroData!$A$3:$B$118,2, FALSE)</f>
        <v>CaoCao</v>
      </c>
      <c r="F131" t="s">
        <v>51</v>
      </c>
      <c r="G131" s="3" t="s">
        <v>656</v>
      </c>
    </row>
    <row r="132" spans="1:7" ht="33" x14ac:dyDescent="0.3">
      <c r="A132" t="s">
        <v>666</v>
      </c>
      <c r="B132">
        <f t="shared" si="13"/>
        <v>11</v>
      </c>
      <c r="C132" t="str">
        <f t="shared" si="15"/>
        <v>NODE_27_11</v>
      </c>
      <c r="E132" t="str">
        <f>VLOOKUP(F132,[1]HeroData!$A$3:$B$118,2, FALSE)</f>
        <v>GuanYu</v>
      </c>
      <c r="F132" t="s">
        <v>7</v>
      </c>
      <c r="G132" s="3" t="s">
        <v>725</v>
      </c>
    </row>
    <row r="133" spans="1:7" ht="33" x14ac:dyDescent="0.3">
      <c r="A133" t="s">
        <v>666</v>
      </c>
      <c r="B133">
        <f t="shared" si="13"/>
        <v>12</v>
      </c>
      <c r="C133" t="str">
        <f t="shared" si="15"/>
        <v>NODE_27_12</v>
      </c>
      <c r="E133" t="str">
        <f>VLOOKUP(F133,[1]HeroData!$A$3:$B$118,2, FALSE)</f>
        <v>CaoCao</v>
      </c>
      <c r="F133" t="s">
        <v>51</v>
      </c>
      <c r="G133" s="3" t="s">
        <v>730</v>
      </c>
    </row>
    <row r="134" spans="1:7" ht="33" x14ac:dyDescent="0.3">
      <c r="A134" t="s">
        <v>666</v>
      </c>
      <c r="B134">
        <f t="shared" si="13"/>
        <v>13</v>
      </c>
      <c r="C134" t="str">
        <f t="shared" si="15"/>
        <v>NODE_27_13</v>
      </c>
      <c r="E134" t="str">
        <f>VLOOKUP(F134,[1]HeroData!$A$3:$B$118,2, FALSE)</f>
        <v>GuanYu</v>
      </c>
      <c r="F134" t="s">
        <v>7</v>
      </c>
      <c r="G134" s="3" t="s">
        <v>726</v>
      </c>
    </row>
    <row r="135" spans="1:7" x14ac:dyDescent="0.3">
      <c r="A135" t="s">
        <v>666</v>
      </c>
      <c r="B135">
        <f t="shared" si="13"/>
        <v>14</v>
      </c>
      <c r="C135" t="str">
        <f t="shared" si="15"/>
        <v>NODE_27_14</v>
      </c>
      <c r="E135" t="str">
        <f>VLOOKUP(F135,[1]HeroData!$A$3:$B$118,2, FALSE)</f>
        <v>CaoCao</v>
      </c>
      <c r="F135" t="s">
        <v>51</v>
      </c>
      <c r="G135" s="3" t="s">
        <v>658</v>
      </c>
    </row>
    <row r="136" spans="1:7" x14ac:dyDescent="0.3">
      <c r="A136" t="s">
        <v>666</v>
      </c>
      <c r="B136">
        <f t="shared" si="13"/>
        <v>15</v>
      </c>
      <c r="C136" t="str">
        <f t="shared" si="15"/>
        <v>NODE_27_15</v>
      </c>
      <c r="E136" t="str">
        <f>VLOOKUP(F136,[1]HeroData!$A$3:$B$118,2, FALSE)</f>
        <v>XunYu</v>
      </c>
      <c r="F136" t="s">
        <v>657</v>
      </c>
      <c r="G136" s="3" t="s">
        <v>771</v>
      </c>
    </row>
    <row r="137" spans="1:7" ht="33" x14ac:dyDescent="0.3">
      <c r="A137" t="s">
        <v>666</v>
      </c>
      <c r="B137">
        <f t="shared" si="13"/>
        <v>16</v>
      </c>
      <c r="C137" t="str">
        <f t="shared" si="15"/>
        <v>NODE_27_16</v>
      </c>
      <c r="E137" t="str">
        <f>VLOOKUP(F137,[1]HeroData!$A$3:$B$118,2, FALSE)</f>
        <v>XunYu</v>
      </c>
      <c r="F137" t="s">
        <v>657</v>
      </c>
      <c r="G137" s="3" t="s">
        <v>707</v>
      </c>
    </row>
    <row r="138" spans="1:7" x14ac:dyDescent="0.3">
      <c r="A138" t="s">
        <v>666</v>
      </c>
      <c r="B138">
        <f t="shared" si="13"/>
        <v>17</v>
      </c>
      <c r="C138" t="str">
        <f t="shared" si="15"/>
        <v>NODE_27_17</v>
      </c>
      <c r="E138" t="str">
        <f>VLOOKUP(F138,[1]HeroData!$A$3:$B$118,2, FALSE)</f>
        <v>CaoCao</v>
      </c>
      <c r="F138" t="s">
        <v>51</v>
      </c>
      <c r="G138" s="3" t="s">
        <v>711</v>
      </c>
    </row>
    <row r="139" spans="1:7" ht="49.5" x14ac:dyDescent="0.3">
      <c r="A139" t="s">
        <v>666</v>
      </c>
      <c r="B139">
        <f t="shared" si="13"/>
        <v>18</v>
      </c>
      <c r="C139" t="str">
        <f t="shared" si="15"/>
        <v>NODE_27_18</v>
      </c>
      <c r="E139" t="str">
        <f>VLOOKUP(F139,[1]HeroData!$A$3:$B$118,2, FALSE)</f>
        <v>XunYu</v>
      </c>
      <c r="F139" t="s">
        <v>657</v>
      </c>
      <c r="G139" s="3" t="s">
        <v>727</v>
      </c>
    </row>
    <row r="140" spans="1:7" x14ac:dyDescent="0.3">
      <c r="A140" t="s">
        <v>666</v>
      </c>
      <c r="B140">
        <f t="shared" si="13"/>
        <v>19</v>
      </c>
      <c r="C140" t="str">
        <f t="shared" si="15"/>
        <v>NODE_27_19</v>
      </c>
      <c r="E140" t="str">
        <f>VLOOKUP(F140,[1]HeroData!$A$3:$B$118,2, FALSE)</f>
        <v>XunYu</v>
      </c>
      <c r="F140" t="s">
        <v>657</v>
      </c>
      <c r="G140" s="3" t="s">
        <v>659</v>
      </c>
    </row>
    <row r="141" spans="1:7" x14ac:dyDescent="0.3">
      <c r="A141" t="s">
        <v>666</v>
      </c>
      <c r="B141">
        <f t="shared" si="13"/>
        <v>20</v>
      </c>
      <c r="C141" t="str">
        <f t="shared" si="15"/>
        <v>NODE_27_20</v>
      </c>
      <c r="E141" t="str">
        <f>VLOOKUP(F141,[1]HeroData!$A$3:$B$118,2, FALSE)</f>
        <v>CaoCao</v>
      </c>
      <c r="F141" t="s">
        <v>51</v>
      </c>
      <c r="G141" s="3" t="s">
        <v>679</v>
      </c>
    </row>
    <row r="142" spans="1:7" x14ac:dyDescent="0.3">
      <c r="A142" t="s">
        <v>666</v>
      </c>
      <c r="B142">
        <f t="shared" si="13"/>
        <v>21</v>
      </c>
      <c r="C142" t="str">
        <f t="shared" si="15"/>
        <v>NODE_27_21</v>
      </c>
      <c r="E142" t="str">
        <f>VLOOKUP(F142,[1]HeroData!$A$3:$B$118,2, FALSE)</f>
        <v>XunYu</v>
      </c>
      <c r="F142" t="s">
        <v>657</v>
      </c>
      <c r="G142" s="3" t="s">
        <v>712</v>
      </c>
    </row>
    <row r="143" spans="1:7" ht="33" x14ac:dyDescent="0.3">
      <c r="A143" t="s">
        <v>666</v>
      </c>
      <c r="B143">
        <f t="shared" si="13"/>
        <v>22</v>
      </c>
      <c r="C143" t="str">
        <f t="shared" si="15"/>
        <v>NODE_27_22</v>
      </c>
      <c r="E143" t="str">
        <f>VLOOKUP(F143,[1]HeroData!$A$3:$B$118,2, FALSE)</f>
        <v>CaoCao</v>
      </c>
      <c r="F143" t="s">
        <v>51</v>
      </c>
      <c r="G143" s="3" t="s">
        <v>661</v>
      </c>
    </row>
    <row r="144" spans="1:7" x14ac:dyDescent="0.3">
      <c r="A144" t="s">
        <v>666</v>
      </c>
      <c r="B144">
        <f t="shared" si="13"/>
        <v>23</v>
      </c>
      <c r="C144" t="str">
        <f t="shared" si="15"/>
        <v>NODE_27_23</v>
      </c>
      <c r="E144" t="str">
        <f>VLOOKUP(F144,[1]HeroData!$A$3:$B$118,2, FALSE)</f>
        <v>GuanYu</v>
      </c>
      <c r="F144" t="s">
        <v>7</v>
      </c>
      <c r="G144" s="3" t="s">
        <v>597</v>
      </c>
    </row>
    <row r="145" spans="1:7" ht="33" x14ac:dyDescent="0.3">
      <c r="A145" t="s">
        <v>666</v>
      </c>
      <c r="B145">
        <f t="shared" si="13"/>
        <v>24</v>
      </c>
      <c r="C145" t="str">
        <f t="shared" si="15"/>
        <v>NODE_27_24</v>
      </c>
      <c r="E145" t="str">
        <f>VLOOKUP(F145,[1]HeroData!$A$3:$B$118,2, FALSE)</f>
        <v>CaoCao</v>
      </c>
      <c r="F145" t="s">
        <v>51</v>
      </c>
      <c r="G145" s="3" t="s">
        <v>660</v>
      </c>
    </row>
    <row r="146" spans="1:7" ht="33" x14ac:dyDescent="0.3">
      <c r="A146" t="s">
        <v>666</v>
      </c>
      <c r="B146">
        <f t="shared" si="13"/>
        <v>25</v>
      </c>
      <c r="C146" t="str">
        <f t="shared" si="15"/>
        <v>NODE_27_25</v>
      </c>
      <c r="E146" t="str">
        <f>VLOOKUP(F146,[1]HeroData!$A$3:$B$118,2, FALSE)</f>
        <v>GuanYu</v>
      </c>
      <c r="F146" t="s">
        <v>7</v>
      </c>
      <c r="G146" s="3" t="s">
        <v>728</v>
      </c>
    </row>
    <row r="147" spans="1:7" x14ac:dyDescent="0.3">
      <c r="A147" t="s">
        <v>666</v>
      </c>
      <c r="B147">
        <f t="shared" si="13"/>
        <v>26</v>
      </c>
      <c r="C147" t="str">
        <f t="shared" si="15"/>
        <v>NODE_27_26</v>
      </c>
      <c r="E147" t="str">
        <f>VLOOKUP(F147,[1]HeroData!$A$3:$B$118,2, FALSE)</f>
        <v>CaoCao</v>
      </c>
      <c r="F147" t="s">
        <v>51</v>
      </c>
      <c r="G147" s="3" t="s">
        <v>717</v>
      </c>
    </row>
    <row r="148" spans="1:7" ht="33" x14ac:dyDescent="0.3">
      <c r="A148" t="s">
        <v>666</v>
      </c>
      <c r="B148">
        <f t="shared" si="13"/>
        <v>27</v>
      </c>
      <c r="C148" t="str">
        <f t="shared" si="15"/>
        <v>NODE_27_27</v>
      </c>
      <c r="E148" t="str">
        <f>VLOOKUP(F148,[1]HeroData!$A$3:$B$118,2, FALSE)</f>
        <v>GuanYu</v>
      </c>
      <c r="F148" t="s">
        <v>7</v>
      </c>
      <c r="G148" s="3" t="s">
        <v>664</v>
      </c>
    </row>
    <row r="149" spans="1:7" ht="33" x14ac:dyDescent="0.3">
      <c r="A149" t="s">
        <v>666</v>
      </c>
      <c r="B149">
        <f t="shared" si="13"/>
        <v>28</v>
      </c>
      <c r="C149" t="str">
        <f t="shared" si="15"/>
        <v>NODE_27_28</v>
      </c>
      <c r="E149" t="str">
        <f>VLOOKUP(F149,[1]HeroData!$A$3:$B$118,2, FALSE)</f>
        <v>GuanYu</v>
      </c>
      <c r="F149" t="s">
        <v>7</v>
      </c>
      <c r="G149" s="3" t="s">
        <v>665</v>
      </c>
    </row>
    <row r="150" spans="1:7" ht="33" x14ac:dyDescent="0.3">
      <c r="A150" t="s">
        <v>666</v>
      </c>
      <c r="B150">
        <f t="shared" si="13"/>
        <v>29</v>
      </c>
      <c r="C150" t="str">
        <f t="shared" si="15"/>
        <v>NODE_27_29</v>
      </c>
      <c r="E150" t="str">
        <f>VLOOKUP(F150,[1]HeroData!$A$3:$B$118,2, FALSE)</f>
        <v>CaoCao</v>
      </c>
      <c r="F150" t="s">
        <v>51</v>
      </c>
      <c r="G150" s="3" t="s">
        <v>731</v>
      </c>
    </row>
    <row r="151" spans="1:7" ht="33" x14ac:dyDescent="0.3">
      <c r="A151" t="s">
        <v>666</v>
      </c>
      <c r="B151">
        <f t="shared" si="13"/>
        <v>30</v>
      </c>
      <c r="C151" t="str">
        <f t="shared" si="15"/>
        <v>NODE_27_30</v>
      </c>
      <c r="E151" t="str">
        <f>VLOOKUP(F151,[1]HeroData!$A$3:$B$118,2, FALSE)</f>
        <v>CaoCao</v>
      </c>
      <c r="F151" t="s">
        <v>51</v>
      </c>
      <c r="G151" s="3" t="s">
        <v>732</v>
      </c>
    </row>
    <row r="152" spans="1:7" x14ac:dyDescent="0.3">
      <c r="A152" t="s">
        <v>666</v>
      </c>
      <c r="B152">
        <f t="shared" si="13"/>
        <v>31</v>
      </c>
      <c r="C152" t="str">
        <f t="shared" si="15"/>
        <v>NODE_27_31</v>
      </c>
      <c r="E152" t="str">
        <f>VLOOKUP(F152,[1]HeroData!$A$3:$B$118,2, FALSE)</f>
        <v>XunYu</v>
      </c>
      <c r="F152" t="s">
        <v>657</v>
      </c>
      <c r="G152" s="3" t="s">
        <v>713</v>
      </c>
    </row>
    <row r="153" spans="1:7" x14ac:dyDescent="0.3">
      <c r="A153" t="s">
        <v>666</v>
      </c>
      <c r="B153">
        <f t="shared" si="13"/>
        <v>32</v>
      </c>
      <c r="C153" t="str">
        <f t="shared" si="15"/>
        <v>NODE_27_32</v>
      </c>
      <c r="E153" t="str">
        <f>VLOOKUP(F153,[1]HeroData!$A$3:$B$118,2, FALSE)</f>
        <v>ZhangLiao</v>
      </c>
      <c r="F153" t="s">
        <v>591</v>
      </c>
      <c r="G153" s="3" t="s">
        <v>729</v>
      </c>
    </row>
    <row r="154" spans="1:7" x14ac:dyDescent="0.3">
      <c r="A154" t="s">
        <v>666</v>
      </c>
      <c r="B154">
        <f t="shared" si="13"/>
        <v>33</v>
      </c>
      <c r="C154" t="str">
        <f t="shared" si="15"/>
        <v>NODE_27_33</v>
      </c>
      <c r="E154" t="str">
        <f>VLOOKUP(F154,[1]HeroData!$A$3:$B$118,2, FALSE)</f>
        <v>GuanYu</v>
      </c>
      <c r="F154" t="s">
        <v>7</v>
      </c>
      <c r="G154" s="3" t="s">
        <v>597</v>
      </c>
    </row>
    <row r="155" spans="1:7" ht="33" x14ac:dyDescent="0.3">
      <c r="A155" t="s">
        <v>666</v>
      </c>
      <c r="B155">
        <f t="shared" si="13"/>
        <v>34</v>
      </c>
      <c r="C155" t="str">
        <f t="shared" si="15"/>
        <v>NODE_27_34</v>
      </c>
      <c r="E155" t="str">
        <f>VLOOKUP(F155,[1]HeroData!$A$3:$B$118,2, FALSE)</f>
        <v>GuanYu</v>
      </c>
      <c r="F155" t="s">
        <v>7</v>
      </c>
      <c r="G155" s="3" t="s">
        <v>719</v>
      </c>
    </row>
    <row r="156" spans="1:7" x14ac:dyDescent="0.3">
      <c r="A156" t="s">
        <v>666</v>
      </c>
      <c r="B156">
        <f t="shared" si="13"/>
        <v>35</v>
      </c>
      <c r="C156" t="str">
        <f t="shared" si="15"/>
        <v>NODE_27_35</v>
      </c>
      <c r="E156" t="str">
        <f>VLOOKUP(F156,[1]HeroData!$A$3:$B$118,2, FALSE)</f>
        <v>CaoCao</v>
      </c>
      <c r="F156" t="s">
        <v>51</v>
      </c>
      <c r="G156" s="3" t="s">
        <v>667</v>
      </c>
    </row>
    <row r="157" spans="1:7" ht="33" x14ac:dyDescent="0.3">
      <c r="A157" t="s">
        <v>666</v>
      </c>
      <c r="B157">
        <f t="shared" si="13"/>
        <v>36</v>
      </c>
      <c r="C157" t="str">
        <f t="shared" si="15"/>
        <v>NODE_27_36</v>
      </c>
      <c r="E157" t="str">
        <f>VLOOKUP(F157,[1]HeroData!$A$3:$B$118,2, FALSE)</f>
        <v>GuanYu</v>
      </c>
      <c r="F157" t="s">
        <v>7</v>
      </c>
      <c r="G157" s="3" t="s">
        <v>714</v>
      </c>
    </row>
    <row r="158" spans="1:7" x14ac:dyDescent="0.3">
      <c r="A158" t="s">
        <v>666</v>
      </c>
      <c r="B158">
        <f t="shared" si="13"/>
        <v>37</v>
      </c>
      <c r="C158" t="str">
        <f t="shared" si="15"/>
        <v>NODE_27_37</v>
      </c>
      <c r="E158" t="str">
        <f>VLOOKUP(F158,[1]HeroData!$A$3:$B$118,2, FALSE)</f>
        <v>ZhangLiao</v>
      </c>
      <c r="F158" t="s">
        <v>591</v>
      </c>
      <c r="G158" s="3" t="s">
        <v>668</v>
      </c>
    </row>
    <row r="159" spans="1:7" x14ac:dyDescent="0.3">
      <c r="A159" t="s">
        <v>666</v>
      </c>
      <c r="B159">
        <f t="shared" si="13"/>
        <v>38</v>
      </c>
      <c r="C159" t="str">
        <f t="shared" si="15"/>
        <v>NODE_27_38</v>
      </c>
      <c r="E159" t="str">
        <f>VLOOKUP(F159,[1]HeroData!$A$3:$B$118,2, FALSE)</f>
        <v>CaoCao</v>
      </c>
      <c r="F159" t="s">
        <v>51</v>
      </c>
      <c r="G159" s="3" t="s">
        <v>669</v>
      </c>
    </row>
    <row r="161" spans="1:7" x14ac:dyDescent="0.3">
      <c r="A161" t="s">
        <v>676</v>
      </c>
      <c r="B161">
        <v>0</v>
      </c>
      <c r="C161" t="str">
        <f>CONCATENATE(A161, "_", B161, IF(D161&lt;&gt;"", "_"&amp;D161, ""))</f>
        <v>NODE_28_0</v>
      </c>
      <c r="E161" t="str">
        <f>VLOOKUP(F161,[1]HeroData!$A$3:$B$118,2, FALSE)</f>
        <v>ZhangLiao</v>
      </c>
      <c r="F161" t="s">
        <v>591</v>
      </c>
      <c r="G161" s="3" t="s">
        <v>772</v>
      </c>
    </row>
    <row r="162" spans="1:7" ht="33" x14ac:dyDescent="0.3">
      <c r="A162" t="str">
        <f>A161</f>
        <v>NODE_28</v>
      </c>
      <c r="B162">
        <f t="shared" ref="B162:B199" si="16">B161+1</f>
        <v>1</v>
      </c>
      <c r="C162" t="str">
        <f>CONCATENATE(A162, "_", B162, IF(D162&lt;&gt;"", "_"&amp;D162, ""))</f>
        <v>NODE_28_1</v>
      </c>
      <c r="E162" t="str">
        <f>VLOOKUP(F162,[1]HeroData!$A$3:$B$118,2, FALSE)</f>
        <v>ZhangLiao</v>
      </c>
      <c r="F162" t="s">
        <v>591</v>
      </c>
      <c r="G162" s="3" t="s">
        <v>670</v>
      </c>
    </row>
    <row r="163" spans="1:7" ht="33" x14ac:dyDescent="0.3">
      <c r="A163" t="str">
        <f t="shared" ref="A163:A199" si="17">A162</f>
        <v>NODE_28</v>
      </c>
      <c r="B163">
        <f t="shared" si="16"/>
        <v>2</v>
      </c>
      <c r="C163" t="str">
        <f t="shared" ref="C163:C169" si="18">CONCATENATE(A163, "_", B163, IF(D163&lt;&gt;"", "_"&amp;D163, ""))</f>
        <v>NODE_28_2</v>
      </c>
      <c r="E163" t="str">
        <f>VLOOKUP(F163,[1]HeroData!$A$3:$B$118,2, FALSE)</f>
        <v>GuanYu</v>
      </c>
      <c r="F163" t="s">
        <v>7</v>
      </c>
      <c r="G163" s="3" t="s">
        <v>671</v>
      </c>
    </row>
    <row r="164" spans="1:7" ht="33" x14ac:dyDescent="0.3">
      <c r="A164" t="str">
        <f t="shared" si="17"/>
        <v>NODE_28</v>
      </c>
      <c r="B164">
        <f t="shared" si="16"/>
        <v>3</v>
      </c>
      <c r="C164" t="str">
        <f t="shared" si="18"/>
        <v>NODE_28_3</v>
      </c>
      <c r="E164" t="str">
        <f>VLOOKUP(F164,[1]HeroData!$A$3:$B$118,2, FALSE)</f>
        <v>XiahouDun</v>
      </c>
      <c r="F164" t="s">
        <v>406</v>
      </c>
      <c r="G164" s="3" t="s">
        <v>794</v>
      </c>
    </row>
    <row r="165" spans="1:7" x14ac:dyDescent="0.3">
      <c r="A165" t="str">
        <f t="shared" si="17"/>
        <v>NODE_28</v>
      </c>
      <c r="B165">
        <f t="shared" si="16"/>
        <v>4</v>
      </c>
      <c r="C165" t="str">
        <f t="shared" si="18"/>
        <v>NODE_28_4</v>
      </c>
      <c r="E165" t="str">
        <f>VLOOKUP(F165,[1]HeroData!$A$3:$B$118,2, FALSE)</f>
        <v>GuanYu</v>
      </c>
      <c r="F165" t="s">
        <v>7</v>
      </c>
      <c r="G165" s="3" t="s">
        <v>597</v>
      </c>
    </row>
    <row r="166" spans="1:7" x14ac:dyDescent="0.3">
      <c r="A166" t="str">
        <f t="shared" si="17"/>
        <v>NODE_28</v>
      </c>
      <c r="B166">
        <f t="shared" si="16"/>
        <v>5</v>
      </c>
      <c r="C166" t="str">
        <f t="shared" si="18"/>
        <v>NODE_28_5</v>
      </c>
      <c r="E166" t="str">
        <f>VLOOKUP(F166,[1]HeroData!$A$3:$B$118,2, FALSE)</f>
        <v>XiahouDun</v>
      </c>
      <c r="F166" t="s">
        <v>406</v>
      </c>
      <c r="G166" s="3" t="s">
        <v>672</v>
      </c>
    </row>
    <row r="167" spans="1:7" x14ac:dyDescent="0.3">
      <c r="A167" t="str">
        <f t="shared" si="17"/>
        <v>NODE_28</v>
      </c>
      <c r="B167">
        <f t="shared" si="16"/>
        <v>6</v>
      </c>
      <c r="C167" t="str">
        <f t="shared" si="18"/>
        <v>NODE_28_6</v>
      </c>
      <c r="E167" t="str">
        <f>VLOOKUP(F167,[1]HeroData!$A$3:$B$118,2, FALSE)</f>
        <v>XiahouDun</v>
      </c>
      <c r="F167" t="s">
        <v>406</v>
      </c>
      <c r="G167" s="3" t="s">
        <v>735</v>
      </c>
    </row>
    <row r="168" spans="1:7" ht="33" x14ac:dyDescent="0.3">
      <c r="A168" t="str">
        <f t="shared" si="17"/>
        <v>NODE_28</v>
      </c>
      <c r="B168">
        <f t="shared" si="16"/>
        <v>7</v>
      </c>
      <c r="C168" t="str">
        <f t="shared" si="18"/>
        <v>NODE_28_7</v>
      </c>
      <c r="E168" t="str">
        <f>VLOOKUP(F168,[1]HeroData!$A$3:$B$118,2, FALSE)</f>
        <v>XiahouYuan</v>
      </c>
      <c r="F168" t="s">
        <v>407</v>
      </c>
      <c r="G168" s="3" t="s">
        <v>733</v>
      </c>
    </row>
    <row r="169" spans="1:7" ht="33" x14ac:dyDescent="0.3">
      <c r="A169" t="str">
        <f t="shared" si="17"/>
        <v>NODE_28</v>
      </c>
      <c r="B169">
        <f t="shared" si="16"/>
        <v>8</v>
      </c>
      <c r="C169" t="str">
        <f t="shared" si="18"/>
        <v>NODE_28_8</v>
      </c>
      <c r="E169" t="str">
        <f>VLOOKUP(F169,[1]HeroData!$A$3:$B$118,2, FALSE)</f>
        <v>GuanYu</v>
      </c>
      <c r="F169" t="s">
        <v>7</v>
      </c>
      <c r="G169" s="3" t="s">
        <v>677</v>
      </c>
    </row>
    <row r="170" spans="1:7" x14ac:dyDescent="0.3">
      <c r="A170" t="str">
        <f t="shared" si="17"/>
        <v>NODE_28</v>
      </c>
      <c r="B170">
        <f t="shared" si="16"/>
        <v>9</v>
      </c>
      <c r="C170" t="str">
        <f t="shared" ref="C170:C193" si="19">CONCATENATE(A170, "_", B170, IF(D170&lt;&gt;"", "_"&amp;D170, ""))</f>
        <v>NODE_28_9</v>
      </c>
      <c r="E170" t="str">
        <f>VLOOKUP(F170,[1]HeroData!$A$3:$B$118,2, FALSE)</f>
        <v>ZhangLiao</v>
      </c>
      <c r="F170" t="s">
        <v>591</v>
      </c>
      <c r="G170" s="3" t="s">
        <v>713</v>
      </c>
    </row>
    <row r="171" spans="1:7" x14ac:dyDescent="0.3">
      <c r="A171" t="str">
        <f t="shared" si="17"/>
        <v>NODE_28</v>
      </c>
      <c r="B171">
        <f t="shared" si="16"/>
        <v>10</v>
      </c>
      <c r="C171" t="str">
        <f t="shared" si="19"/>
        <v>NODE_28_10</v>
      </c>
      <c r="E171" t="str">
        <f>VLOOKUP(F171,[1]HeroData!$A$3:$B$118,2, FALSE)</f>
        <v>XiahouDun</v>
      </c>
      <c r="F171" t="s">
        <v>406</v>
      </c>
      <c r="G171" s="3" t="s">
        <v>597</v>
      </c>
    </row>
    <row r="172" spans="1:7" x14ac:dyDescent="0.3">
      <c r="A172" t="str">
        <f t="shared" si="17"/>
        <v>NODE_28</v>
      </c>
      <c r="B172">
        <f t="shared" si="16"/>
        <v>11</v>
      </c>
      <c r="C172" t="str">
        <f t="shared" si="19"/>
        <v>NODE_28_11</v>
      </c>
    </row>
    <row r="173" spans="1:7" x14ac:dyDescent="0.3">
      <c r="A173" t="str">
        <f t="shared" si="17"/>
        <v>NODE_28</v>
      </c>
      <c r="B173">
        <f t="shared" si="16"/>
        <v>12</v>
      </c>
      <c r="C173" t="str">
        <f t="shared" si="19"/>
        <v>NODE_28_12</v>
      </c>
      <c r="E173" t="s">
        <v>736</v>
      </c>
      <c r="F173" t="s">
        <v>736</v>
      </c>
      <c r="G173" s="3" t="s">
        <v>744</v>
      </c>
    </row>
    <row r="174" spans="1:7" x14ac:dyDescent="0.3">
      <c r="A174" t="str">
        <f t="shared" si="17"/>
        <v>NODE_28</v>
      </c>
      <c r="B174">
        <f t="shared" si="16"/>
        <v>13</v>
      </c>
      <c r="C174" t="str">
        <f t="shared" si="19"/>
        <v>NODE_28_13</v>
      </c>
      <c r="E174" t="s">
        <v>736</v>
      </c>
      <c r="F174" t="s">
        <v>736</v>
      </c>
      <c r="G174" s="3" t="s">
        <v>745</v>
      </c>
    </row>
    <row r="175" spans="1:7" x14ac:dyDescent="0.3">
      <c r="A175" t="str">
        <f t="shared" si="17"/>
        <v>NODE_28</v>
      </c>
      <c r="B175">
        <f t="shared" si="16"/>
        <v>14</v>
      </c>
      <c r="C175" t="str">
        <f t="shared" si="19"/>
        <v>NODE_28_14</v>
      </c>
      <c r="E175" t="s">
        <v>736</v>
      </c>
      <c r="F175" t="s">
        <v>736</v>
      </c>
      <c r="G175" s="3" t="s">
        <v>747</v>
      </c>
    </row>
    <row r="176" spans="1:7" x14ac:dyDescent="0.3">
      <c r="A176" t="str">
        <f t="shared" si="17"/>
        <v>NODE_28</v>
      </c>
      <c r="B176">
        <f t="shared" si="16"/>
        <v>15</v>
      </c>
      <c r="C176" t="str">
        <f t="shared" si="19"/>
        <v>NODE_28_15</v>
      </c>
      <c r="E176" t="str">
        <f>VLOOKUP(F176,[1]HeroData!$A$3:$B$118,2, FALSE)</f>
        <v>GuanYu</v>
      </c>
      <c r="F176" t="s">
        <v>7</v>
      </c>
      <c r="G176" s="3" t="s">
        <v>746</v>
      </c>
    </row>
    <row r="177" spans="1:7" ht="33" x14ac:dyDescent="0.3">
      <c r="A177" t="str">
        <f t="shared" si="17"/>
        <v>NODE_28</v>
      </c>
      <c r="B177">
        <f t="shared" si="16"/>
        <v>16</v>
      </c>
      <c r="C177" t="str">
        <f t="shared" si="19"/>
        <v>NODE_28_16</v>
      </c>
      <c r="E177" t="str">
        <f>VLOOKUP(F177,[1]HeroData!$A$3:$B$118,2, FALSE)</f>
        <v>ZhangLiao</v>
      </c>
      <c r="F177" t="s">
        <v>591</v>
      </c>
      <c r="G177" s="3" t="s">
        <v>740</v>
      </c>
    </row>
    <row r="178" spans="1:7" x14ac:dyDescent="0.3">
      <c r="A178" t="str">
        <f t="shared" si="17"/>
        <v>NODE_28</v>
      </c>
      <c r="B178">
        <f t="shared" si="16"/>
        <v>17</v>
      </c>
      <c r="C178" t="str">
        <f t="shared" si="19"/>
        <v>NODE_28_17</v>
      </c>
      <c r="E178" t="str">
        <f>VLOOKUP(F178,[1]HeroData!$A$3:$B$118,2, FALSE)</f>
        <v>GuanYu</v>
      </c>
      <c r="F178" t="s">
        <v>7</v>
      </c>
      <c r="G178" s="3" t="s">
        <v>594</v>
      </c>
    </row>
    <row r="179" spans="1:7" x14ac:dyDescent="0.3">
      <c r="A179" t="str">
        <f t="shared" si="17"/>
        <v>NODE_28</v>
      </c>
      <c r="B179">
        <f t="shared" si="16"/>
        <v>18</v>
      </c>
      <c r="C179" t="str">
        <f t="shared" si="19"/>
        <v>NODE_28_18</v>
      </c>
      <c r="E179" t="str">
        <f>VLOOKUP(F179,[1]HeroData!$A$3:$B$118,2, FALSE)</f>
        <v>ZhangLiao</v>
      </c>
      <c r="F179" t="s">
        <v>591</v>
      </c>
      <c r="G179" s="3" t="s">
        <v>741</v>
      </c>
    </row>
    <row r="180" spans="1:7" x14ac:dyDescent="0.3">
      <c r="A180" t="str">
        <f t="shared" si="17"/>
        <v>NODE_28</v>
      </c>
      <c r="B180">
        <f t="shared" si="16"/>
        <v>19</v>
      </c>
      <c r="C180" t="str">
        <f t="shared" si="19"/>
        <v>NODE_28_19</v>
      </c>
      <c r="E180" t="s">
        <v>415</v>
      </c>
      <c r="F180" t="s">
        <v>415</v>
      </c>
      <c r="G180" s="3" t="s">
        <v>742</v>
      </c>
    </row>
    <row r="181" spans="1:7" ht="33" x14ac:dyDescent="0.3">
      <c r="A181" t="str">
        <f t="shared" si="17"/>
        <v>NODE_28</v>
      </c>
      <c r="B181">
        <f t="shared" si="16"/>
        <v>20</v>
      </c>
      <c r="C181" t="str">
        <f t="shared" si="19"/>
        <v>NODE_28_20</v>
      </c>
      <c r="E181" t="str">
        <f>VLOOKUP(F181,[1]HeroData!$A$3:$B$118,2, FALSE)</f>
        <v>XiahouDun</v>
      </c>
      <c r="F181" t="s">
        <v>406</v>
      </c>
      <c r="G181" s="3" t="s">
        <v>795</v>
      </c>
    </row>
    <row r="182" spans="1:7" ht="33" x14ac:dyDescent="0.3">
      <c r="A182" t="str">
        <f t="shared" si="17"/>
        <v>NODE_28</v>
      </c>
      <c r="B182">
        <f t="shared" si="16"/>
        <v>21</v>
      </c>
      <c r="C182" t="str">
        <f t="shared" si="19"/>
        <v>NODE_28_21</v>
      </c>
      <c r="E182" t="str">
        <f>VLOOKUP(F182,[1]HeroData!$A$3:$B$118,2, FALSE)</f>
        <v>GuanYu</v>
      </c>
      <c r="F182" t="s">
        <v>7</v>
      </c>
      <c r="G182" s="3" t="s">
        <v>737</v>
      </c>
    </row>
    <row r="183" spans="1:7" x14ac:dyDescent="0.3">
      <c r="A183" t="str">
        <f t="shared" si="17"/>
        <v>NODE_28</v>
      </c>
      <c r="B183">
        <f t="shared" si="16"/>
        <v>22</v>
      </c>
      <c r="C183" t="str">
        <f t="shared" si="19"/>
        <v>NODE_28_22</v>
      </c>
      <c r="E183" t="str">
        <f>VLOOKUP(F183,[1]HeroData!$A$3:$B$118,2, FALSE)</f>
        <v>XiahouDun</v>
      </c>
      <c r="F183" t="s">
        <v>406</v>
      </c>
      <c r="G183" s="3" t="s">
        <v>753</v>
      </c>
    </row>
    <row r="184" spans="1:7" x14ac:dyDescent="0.3">
      <c r="A184" t="str">
        <f t="shared" si="17"/>
        <v>NODE_28</v>
      </c>
      <c r="B184">
        <f t="shared" si="16"/>
        <v>23</v>
      </c>
      <c r="C184" t="str">
        <f t="shared" si="19"/>
        <v>NODE_28_23</v>
      </c>
      <c r="E184" t="str">
        <f>VLOOKUP(F184,[1]HeroData!$A$3:$B$118,2, FALSE)</f>
        <v>ZhangLiao</v>
      </c>
      <c r="F184" t="s">
        <v>591</v>
      </c>
      <c r="G184" s="3" t="s">
        <v>738</v>
      </c>
    </row>
    <row r="185" spans="1:7" x14ac:dyDescent="0.3">
      <c r="A185" t="str">
        <f t="shared" si="17"/>
        <v>NODE_28</v>
      </c>
      <c r="B185">
        <f t="shared" si="16"/>
        <v>24</v>
      </c>
      <c r="C185" t="str">
        <f t="shared" si="19"/>
        <v>NODE_28_24</v>
      </c>
      <c r="E185" t="str">
        <f>VLOOKUP(F185,[1]HeroData!$A$3:$B$118,2, FALSE)</f>
        <v>GuanYu</v>
      </c>
      <c r="F185" t="s">
        <v>7</v>
      </c>
      <c r="G185" s="3" t="s">
        <v>414</v>
      </c>
    </row>
    <row r="186" spans="1:7" x14ac:dyDescent="0.3">
      <c r="A186" t="str">
        <f t="shared" si="17"/>
        <v>NODE_28</v>
      </c>
      <c r="B186">
        <f t="shared" si="16"/>
        <v>25</v>
      </c>
      <c r="C186" t="str">
        <f t="shared" si="19"/>
        <v>NODE_28_25</v>
      </c>
      <c r="E186" t="s">
        <v>674</v>
      </c>
      <c r="F186" t="s">
        <v>674</v>
      </c>
      <c r="G186" s="3" t="s">
        <v>750</v>
      </c>
    </row>
    <row r="187" spans="1:7" x14ac:dyDescent="0.3">
      <c r="A187" t="str">
        <f t="shared" si="17"/>
        <v>NODE_28</v>
      </c>
      <c r="B187">
        <f t="shared" si="16"/>
        <v>26</v>
      </c>
      <c r="C187" t="str">
        <f t="shared" si="19"/>
        <v>NODE_28_26</v>
      </c>
      <c r="E187" t="s">
        <v>674</v>
      </c>
      <c r="F187" t="s">
        <v>674</v>
      </c>
      <c r="G187" s="3" t="s">
        <v>739</v>
      </c>
    </row>
    <row r="188" spans="1:7" x14ac:dyDescent="0.3">
      <c r="A188" t="str">
        <f t="shared" si="17"/>
        <v>NODE_28</v>
      </c>
      <c r="B188">
        <f t="shared" si="16"/>
        <v>27</v>
      </c>
      <c r="C188" t="str">
        <f t="shared" si="19"/>
        <v>NODE_28_27</v>
      </c>
      <c r="E188" t="str">
        <f>VLOOKUP(F188,[1]HeroData!$A$3:$B$118,2, FALSE)</f>
        <v>GuanYu</v>
      </c>
      <c r="F188" t="s">
        <v>7</v>
      </c>
      <c r="G188" s="3" t="s">
        <v>594</v>
      </c>
    </row>
    <row r="189" spans="1:7" x14ac:dyDescent="0.3">
      <c r="A189" t="str">
        <f t="shared" si="17"/>
        <v>NODE_28</v>
      </c>
      <c r="B189">
        <f t="shared" si="16"/>
        <v>28</v>
      </c>
      <c r="C189" t="str">
        <f t="shared" si="19"/>
        <v>NODE_28_28</v>
      </c>
      <c r="E189" t="str">
        <f>VLOOKUP(F189,[1]HeroData!$A$3:$B$118,2, FALSE)</f>
        <v>XiahouDun</v>
      </c>
      <c r="F189" t="s">
        <v>406</v>
      </c>
      <c r="G189" s="3" t="s">
        <v>597</v>
      </c>
    </row>
    <row r="190" spans="1:7" x14ac:dyDescent="0.3">
      <c r="A190" t="str">
        <f t="shared" si="17"/>
        <v>NODE_28</v>
      </c>
      <c r="B190">
        <f t="shared" si="16"/>
        <v>29</v>
      </c>
      <c r="C190" t="str">
        <f t="shared" si="19"/>
        <v>NODE_28_29</v>
      </c>
      <c r="E190" t="str">
        <f>VLOOKUP(F190,[1]HeroData!$A$3:$B$118,2, FALSE)</f>
        <v>ZhangLiao</v>
      </c>
      <c r="F190" t="s">
        <v>591</v>
      </c>
      <c r="G190" s="3" t="s">
        <v>675</v>
      </c>
    </row>
    <row r="191" spans="1:7" ht="33" x14ac:dyDescent="0.3">
      <c r="A191" t="str">
        <f t="shared" si="17"/>
        <v>NODE_28</v>
      </c>
      <c r="B191">
        <f t="shared" si="16"/>
        <v>30</v>
      </c>
      <c r="C191" t="str">
        <f t="shared" si="19"/>
        <v>NODE_28_30</v>
      </c>
      <c r="E191" t="s">
        <v>674</v>
      </c>
      <c r="F191" t="s">
        <v>674</v>
      </c>
      <c r="G191" s="3" t="s">
        <v>754</v>
      </c>
    </row>
    <row r="192" spans="1:7" ht="33" x14ac:dyDescent="0.3">
      <c r="A192" t="str">
        <f t="shared" si="17"/>
        <v>NODE_28</v>
      </c>
      <c r="B192">
        <f t="shared" si="16"/>
        <v>31</v>
      </c>
      <c r="C192" t="str">
        <f t="shared" si="19"/>
        <v>NODE_28_31</v>
      </c>
      <c r="E192" t="str">
        <f>VLOOKUP(F192,[1]HeroData!$A$3:$B$118,2, FALSE)</f>
        <v>GuanYu</v>
      </c>
      <c r="F192" t="s">
        <v>7</v>
      </c>
      <c r="G192" s="3" t="s">
        <v>748</v>
      </c>
    </row>
    <row r="193" spans="1:7" ht="33" x14ac:dyDescent="0.3">
      <c r="A193" t="str">
        <f t="shared" si="17"/>
        <v>NODE_28</v>
      </c>
      <c r="B193">
        <f t="shared" si="16"/>
        <v>32</v>
      </c>
      <c r="C193" t="str">
        <f t="shared" si="19"/>
        <v>NODE_28_32</v>
      </c>
      <c r="E193" t="str">
        <f>VLOOKUP(F193,[1]HeroData!$A$3:$B$118,2, FALSE)</f>
        <v>GuanYu</v>
      </c>
      <c r="F193" t="s">
        <v>7</v>
      </c>
      <c r="G193" s="3" t="s">
        <v>751</v>
      </c>
    </row>
    <row r="194" spans="1:7" x14ac:dyDescent="0.3">
      <c r="A194" t="str">
        <f t="shared" si="17"/>
        <v>NODE_28</v>
      </c>
      <c r="B194">
        <f t="shared" si="16"/>
        <v>33</v>
      </c>
      <c r="C194" t="str">
        <f t="shared" ref="C194:C196" si="20">CONCATENATE(A194, "_", B194, IF(D194&lt;&gt;"", "_"&amp;D194, ""))</f>
        <v>NODE_28_33</v>
      </c>
      <c r="E194" t="s">
        <v>674</v>
      </c>
      <c r="F194" t="s">
        <v>674</v>
      </c>
      <c r="G194" s="3" t="s">
        <v>597</v>
      </c>
    </row>
    <row r="195" spans="1:7" ht="33" x14ac:dyDescent="0.3">
      <c r="A195" t="str">
        <f t="shared" si="17"/>
        <v>NODE_28</v>
      </c>
      <c r="B195">
        <f t="shared" si="16"/>
        <v>34</v>
      </c>
      <c r="C195" t="str">
        <f t="shared" si="20"/>
        <v>NODE_28_34</v>
      </c>
      <c r="E195" t="s">
        <v>674</v>
      </c>
      <c r="F195" t="s">
        <v>674</v>
      </c>
      <c r="G195" s="3" t="s">
        <v>755</v>
      </c>
    </row>
    <row r="196" spans="1:7" ht="33" x14ac:dyDescent="0.3">
      <c r="A196" t="str">
        <f t="shared" si="17"/>
        <v>NODE_28</v>
      </c>
      <c r="B196">
        <f t="shared" si="16"/>
        <v>35</v>
      </c>
      <c r="C196" t="str">
        <f t="shared" si="20"/>
        <v>NODE_28_35</v>
      </c>
      <c r="E196" t="s">
        <v>674</v>
      </c>
      <c r="F196" t="s">
        <v>674</v>
      </c>
      <c r="G196" s="3" t="s">
        <v>749</v>
      </c>
    </row>
    <row r="197" spans="1:7" x14ac:dyDescent="0.3">
      <c r="A197" t="str">
        <f t="shared" si="17"/>
        <v>NODE_28</v>
      </c>
      <c r="B197">
        <f t="shared" si="16"/>
        <v>36</v>
      </c>
      <c r="C197" t="str">
        <f t="shared" ref="C197:C199" si="21">CONCATENATE(A197, "_", B197, IF(D197&lt;&gt;"", "_"&amp;D197, ""))</f>
        <v>NODE_28_36</v>
      </c>
      <c r="E197" t="s">
        <v>674</v>
      </c>
      <c r="F197" t="s">
        <v>674</v>
      </c>
      <c r="G197" s="3" t="s">
        <v>778</v>
      </c>
    </row>
    <row r="198" spans="1:7" x14ac:dyDescent="0.3">
      <c r="A198" t="str">
        <f t="shared" si="17"/>
        <v>NODE_28</v>
      </c>
      <c r="B198">
        <f t="shared" si="16"/>
        <v>37</v>
      </c>
      <c r="C198" t="str">
        <f t="shared" si="21"/>
        <v>NODE_28_37</v>
      </c>
      <c r="E198" t="str">
        <f>VLOOKUP(F198,[1]HeroData!$A$3:$B$118,2, FALSE)</f>
        <v>GuanYu</v>
      </c>
      <c r="F198" t="s">
        <v>7</v>
      </c>
      <c r="G198" s="3" t="s">
        <v>597</v>
      </c>
    </row>
    <row r="199" spans="1:7" ht="33" x14ac:dyDescent="0.3">
      <c r="A199" t="str">
        <f t="shared" si="17"/>
        <v>NODE_28</v>
      </c>
      <c r="B199">
        <f t="shared" si="16"/>
        <v>38</v>
      </c>
      <c r="C199" t="str">
        <f t="shared" si="21"/>
        <v>NODE_28_38</v>
      </c>
      <c r="E199" t="str">
        <f>VLOOKUP(F199,[1]HeroData!$A$3:$B$118,2, FALSE)</f>
        <v>XiahouDun</v>
      </c>
      <c r="F199" t="s">
        <v>406</v>
      </c>
      <c r="G199" s="3" t="s">
        <v>752</v>
      </c>
    </row>
    <row r="201" spans="1:7" ht="33" x14ac:dyDescent="0.3">
      <c r="A201" t="s">
        <v>678</v>
      </c>
      <c r="B201">
        <v>0</v>
      </c>
      <c r="C201" t="str">
        <f t="shared" ref="C201:C202" si="22">CONCATENATE(A201, "_", B201, IF(D201&lt;&gt;"", "_"&amp;D201, ""))</f>
        <v>NODE_29_0</v>
      </c>
      <c r="E201" t="str">
        <f>VLOOKUP(F201,[1]HeroData!$A$3:$B$118,2, FALSE)</f>
        <v>XiahouDun</v>
      </c>
      <c r="F201" t="s">
        <v>406</v>
      </c>
      <c r="G201" s="3" t="s">
        <v>756</v>
      </c>
    </row>
    <row r="202" spans="1:7" x14ac:dyDescent="0.3">
      <c r="A202" t="str">
        <f>A201</f>
        <v>NODE_29</v>
      </c>
      <c r="B202">
        <f>B201+1</f>
        <v>1</v>
      </c>
      <c r="C202" t="str">
        <f t="shared" si="22"/>
        <v>NODE_29_1</v>
      </c>
      <c r="E202" t="str">
        <f>VLOOKUP(F202,[1]HeroData!$A$3:$B$118,2, FALSE)</f>
        <v>XiahouDun</v>
      </c>
      <c r="F202" t="s">
        <v>406</v>
      </c>
      <c r="G202" s="3" t="s">
        <v>796</v>
      </c>
    </row>
    <row r="203" spans="1:7" x14ac:dyDescent="0.3">
      <c r="A203" t="str">
        <f t="shared" ref="A203:A239" si="23">A202</f>
        <v>NODE_29</v>
      </c>
      <c r="B203">
        <f t="shared" ref="B203:B239" si="24">B202+1</f>
        <v>2</v>
      </c>
      <c r="C203" t="str">
        <f t="shared" ref="C203:C237" si="25">CONCATENATE(A203, "_", B203, IF(D203&lt;&gt;"", "_"&amp;D203, ""))</f>
        <v>NODE_29_2</v>
      </c>
      <c r="E203" t="str">
        <f>VLOOKUP(F203,[1]HeroData!$A$3:$B$118,2, FALSE)</f>
        <v>GuanYu</v>
      </c>
      <c r="F203" t="s">
        <v>7</v>
      </c>
      <c r="G203" s="3" t="s">
        <v>597</v>
      </c>
    </row>
    <row r="204" spans="1:7" x14ac:dyDescent="0.3">
      <c r="A204" t="str">
        <f t="shared" si="23"/>
        <v>NODE_29</v>
      </c>
      <c r="B204">
        <f t="shared" si="24"/>
        <v>3</v>
      </c>
      <c r="C204" t="str">
        <f t="shared" si="25"/>
        <v>NODE_29_3</v>
      </c>
      <c r="E204" t="str">
        <f>VLOOKUP(F204,[1]HeroData!$A$3:$B$118,2, FALSE)</f>
        <v>XiahouDun</v>
      </c>
      <c r="F204" t="s">
        <v>406</v>
      </c>
      <c r="G204" s="3" t="s">
        <v>784</v>
      </c>
    </row>
    <row r="205" spans="1:7" ht="33" x14ac:dyDescent="0.3">
      <c r="A205" t="str">
        <f t="shared" si="23"/>
        <v>NODE_29</v>
      </c>
      <c r="B205">
        <f t="shared" si="24"/>
        <v>4</v>
      </c>
      <c r="C205" t="str">
        <f t="shared" si="25"/>
        <v>NODE_29_4</v>
      </c>
      <c r="E205" t="str">
        <f>VLOOKUP(F205,[1]HeroData!$A$3:$B$118,2, FALSE)</f>
        <v>GuanYu</v>
      </c>
      <c r="F205" t="s">
        <v>7</v>
      </c>
      <c r="G205" s="3" t="s">
        <v>785</v>
      </c>
    </row>
    <row r="206" spans="1:7" ht="33" x14ac:dyDescent="0.3">
      <c r="A206" t="str">
        <f t="shared" si="23"/>
        <v>NODE_29</v>
      </c>
      <c r="B206">
        <f t="shared" si="24"/>
        <v>5</v>
      </c>
      <c r="C206" t="str">
        <f t="shared" si="25"/>
        <v>NODE_29_5</v>
      </c>
      <c r="E206" t="str">
        <f>VLOOKUP(F206,[1]HeroData!$A$3:$B$118,2, FALSE)</f>
        <v>XiahouDun</v>
      </c>
      <c r="F206" t="s">
        <v>406</v>
      </c>
      <c r="G206" s="3" t="s">
        <v>773</v>
      </c>
    </row>
    <row r="207" spans="1:7" x14ac:dyDescent="0.3">
      <c r="A207" t="str">
        <f t="shared" si="23"/>
        <v>NODE_29</v>
      </c>
      <c r="B207">
        <f t="shared" si="24"/>
        <v>6</v>
      </c>
      <c r="C207" t="str">
        <f t="shared" si="25"/>
        <v>NODE_29_6</v>
      </c>
      <c r="E207" t="str">
        <f>VLOOKUP(F207,[1]HeroData!$A$3:$B$118,2, FALSE)</f>
        <v>XiahouYuan</v>
      </c>
      <c r="F207" t="s">
        <v>407</v>
      </c>
      <c r="G207" s="3" t="s">
        <v>757</v>
      </c>
    </row>
    <row r="208" spans="1:7" x14ac:dyDescent="0.3">
      <c r="A208" t="str">
        <f t="shared" si="23"/>
        <v>NODE_29</v>
      </c>
      <c r="B208">
        <f t="shared" si="24"/>
        <v>7</v>
      </c>
      <c r="C208" t="str">
        <f t="shared" si="25"/>
        <v>NODE_29_7</v>
      </c>
      <c r="E208" t="str">
        <f>VLOOKUP(F208,[1]HeroData!$A$3:$B$118,2, FALSE)</f>
        <v>ZhangLiao</v>
      </c>
      <c r="F208" t="s">
        <v>591</v>
      </c>
      <c r="G208" s="3" t="s">
        <v>608</v>
      </c>
    </row>
    <row r="209" spans="1:7" x14ac:dyDescent="0.3">
      <c r="A209" t="str">
        <f t="shared" si="23"/>
        <v>NODE_29</v>
      </c>
      <c r="B209">
        <f t="shared" si="24"/>
        <v>8</v>
      </c>
      <c r="C209" t="str">
        <f t="shared" si="25"/>
        <v>NODE_29_8</v>
      </c>
      <c r="E209" t="str">
        <f>VLOOKUP(F209,[1]HeroData!$A$3:$B$118,2, FALSE)</f>
        <v>ZhaoYun</v>
      </c>
      <c r="F209" t="s">
        <v>11</v>
      </c>
      <c r="G209" s="3" t="s">
        <v>786</v>
      </c>
    </row>
    <row r="210" spans="1:7" x14ac:dyDescent="0.3">
      <c r="A210" t="str">
        <f t="shared" si="23"/>
        <v>NODE_29</v>
      </c>
      <c r="B210">
        <f t="shared" si="24"/>
        <v>9</v>
      </c>
      <c r="C210" t="str">
        <f t="shared" si="25"/>
        <v>NODE_29_9</v>
      </c>
      <c r="E210" t="str">
        <f>VLOOKUP(F210,[1]HeroData!$A$3:$B$118,2, FALSE)</f>
        <v>GuanYu</v>
      </c>
      <c r="F210" t="s">
        <v>7</v>
      </c>
      <c r="G210" s="3" t="s">
        <v>787</v>
      </c>
    </row>
    <row r="211" spans="1:7" ht="33" x14ac:dyDescent="0.3">
      <c r="A211" t="str">
        <f t="shared" si="23"/>
        <v>NODE_29</v>
      </c>
      <c r="B211">
        <f t="shared" si="24"/>
        <v>10</v>
      </c>
      <c r="C211" t="str">
        <f t="shared" si="25"/>
        <v>NODE_29_10</v>
      </c>
      <c r="E211" t="str">
        <f>VLOOKUP(F211,[1]HeroData!$A$3:$B$118,2, FALSE)</f>
        <v>ZhaoYun</v>
      </c>
      <c r="F211" t="s">
        <v>11</v>
      </c>
      <c r="G211" s="3" t="s">
        <v>680</v>
      </c>
    </row>
    <row r="212" spans="1:7" x14ac:dyDescent="0.3">
      <c r="A212" t="str">
        <f t="shared" si="23"/>
        <v>NODE_29</v>
      </c>
      <c r="B212">
        <f t="shared" si="24"/>
        <v>11</v>
      </c>
      <c r="C212" t="str">
        <f t="shared" si="25"/>
        <v>NODE_29_11</v>
      </c>
      <c r="E212" t="str">
        <f>VLOOKUP(F212,[1]HeroData!$A$3:$B$118,2, FALSE)</f>
        <v>GuanYu</v>
      </c>
      <c r="F212" t="s">
        <v>7</v>
      </c>
      <c r="G212" s="3" t="s">
        <v>826</v>
      </c>
    </row>
    <row r="213" spans="1:7" ht="33" x14ac:dyDescent="0.3">
      <c r="A213" t="str">
        <f t="shared" si="23"/>
        <v>NODE_29</v>
      </c>
      <c r="B213">
        <f t="shared" si="24"/>
        <v>12</v>
      </c>
      <c r="C213" t="str">
        <f t="shared" si="25"/>
        <v>NODE_29_12</v>
      </c>
      <c r="E213" t="str">
        <f>VLOOKUP(F213,[1]HeroData!$A$3:$B$118,2, FALSE)</f>
        <v>ZhaoYun</v>
      </c>
      <c r="F213" t="s">
        <v>11</v>
      </c>
      <c r="G213" s="3" t="s">
        <v>783</v>
      </c>
    </row>
    <row r="214" spans="1:7" ht="33" x14ac:dyDescent="0.3">
      <c r="A214" t="str">
        <f t="shared" si="23"/>
        <v>NODE_29</v>
      </c>
      <c r="B214">
        <f t="shared" si="24"/>
        <v>13</v>
      </c>
      <c r="C214" t="str">
        <f t="shared" si="25"/>
        <v>NODE_29_13</v>
      </c>
      <c r="E214" t="str">
        <f>VLOOKUP(F214,[1]HeroData!$A$3:$B$118,2, FALSE)</f>
        <v>GuanYu</v>
      </c>
      <c r="F214" t="s">
        <v>7</v>
      </c>
      <c r="G214" s="3" t="s">
        <v>758</v>
      </c>
    </row>
    <row r="215" spans="1:7" ht="33" x14ac:dyDescent="0.3">
      <c r="A215" t="str">
        <f t="shared" si="23"/>
        <v>NODE_29</v>
      </c>
      <c r="B215">
        <f t="shared" si="24"/>
        <v>14</v>
      </c>
      <c r="C215" t="str">
        <f t="shared" si="25"/>
        <v>NODE_29_14</v>
      </c>
      <c r="E215" t="str">
        <f>VLOOKUP(F215,[1]HeroData!$A$3:$B$118,2, FALSE)</f>
        <v>GuanYu</v>
      </c>
      <c r="F215" t="s">
        <v>7</v>
      </c>
      <c r="G215" s="3" t="s">
        <v>759</v>
      </c>
    </row>
    <row r="216" spans="1:7" x14ac:dyDescent="0.3">
      <c r="A216" t="str">
        <f t="shared" si="23"/>
        <v>NODE_29</v>
      </c>
      <c r="B216">
        <f t="shared" si="24"/>
        <v>15</v>
      </c>
      <c r="C216" t="str">
        <f t="shared" si="25"/>
        <v>NODE_29_15</v>
      </c>
      <c r="E216" t="str">
        <f>VLOOKUP(F216,[1]HeroData!$A$3:$B$118,2, FALSE)</f>
        <v>ZhaoYun</v>
      </c>
      <c r="F216" t="s">
        <v>11</v>
      </c>
      <c r="G216" s="3" t="s">
        <v>760</v>
      </c>
    </row>
    <row r="217" spans="1:7" x14ac:dyDescent="0.3">
      <c r="A217" t="str">
        <f t="shared" si="23"/>
        <v>NODE_29</v>
      </c>
      <c r="B217">
        <f t="shared" si="24"/>
        <v>16</v>
      </c>
      <c r="C217" t="str">
        <f t="shared" si="25"/>
        <v>NODE_29_16</v>
      </c>
      <c r="E217" t="str">
        <f>VLOOKUP(F217,[1]HeroData!$A$3:$B$118,2, FALSE)</f>
        <v>GuanYu</v>
      </c>
      <c r="F217" t="s">
        <v>7</v>
      </c>
      <c r="G217" s="3" t="s">
        <v>788</v>
      </c>
    </row>
    <row r="218" spans="1:7" x14ac:dyDescent="0.3">
      <c r="A218" t="str">
        <f t="shared" si="23"/>
        <v>NODE_29</v>
      </c>
      <c r="B218">
        <f t="shared" si="24"/>
        <v>17</v>
      </c>
      <c r="C218" t="str">
        <f t="shared" si="25"/>
        <v>NODE_29_17</v>
      </c>
      <c r="E218" t="str">
        <f>VLOOKUP(F218,[1]HeroData!$A$3:$B$118,2, FALSE)</f>
        <v>ZhaoYun</v>
      </c>
      <c r="F218" t="s">
        <v>11</v>
      </c>
      <c r="G218" s="3" t="s">
        <v>774</v>
      </c>
    </row>
    <row r="219" spans="1:7" x14ac:dyDescent="0.3">
      <c r="A219" t="str">
        <f t="shared" si="23"/>
        <v>NODE_29</v>
      </c>
      <c r="B219">
        <f t="shared" si="24"/>
        <v>18</v>
      </c>
      <c r="C219" t="str">
        <f t="shared" si="25"/>
        <v>NODE_29_18</v>
      </c>
      <c r="E219" t="str">
        <f>VLOOKUP(F219,[1]HeroData!$A$3:$B$118,2, FALSE)</f>
        <v>GuanYu</v>
      </c>
      <c r="F219" t="s">
        <v>7</v>
      </c>
      <c r="G219" s="3" t="s">
        <v>789</v>
      </c>
    </row>
    <row r="220" spans="1:7" x14ac:dyDescent="0.3">
      <c r="A220" t="str">
        <f t="shared" si="23"/>
        <v>NODE_29</v>
      </c>
      <c r="B220">
        <f t="shared" si="24"/>
        <v>19</v>
      </c>
      <c r="C220" t="str">
        <f t="shared" si="25"/>
        <v>NODE_29_19</v>
      </c>
      <c r="E220" t="str">
        <f>VLOOKUP(F220,[1]HeroData!$A$3:$B$118,2, FALSE)</f>
        <v>ZhaoYun</v>
      </c>
      <c r="F220" t="s">
        <v>11</v>
      </c>
      <c r="G220" s="3" t="s">
        <v>597</v>
      </c>
    </row>
    <row r="221" spans="1:7" ht="33" x14ac:dyDescent="0.3">
      <c r="A221" t="str">
        <f t="shared" si="23"/>
        <v>NODE_29</v>
      </c>
      <c r="B221">
        <f t="shared" si="24"/>
        <v>20</v>
      </c>
      <c r="C221" t="str">
        <f t="shared" si="25"/>
        <v>NODE_29_20</v>
      </c>
      <c r="E221" t="str">
        <f>VLOOKUP(F221,[1]HeroData!$A$3:$B$118,2, FALSE)</f>
        <v>ZhaoYun</v>
      </c>
      <c r="F221" t="s">
        <v>11</v>
      </c>
      <c r="G221" s="3" t="s">
        <v>761</v>
      </c>
    </row>
    <row r="222" spans="1:7" ht="33" x14ac:dyDescent="0.3">
      <c r="A222" t="str">
        <f t="shared" si="23"/>
        <v>NODE_29</v>
      </c>
      <c r="B222">
        <f t="shared" si="24"/>
        <v>21</v>
      </c>
      <c r="C222" t="str">
        <f t="shared" si="25"/>
        <v>NODE_29_21</v>
      </c>
      <c r="E222" t="str">
        <f>VLOOKUP(F222,[1]HeroData!$A$3:$B$118,2, FALSE)</f>
        <v>GuanYu</v>
      </c>
      <c r="F222" t="s">
        <v>7</v>
      </c>
      <c r="G222" s="3" t="s">
        <v>790</v>
      </c>
    </row>
    <row r="223" spans="1:7" x14ac:dyDescent="0.3">
      <c r="A223" t="str">
        <f t="shared" si="23"/>
        <v>NODE_29</v>
      </c>
      <c r="B223">
        <f t="shared" si="24"/>
        <v>22</v>
      </c>
      <c r="C223" t="str">
        <f t="shared" si="25"/>
        <v>NODE_29_22</v>
      </c>
      <c r="E223" t="str">
        <f>VLOOKUP(F223,[1]HeroData!$A$3:$B$118,2, FALSE)</f>
        <v>ZhangLiao</v>
      </c>
      <c r="F223" t="s">
        <v>591</v>
      </c>
      <c r="G223" s="3" t="s">
        <v>673</v>
      </c>
    </row>
    <row r="224" spans="1:7" ht="33" x14ac:dyDescent="0.3">
      <c r="A224" t="str">
        <f t="shared" si="23"/>
        <v>NODE_29</v>
      </c>
      <c r="B224">
        <f t="shared" si="24"/>
        <v>23</v>
      </c>
      <c r="C224" t="str">
        <f t="shared" si="25"/>
        <v>NODE_29_23</v>
      </c>
      <c r="E224" t="str">
        <f>VLOOKUP(F224,[1]HeroData!$A$3:$B$118,2, FALSE)</f>
        <v>ZhaoYun</v>
      </c>
      <c r="F224" t="s">
        <v>11</v>
      </c>
      <c r="G224" s="3" t="s">
        <v>791</v>
      </c>
    </row>
    <row r="225" spans="1:7" x14ac:dyDescent="0.3">
      <c r="A225" t="str">
        <f t="shared" si="23"/>
        <v>NODE_29</v>
      </c>
      <c r="B225">
        <f t="shared" si="24"/>
        <v>24</v>
      </c>
      <c r="C225" t="str">
        <f t="shared" si="25"/>
        <v>NODE_29_24</v>
      </c>
      <c r="E225" t="str">
        <f>VLOOKUP(F225,[1]HeroData!$A$3:$B$118,2, FALSE)</f>
        <v>GuanYu</v>
      </c>
      <c r="F225" t="s">
        <v>7</v>
      </c>
      <c r="G225" s="3" t="s">
        <v>792</v>
      </c>
    </row>
    <row r="226" spans="1:7" ht="33" x14ac:dyDescent="0.3">
      <c r="A226" t="str">
        <f t="shared" si="23"/>
        <v>NODE_29</v>
      </c>
      <c r="B226">
        <f t="shared" si="24"/>
        <v>25</v>
      </c>
      <c r="C226" t="str">
        <f t="shared" si="25"/>
        <v>NODE_29_25</v>
      </c>
      <c r="E226" t="str">
        <f>VLOOKUP(F226,[1]HeroData!$A$3:$B$118,2, FALSE)</f>
        <v>ZhangLiao</v>
      </c>
      <c r="F226" t="s">
        <v>591</v>
      </c>
      <c r="G226" s="3" t="s">
        <v>827</v>
      </c>
    </row>
    <row r="227" spans="1:7" x14ac:dyDescent="0.3">
      <c r="A227" t="str">
        <f t="shared" si="23"/>
        <v>NODE_29</v>
      </c>
      <c r="B227">
        <f t="shared" si="24"/>
        <v>26</v>
      </c>
      <c r="C227" t="str">
        <f t="shared" si="25"/>
        <v>NODE_29_26</v>
      </c>
      <c r="E227" t="str">
        <f>VLOOKUP(F227,[1]HeroData!$A$3:$B$118,2, FALSE)</f>
        <v>GuanYu</v>
      </c>
      <c r="F227" t="s">
        <v>7</v>
      </c>
      <c r="G227" s="3" t="s">
        <v>775</v>
      </c>
    </row>
    <row r="228" spans="1:7" ht="33" x14ac:dyDescent="0.3">
      <c r="A228" t="str">
        <f t="shared" si="23"/>
        <v>NODE_29</v>
      </c>
      <c r="B228">
        <f t="shared" si="24"/>
        <v>27</v>
      </c>
      <c r="C228" t="str">
        <f t="shared" si="25"/>
        <v>NODE_29_27</v>
      </c>
      <c r="E228" t="str">
        <f>VLOOKUP(F228,[1]HeroData!$A$3:$B$118,2, FALSE)</f>
        <v>ZhangLiao</v>
      </c>
      <c r="F228" t="s">
        <v>591</v>
      </c>
      <c r="G228" s="3" t="s">
        <v>762</v>
      </c>
    </row>
    <row r="229" spans="1:7" x14ac:dyDescent="0.3">
      <c r="A229" t="str">
        <f t="shared" si="23"/>
        <v>NODE_29</v>
      </c>
      <c r="B229">
        <f t="shared" si="24"/>
        <v>28</v>
      </c>
      <c r="C229" t="str">
        <f t="shared" si="25"/>
        <v>NODE_29_28</v>
      </c>
      <c r="E229" t="str">
        <f>VLOOKUP(F229,[1]HeroData!$A$3:$B$118,2, FALSE)</f>
        <v>GuanYu</v>
      </c>
      <c r="F229" t="s">
        <v>7</v>
      </c>
      <c r="G229" s="3" t="s">
        <v>763</v>
      </c>
    </row>
    <row r="230" spans="1:7" ht="33" x14ac:dyDescent="0.3">
      <c r="A230" t="str">
        <f t="shared" si="23"/>
        <v>NODE_29</v>
      </c>
      <c r="B230">
        <f t="shared" si="24"/>
        <v>29</v>
      </c>
      <c r="C230" t="str">
        <f t="shared" si="25"/>
        <v>NODE_29_29</v>
      </c>
      <c r="E230" t="str">
        <f>VLOOKUP(F230,[1]HeroData!$A$3:$B$118,2, FALSE)</f>
        <v>ZhangLiao</v>
      </c>
      <c r="F230" t="s">
        <v>591</v>
      </c>
      <c r="G230" s="3" t="s">
        <v>764</v>
      </c>
    </row>
    <row r="231" spans="1:7" ht="33" x14ac:dyDescent="0.3">
      <c r="A231" t="str">
        <f t="shared" si="23"/>
        <v>NODE_29</v>
      </c>
      <c r="B231">
        <f t="shared" si="24"/>
        <v>30</v>
      </c>
      <c r="C231" t="str">
        <f t="shared" si="25"/>
        <v>NODE_29_30</v>
      </c>
      <c r="E231" t="str">
        <f>VLOOKUP(F231,[1]HeroData!$A$3:$B$118,2, FALSE)</f>
        <v>ZhangLiao</v>
      </c>
      <c r="F231" t="s">
        <v>591</v>
      </c>
      <c r="G231" s="3" t="s">
        <v>765</v>
      </c>
    </row>
    <row r="232" spans="1:7" x14ac:dyDescent="0.3">
      <c r="A232" t="str">
        <f t="shared" si="23"/>
        <v>NODE_29</v>
      </c>
      <c r="B232">
        <f t="shared" si="24"/>
        <v>31</v>
      </c>
      <c r="C232" t="str">
        <f t="shared" si="25"/>
        <v>NODE_29_31</v>
      </c>
      <c r="E232" t="str">
        <f>VLOOKUP(F232,[1]HeroData!$A$3:$B$118,2, FALSE)</f>
        <v>GuanYu</v>
      </c>
      <c r="F232" t="s">
        <v>7</v>
      </c>
      <c r="G232" s="3" t="s">
        <v>766</v>
      </c>
    </row>
    <row r="233" spans="1:7" x14ac:dyDescent="0.3">
      <c r="A233" t="str">
        <f t="shared" si="23"/>
        <v>NODE_29</v>
      </c>
      <c r="B233">
        <f t="shared" si="24"/>
        <v>32</v>
      </c>
      <c r="C233" t="str">
        <f t="shared" si="25"/>
        <v>NODE_29_32</v>
      </c>
    </row>
    <row r="234" spans="1:7" x14ac:dyDescent="0.3">
      <c r="A234" t="str">
        <f t="shared" si="23"/>
        <v>NODE_29</v>
      </c>
      <c r="B234">
        <f t="shared" si="24"/>
        <v>33</v>
      </c>
      <c r="C234" t="str">
        <f t="shared" si="25"/>
        <v>NODE_29_33</v>
      </c>
      <c r="E234" t="str">
        <f>VLOOKUP(F234,[1]HeroData!$A$3:$B$118,2, FALSE)</f>
        <v>GuanYu</v>
      </c>
      <c r="F234" t="s">
        <v>7</v>
      </c>
      <c r="G234" s="3" t="s">
        <v>597</v>
      </c>
    </row>
    <row r="235" spans="1:7" ht="33" x14ac:dyDescent="0.3">
      <c r="A235" t="str">
        <f t="shared" si="23"/>
        <v>NODE_29</v>
      </c>
      <c r="B235">
        <f t="shared" si="24"/>
        <v>34</v>
      </c>
      <c r="C235" t="str">
        <f t="shared" si="25"/>
        <v>NODE_29_34</v>
      </c>
      <c r="E235" t="str">
        <f>VLOOKUP(F235,[1]HeroData!$A$3:$B$118,2, FALSE)</f>
        <v>GuanYu</v>
      </c>
      <c r="F235" t="s">
        <v>7</v>
      </c>
      <c r="G235" s="3" t="s">
        <v>828</v>
      </c>
    </row>
    <row r="236" spans="1:7" x14ac:dyDescent="0.3">
      <c r="A236" t="str">
        <f t="shared" si="23"/>
        <v>NODE_29</v>
      </c>
      <c r="B236">
        <f t="shared" si="24"/>
        <v>35</v>
      </c>
      <c r="C236" t="str">
        <f t="shared" si="25"/>
        <v>NODE_29_35</v>
      </c>
      <c r="E236" t="str">
        <f>VLOOKUP(F236,[1]HeroData!$A$3:$B$118,2, FALSE)</f>
        <v>GuanYu</v>
      </c>
      <c r="F236" t="s">
        <v>7</v>
      </c>
      <c r="G236" s="3" t="s">
        <v>767</v>
      </c>
    </row>
    <row r="237" spans="1:7" x14ac:dyDescent="0.3">
      <c r="A237" t="str">
        <f t="shared" si="23"/>
        <v>NODE_29</v>
      </c>
      <c r="B237">
        <f t="shared" si="24"/>
        <v>36</v>
      </c>
      <c r="C237" t="str">
        <f t="shared" si="25"/>
        <v>NODE_29_36</v>
      </c>
      <c r="E237" t="str">
        <f>VLOOKUP(F237,[1]HeroData!$A$3:$B$118,2, FALSE)</f>
        <v>XiahouDun</v>
      </c>
      <c r="F237" t="s">
        <v>406</v>
      </c>
      <c r="G237" s="3" t="s">
        <v>793</v>
      </c>
    </row>
    <row r="238" spans="1:7" ht="33" x14ac:dyDescent="0.3">
      <c r="A238" t="str">
        <f t="shared" si="23"/>
        <v>NODE_29</v>
      </c>
      <c r="B238">
        <f t="shared" si="24"/>
        <v>37</v>
      </c>
      <c r="C238" t="str">
        <f t="shared" ref="C238:C239" si="26">CONCATENATE(A238, "_", B238, IF(D238&lt;&gt;"", "_"&amp;D238, ""))</f>
        <v>NODE_29_37</v>
      </c>
      <c r="E238" t="str">
        <f>VLOOKUP(F238,[1]HeroData!$A$3:$B$118,2, FALSE)</f>
        <v>GuanYu</v>
      </c>
      <c r="F238" t="s">
        <v>7</v>
      </c>
      <c r="G238" s="3" t="s">
        <v>819</v>
      </c>
    </row>
    <row r="239" spans="1:7" ht="33" x14ac:dyDescent="0.3">
      <c r="A239" t="str">
        <f t="shared" si="23"/>
        <v>NODE_29</v>
      </c>
      <c r="B239">
        <f t="shared" si="24"/>
        <v>38</v>
      </c>
      <c r="C239" t="str">
        <f t="shared" si="26"/>
        <v>NODE_29_38</v>
      </c>
      <c r="E239" t="str">
        <f>VLOOKUP(F239,[1]HeroData!$A$3:$B$118,2, FALSE)</f>
        <v>XiahouDun</v>
      </c>
      <c r="F239" t="s">
        <v>406</v>
      </c>
      <c r="G239" s="3" t="s">
        <v>811</v>
      </c>
    </row>
    <row r="241" spans="1:7" x14ac:dyDescent="0.3">
      <c r="A241" t="s">
        <v>692</v>
      </c>
      <c r="B241">
        <v>0</v>
      </c>
      <c r="C241" t="str">
        <f>CONCATENATE(A241, "_", B241, IF(D241&lt;&gt;"", "_"&amp;D241, ""))</f>
        <v>NODE_31_0</v>
      </c>
      <c r="E241" t="str">
        <f>VLOOKUP(F241,[1]HeroData!$A$3:$B$118,2, FALSE)</f>
        <v>CaoRen</v>
      </c>
      <c r="F241" t="s">
        <v>403</v>
      </c>
      <c r="G241" s="3" t="s">
        <v>804</v>
      </c>
    </row>
    <row r="242" spans="1:7" x14ac:dyDescent="0.3">
      <c r="A242" t="str">
        <f>A241</f>
        <v>NODE_31</v>
      </c>
      <c r="B242">
        <f t="shared" ref="B242:B300" si="27">B241+1</f>
        <v>1</v>
      </c>
      <c r="C242" t="str">
        <f t="shared" ref="C242" si="28">CONCATENATE(A242, "_", B242, IF(D242&lt;&gt;"", "_"&amp;D242, ""))</f>
        <v>NODE_31_1</v>
      </c>
      <c r="E242" t="str">
        <f>VLOOKUP(F242,[1]HeroData!$A$3:$B$118,2, FALSE)</f>
        <v>CaoRen</v>
      </c>
      <c r="F242" t="s">
        <v>403</v>
      </c>
      <c r="G242" s="3" t="s">
        <v>805</v>
      </c>
    </row>
    <row r="243" spans="1:7" ht="33" x14ac:dyDescent="0.3">
      <c r="A243" t="str">
        <f t="shared" ref="A243:A300" si="29">A242</f>
        <v>NODE_31</v>
      </c>
      <c r="B243">
        <f t="shared" si="27"/>
        <v>2</v>
      </c>
      <c r="C243" t="str">
        <f t="shared" ref="C243:C246" si="30">CONCATENATE(A243, "_", B243, IF(D243&lt;&gt;"", "_"&amp;D243, ""))</f>
        <v>NODE_31_2</v>
      </c>
      <c r="E243" t="str">
        <f>VLOOKUP(F243,[1]HeroData!$A$3:$B$118,2, FALSE)</f>
        <v>ZhangFei</v>
      </c>
      <c r="F243" t="s">
        <v>9</v>
      </c>
      <c r="G243" s="3" t="s">
        <v>806</v>
      </c>
    </row>
    <row r="244" spans="1:7" x14ac:dyDescent="0.3">
      <c r="A244" t="str">
        <f t="shared" si="29"/>
        <v>NODE_31</v>
      </c>
      <c r="B244">
        <f t="shared" si="27"/>
        <v>3</v>
      </c>
      <c r="C244" t="str">
        <f t="shared" si="30"/>
        <v>NODE_31_3</v>
      </c>
      <c r="E244" t="str">
        <f>VLOOKUP(F244,[1]HeroData!$A$3:$B$118,2, FALSE)</f>
        <v>CaoCao</v>
      </c>
      <c r="F244" t="s">
        <v>51</v>
      </c>
      <c r="G244" s="3" t="s">
        <v>798</v>
      </c>
    </row>
    <row r="245" spans="1:7" ht="33" x14ac:dyDescent="0.3">
      <c r="A245" t="str">
        <f t="shared" si="29"/>
        <v>NODE_31</v>
      </c>
      <c r="B245">
        <f t="shared" si="27"/>
        <v>4</v>
      </c>
      <c r="C245" t="str">
        <f t="shared" si="30"/>
        <v>NODE_31_4</v>
      </c>
      <c r="E245" t="str">
        <f>VLOOKUP(F245,[1]HeroData!$A$3:$B$118,2, FALSE)</f>
        <v>ZhangFei</v>
      </c>
      <c r="F245" t="s">
        <v>9</v>
      </c>
      <c r="G245" s="3" t="s">
        <v>799</v>
      </c>
    </row>
    <row r="246" spans="1:7" x14ac:dyDescent="0.3">
      <c r="A246" t="str">
        <f t="shared" si="29"/>
        <v>NODE_31</v>
      </c>
      <c r="B246">
        <f t="shared" si="27"/>
        <v>5</v>
      </c>
      <c r="C246" t="str">
        <f t="shared" si="30"/>
        <v>NODE_31_5</v>
      </c>
      <c r="E246" t="str">
        <f>VLOOKUP(F246,[1]HeroData!$A$3:$B$118,2, FALSE)</f>
        <v>CaoCao</v>
      </c>
      <c r="F246" t="s">
        <v>51</v>
      </c>
      <c r="G246" s="3" t="s">
        <v>776</v>
      </c>
    </row>
    <row r="247" spans="1:7" ht="33" x14ac:dyDescent="0.3">
      <c r="A247" t="str">
        <f t="shared" si="29"/>
        <v>NODE_31</v>
      </c>
      <c r="B247">
        <f t="shared" si="27"/>
        <v>6</v>
      </c>
      <c r="C247" t="str">
        <f t="shared" ref="C247" si="31">CONCATENATE(A247, "_", B247, IF(D247&lt;&gt;"", "_"&amp;D247, ""))</f>
        <v>NODE_31_6</v>
      </c>
      <c r="E247" t="str">
        <f>VLOOKUP(F247,[1]HeroData!$A$3:$B$118,2, FALSE)</f>
        <v>ZhangFei</v>
      </c>
      <c r="F247" t="s">
        <v>9</v>
      </c>
      <c r="G247" s="3" t="s">
        <v>837</v>
      </c>
    </row>
    <row r="248" spans="1:7" x14ac:dyDescent="0.3">
      <c r="A248" t="str">
        <f t="shared" si="29"/>
        <v>NODE_31</v>
      </c>
      <c r="B248">
        <f t="shared" si="27"/>
        <v>7</v>
      </c>
      <c r="C248" t="str">
        <f t="shared" ref="C248:C300" si="32">CONCATENATE(A248, "_", B248, IF(D248&lt;&gt;"", "_"&amp;D248, ""))</f>
        <v>NODE_31_7</v>
      </c>
      <c r="E248" t="str">
        <f>VLOOKUP(F248,[1]HeroData!$A$3:$B$118,2, FALSE)</f>
        <v>CaoCao</v>
      </c>
      <c r="F248" t="s">
        <v>51</v>
      </c>
      <c r="G248" s="3" t="s">
        <v>674</v>
      </c>
    </row>
    <row r="249" spans="1:7" ht="33" x14ac:dyDescent="0.3">
      <c r="A249" t="str">
        <f t="shared" si="29"/>
        <v>NODE_31</v>
      </c>
      <c r="B249">
        <f t="shared" si="27"/>
        <v>8</v>
      </c>
      <c r="C249" t="str">
        <f t="shared" si="32"/>
        <v>NODE_31_8</v>
      </c>
      <c r="E249" t="str">
        <f>VLOOKUP(F249,[1]HeroData!$A$3:$B$118,2, FALSE)</f>
        <v>ZhangFei</v>
      </c>
      <c r="F249" t="s">
        <v>9</v>
      </c>
      <c r="G249" s="39" t="s">
        <v>840</v>
      </c>
    </row>
    <row r="250" spans="1:7" ht="33" x14ac:dyDescent="0.3">
      <c r="A250" t="str">
        <f t="shared" si="29"/>
        <v>NODE_31</v>
      </c>
      <c r="B250">
        <f t="shared" si="27"/>
        <v>9</v>
      </c>
      <c r="C250" t="str">
        <f t="shared" si="32"/>
        <v>NODE_31_9</v>
      </c>
      <c r="E250" t="str">
        <f>VLOOKUP(F250,[1]HeroData!$A$3:$B$118,2, FALSE)</f>
        <v>CaoCao</v>
      </c>
      <c r="F250" t="s">
        <v>51</v>
      </c>
      <c r="G250" s="3" t="s">
        <v>839</v>
      </c>
    </row>
    <row r="251" spans="1:7" ht="33" x14ac:dyDescent="0.3">
      <c r="A251" t="str">
        <f t="shared" si="29"/>
        <v>NODE_31</v>
      </c>
      <c r="B251">
        <f t="shared" si="27"/>
        <v>10</v>
      </c>
      <c r="C251" t="str">
        <f t="shared" si="32"/>
        <v>NODE_31_10</v>
      </c>
      <c r="E251" t="str">
        <f>VLOOKUP(F251,[1]HeroData!$A$3:$B$118,2, FALSE)</f>
        <v>ZhangFei</v>
      </c>
      <c r="F251" t="s">
        <v>9</v>
      </c>
      <c r="G251" s="3" t="s">
        <v>836</v>
      </c>
    </row>
    <row r="252" spans="1:7" x14ac:dyDescent="0.3">
      <c r="A252" t="str">
        <f t="shared" si="29"/>
        <v>NODE_31</v>
      </c>
      <c r="B252">
        <f t="shared" si="27"/>
        <v>11</v>
      </c>
      <c r="C252" t="str">
        <f t="shared" si="32"/>
        <v>NODE_31_11</v>
      </c>
      <c r="E252" t="str">
        <f>VLOOKUP(F252,[1]HeroData!$A$3:$B$118,2, FALSE)</f>
        <v>CaoCao</v>
      </c>
      <c r="F252" t="s">
        <v>51</v>
      </c>
      <c r="G252" s="3" t="s">
        <v>835</v>
      </c>
    </row>
    <row r="253" spans="1:7" x14ac:dyDescent="0.3">
      <c r="A253" t="str">
        <f t="shared" si="29"/>
        <v>NODE_31</v>
      </c>
      <c r="B253">
        <f t="shared" si="27"/>
        <v>12</v>
      </c>
      <c r="C253" t="str">
        <f t="shared" si="32"/>
        <v>NODE_31_12</v>
      </c>
      <c r="E253" t="str">
        <f>VLOOKUP(F253,[1]HeroData!$A$3:$B$118,2, FALSE)</f>
        <v>ZhangFei</v>
      </c>
      <c r="F253" t="s">
        <v>9</v>
      </c>
      <c r="G253" s="3" t="s">
        <v>786</v>
      </c>
    </row>
    <row r="254" spans="1:7" x14ac:dyDescent="0.3">
      <c r="A254" t="str">
        <f t="shared" si="29"/>
        <v>NODE_31</v>
      </c>
      <c r="B254">
        <f t="shared" si="27"/>
        <v>13</v>
      </c>
      <c r="C254" t="str">
        <f t="shared" si="32"/>
        <v>NODE_31_13</v>
      </c>
      <c r="E254" t="str">
        <f>VLOOKUP(F254,[1]HeroData!$A$3:$B$118,2, FALSE)</f>
        <v>CaoCao</v>
      </c>
      <c r="F254" t="s">
        <v>51</v>
      </c>
      <c r="G254" s="3" t="s">
        <v>797</v>
      </c>
    </row>
    <row r="255" spans="1:7" ht="33" x14ac:dyDescent="0.3">
      <c r="A255" t="str">
        <f t="shared" si="29"/>
        <v>NODE_31</v>
      </c>
      <c r="B255">
        <f t="shared" si="27"/>
        <v>14</v>
      </c>
      <c r="C255" t="str">
        <f t="shared" si="32"/>
        <v>NODE_31_14</v>
      </c>
      <c r="E255" t="str">
        <f>VLOOKUP(F255,[1]HeroData!$A$3:$B$118,2, FALSE)</f>
        <v>GuanYu</v>
      </c>
      <c r="F255" t="s">
        <v>7</v>
      </c>
      <c r="G255" s="3" t="s">
        <v>809</v>
      </c>
    </row>
    <row r="256" spans="1:7" x14ac:dyDescent="0.3">
      <c r="A256" t="str">
        <f t="shared" si="29"/>
        <v>NODE_31</v>
      </c>
      <c r="B256">
        <f t="shared" si="27"/>
        <v>15</v>
      </c>
      <c r="C256" t="str">
        <f t="shared" si="32"/>
        <v>NODE_31_15</v>
      </c>
      <c r="E256" t="str">
        <f>VLOOKUP(F256,[1]HeroData!$A$3:$B$118,2, FALSE)</f>
        <v>CaoCao</v>
      </c>
      <c r="F256" t="s">
        <v>51</v>
      </c>
      <c r="G256" s="3" t="s">
        <v>674</v>
      </c>
    </row>
    <row r="257" spans="1:7" ht="33" x14ac:dyDescent="0.3">
      <c r="A257" t="str">
        <f t="shared" si="29"/>
        <v>NODE_31</v>
      </c>
      <c r="B257">
        <f t="shared" si="27"/>
        <v>16</v>
      </c>
      <c r="C257" t="str">
        <f t="shared" si="32"/>
        <v>NODE_31_16</v>
      </c>
      <c r="E257" t="str">
        <f>VLOOKUP(F257,[1]HeroData!$A$3:$B$118,2, FALSE)</f>
        <v>ZhangLiao</v>
      </c>
      <c r="F257" t="s">
        <v>591</v>
      </c>
      <c r="G257" s="3" t="s">
        <v>810</v>
      </c>
    </row>
    <row r="258" spans="1:7" x14ac:dyDescent="0.3">
      <c r="A258" t="str">
        <f t="shared" si="29"/>
        <v>NODE_31</v>
      </c>
      <c r="B258">
        <f t="shared" si="27"/>
        <v>17</v>
      </c>
      <c r="C258" t="str">
        <f t="shared" si="32"/>
        <v>NODE_31_17</v>
      </c>
      <c r="E258" t="str">
        <f>VLOOKUP(F258,[1]HeroData!$A$3:$B$118,2, FALSE)</f>
        <v>CaoCao</v>
      </c>
      <c r="F258" t="s">
        <v>51</v>
      </c>
      <c r="G258" s="3" t="s">
        <v>807</v>
      </c>
    </row>
    <row r="259" spans="1:7" ht="33" x14ac:dyDescent="0.3">
      <c r="A259" t="str">
        <f t="shared" si="29"/>
        <v>NODE_31</v>
      </c>
      <c r="B259">
        <f t="shared" si="27"/>
        <v>18</v>
      </c>
      <c r="C259" t="str">
        <f t="shared" si="32"/>
        <v>NODE_31_18</v>
      </c>
      <c r="E259" t="str">
        <f>VLOOKUP(F259,[1]HeroData!$A$3:$B$118,2, FALSE)</f>
        <v>ZhangFei</v>
      </c>
      <c r="F259" t="s">
        <v>9</v>
      </c>
      <c r="G259" s="3" t="s">
        <v>800</v>
      </c>
    </row>
    <row r="260" spans="1:7" ht="33" x14ac:dyDescent="0.3">
      <c r="A260" t="str">
        <f t="shared" si="29"/>
        <v>NODE_31</v>
      </c>
      <c r="B260">
        <f t="shared" si="27"/>
        <v>19</v>
      </c>
      <c r="C260" t="str">
        <f t="shared" si="32"/>
        <v>NODE_31_19</v>
      </c>
      <c r="E260" t="str">
        <f>VLOOKUP(F260,[1]HeroData!$A$3:$B$118,2, FALSE)</f>
        <v>GuanYu</v>
      </c>
      <c r="F260" t="s">
        <v>7</v>
      </c>
      <c r="G260" s="3" t="s">
        <v>838</v>
      </c>
    </row>
    <row r="261" spans="1:7" x14ac:dyDescent="0.3">
      <c r="A261" t="str">
        <f t="shared" si="29"/>
        <v>NODE_31</v>
      </c>
      <c r="B261">
        <f t="shared" si="27"/>
        <v>20</v>
      </c>
      <c r="C261" t="str">
        <f t="shared" si="32"/>
        <v>NODE_31_20</v>
      </c>
      <c r="E261" t="str">
        <f>VLOOKUP(F261,[1]HeroData!$A$3:$B$118,2, FALSE)</f>
        <v>ZhangFei</v>
      </c>
      <c r="F261" t="s">
        <v>9</v>
      </c>
      <c r="G261" s="3" t="s">
        <v>801</v>
      </c>
    </row>
    <row r="262" spans="1:7" x14ac:dyDescent="0.3">
      <c r="A262" t="str">
        <f t="shared" si="29"/>
        <v>NODE_31</v>
      </c>
      <c r="B262">
        <f t="shared" si="27"/>
        <v>21</v>
      </c>
      <c r="C262" t="str">
        <f t="shared" si="32"/>
        <v>NODE_31_21</v>
      </c>
      <c r="E262" t="str">
        <f>VLOOKUP(F262,[1]HeroData!$A$3:$B$118,2, FALSE)</f>
        <v>ZhangFei</v>
      </c>
      <c r="F262" t="s">
        <v>9</v>
      </c>
      <c r="G262" s="3" t="s">
        <v>802</v>
      </c>
    </row>
    <row r="263" spans="1:7" ht="33" x14ac:dyDescent="0.3">
      <c r="A263" t="str">
        <f t="shared" si="29"/>
        <v>NODE_31</v>
      </c>
      <c r="B263">
        <f t="shared" si="27"/>
        <v>22</v>
      </c>
      <c r="C263" t="str">
        <f t="shared" si="32"/>
        <v>NODE_31_22</v>
      </c>
      <c r="E263" t="str">
        <f>VLOOKUP(F263,[1]HeroData!$A$3:$B$118,2, FALSE)</f>
        <v>GuanYu</v>
      </c>
      <c r="F263" t="s">
        <v>7</v>
      </c>
      <c r="G263" s="3" t="s">
        <v>681</v>
      </c>
    </row>
    <row r="264" spans="1:7" ht="33" x14ac:dyDescent="0.3">
      <c r="A264" t="str">
        <f t="shared" si="29"/>
        <v>NODE_31</v>
      </c>
      <c r="B264">
        <f t="shared" si="27"/>
        <v>23</v>
      </c>
      <c r="C264" t="str">
        <f t="shared" si="32"/>
        <v>NODE_31_23</v>
      </c>
      <c r="E264" t="str">
        <f>VLOOKUP(F264,[1]HeroData!$A$3:$B$118,2, FALSE)</f>
        <v>ZhangFei</v>
      </c>
      <c r="F264" t="s">
        <v>9</v>
      </c>
      <c r="G264" s="3" t="s">
        <v>808</v>
      </c>
    </row>
    <row r="265" spans="1:7" x14ac:dyDescent="0.3">
      <c r="A265" t="str">
        <f t="shared" si="29"/>
        <v>NODE_31</v>
      </c>
      <c r="B265">
        <f t="shared" si="27"/>
        <v>24</v>
      </c>
      <c r="C265" t="str">
        <f t="shared" si="32"/>
        <v>NODE_31_24</v>
      </c>
      <c r="E265" t="str">
        <f>VLOOKUP(F265,[1]HeroData!$A$3:$B$118,2, FALSE)</f>
        <v>GuanYu</v>
      </c>
      <c r="F265" t="s">
        <v>7</v>
      </c>
      <c r="G265" s="3" t="s">
        <v>878</v>
      </c>
    </row>
    <row r="266" spans="1:7" x14ac:dyDescent="0.3">
      <c r="A266" t="str">
        <f t="shared" si="29"/>
        <v>NODE_31</v>
      </c>
      <c r="B266">
        <f t="shared" si="27"/>
        <v>25</v>
      </c>
      <c r="C266" t="str">
        <f t="shared" si="32"/>
        <v>NODE_31_25</v>
      </c>
    </row>
    <row r="267" spans="1:7" x14ac:dyDescent="0.3">
      <c r="A267" t="str">
        <f t="shared" si="29"/>
        <v>NODE_31</v>
      </c>
      <c r="B267">
        <f t="shared" si="27"/>
        <v>26</v>
      </c>
      <c r="C267" t="str">
        <f t="shared" si="32"/>
        <v>NODE_31_26</v>
      </c>
      <c r="E267" t="str">
        <f>VLOOKUP(F267,[1]HeroData!$A$3:$B$118,2, FALSE)</f>
        <v>ZhangFei</v>
      </c>
      <c r="F267" t="s">
        <v>9</v>
      </c>
      <c r="G267" s="3" t="s">
        <v>674</v>
      </c>
    </row>
    <row r="268" spans="1:7" ht="33" x14ac:dyDescent="0.3">
      <c r="A268" t="str">
        <f t="shared" si="29"/>
        <v>NODE_31</v>
      </c>
      <c r="B268">
        <f t="shared" si="27"/>
        <v>27</v>
      </c>
      <c r="C268" t="str">
        <f t="shared" si="32"/>
        <v>NODE_31_27</v>
      </c>
      <c r="E268" t="str">
        <f>VLOOKUP(F268,[1]HeroData!$A$3:$B$118,2, FALSE)</f>
        <v>ZhangFei</v>
      </c>
      <c r="F268" t="s">
        <v>9</v>
      </c>
      <c r="G268" s="3" t="s">
        <v>682</v>
      </c>
    </row>
    <row r="269" spans="1:7" ht="33" x14ac:dyDescent="0.3">
      <c r="A269" t="str">
        <f t="shared" si="29"/>
        <v>NODE_31</v>
      </c>
      <c r="B269">
        <f t="shared" si="27"/>
        <v>28</v>
      </c>
      <c r="C269" t="str">
        <f t="shared" si="32"/>
        <v>NODE_31_28</v>
      </c>
      <c r="E269" t="str">
        <f>VLOOKUP(F269,[1]HeroData!$A$3:$B$118,2, FALSE)</f>
        <v>GuanYu</v>
      </c>
      <c r="F269" t="s">
        <v>7</v>
      </c>
      <c r="G269" s="3" t="s">
        <v>780</v>
      </c>
    </row>
    <row r="270" spans="1:7" ht="33" x14ac:dyDescent="0.3">
      <c r="A270" t="str">
        <f t="shared" si="29"/>
        <v>NODE_31</v>
      </c>
      <c r="B270">
        <f t="shared" si="27"/>
        <v>29</v>
      </c>
      <c r="C270" t="str">
        <f t="shared" si="32"/>
        <v>NODE_31_29</v>
      </c>
      <c r="E270" t="str">
        <f>VLOOKUP(F270,[1]HeroData!$A$3:$B$118,2, FALSE)</f>
        <v>GuanYu</v>
      </c>
      <c r="F270" t="s">
        <v>7</v>
      </c>
      <c r="G270" s="3" t="s">
        <v>843</v>
      </c>
    </row>
    <row r="271" spans="1:7" x14ac:dyDescent="0.3">
      <c r="A271" t="str">
        <f t="shared" si="29"/>
        <v>NODE_31</v>
      </c>
      <c r="B271">
        <f t="shared" si="27"/>
        <v>30</v>
      </c>
      <c r="C271" t="str">
        <f t="shared" si="32"/>
        <v>NODE_31_30</v>
      </c>
      <c r="E271" t="str">
        <f>VLOOKUP(F271,[1]HeroData!$A$3:$B$118,2, FALSE)</f>
        <v>ZhangFei</v>
      </c>
      <c r="F271" t="s">
        <v>9</v>
      </c>
      <c r="G271" s="3" t="s">
        <v>777</v>
      </c>
    </row>
    <row r="272" spans="1:7" x14ac:dyDescent="0.3">
      <c r="A272" t="str">
        <f t="shared" si="29"/>
        <v>NODE_31</v>
      </c>
      <c r="B272">
        <f t="shared" si="27"/>
        <v>31</v>
      </c>
      <c r="C272" t="str">
        <f t="shared" si="32"/>
        <v>NODE_31_31</v>
      </c>
      <c r="E272" t="str">
        <f>VLOOKUP(F272,[1]HeroData!$A$3:$B$118,2, FALSE)</f>
        <v>GuanYu</v>
      </c>
      <c r="F272" t="s">
        <v>7</v>
      </c>
      <c r="G272" s="3" t="s">
        <v>781</v>
      </c>
    </row>
    <row r="273" spans="1:9" ht="33" x14ac:dyDescent="0.3">
      <c r="A273" t="str">
        <f t="shared" si="29"/>
        <v>NODE_31</v>
      </c>
      <c r="B273">
        <f t="shared" si="27"/>
        <v>32</v>
      </c>
      <c r="C273" t="str">
        <f t="shared" si="32"/>
        <v>NODE_31_32</v>
      </c>
      <c r="E273" t="str">
        <f>VLOOKUP(F273,[1]HeroData!$A$3:$B$118,2, FALSE)</f>
        <v>ZhangFei</v>
      </c>
      <c r="F273" t="s">
        <v>9</v>
      </c>
      <c r="G273" s="3" t="s">
        <v>683</v>
      </c>
    </row>
    <row r="274" spans="1:9" x14ac:dyDescent="0.3">
      <c r="A274" t="str">
        <f t="shared" si="29"/>
        <v>NODE_31</v>
      </c>
      <c r="B274">
        <f t="shared" si="27"/>
        <v>33</v>
      </c>
      <c r="C274" t="str">
        <f t="shared" si="32"/>
        <v>NODE_31_33</v>
      </c>
      <c r="E274" t="str">
        <f>VLOOKUP(F274,[1]HeroData!$A$3:$B$118,2, FALSE)</f>
        <v>GuanYu</v>
      </c>
      <c r="F274" t="s">
        <v>7</v>
      </c>
      <c r="G274" s="3" t="s">
        <v>842</v>
      </c>
    </row>
    <row r="275" spans="1:9" x14ac:dyDescent="0.3">
      <c r="A275" t="str">
        <f t="shared" si="29"/>
        <v>NODE_31</v>
      </c>
      <c r="B275">
        <f t="shared" si="27"/>
        <v>34</v>
      </c>
      <c r="C275" t="str">
        <f t="shared" si="32"/>
        <v>NODE_31_34</v>
      </c>
      <c r="E275" t="str">
        <f>VLOOKUP(F275,[1]HeroData!$A$3:$B$118,2, FALSE)</f>
        <v>ZhangFei</v>
      </c>
      <c r="F275" t="s">
        <v>9</v>
      </c>
      <c r="G275" s="3" t="s">
        <v>684</v>
      </c>
    </row>
    <row r="276" spans="1:9" ht="33" x14ac:dyDescent="0.3">
      <c r="A276" t="str">
        <f t="shared" si="29"/>
        <v>NODE_31</v>
      </c>
      <c r="B276">
        <f t="shared" si="27"/>
        <v>35</v>
      </c>
      <c r="C276" t="str">
        <f t="shared" si="32"/>
        <v>NODE_31_35</v>
      </c>
      <c r="E276" t="str">
        <f>VLOOKUP(F276,[1]HeroData!$A$3:$B$118,2, FALSE)</f>
        <v>GuanYu</v>
      </c>
      <c r="F276" t="s">
        <v>7</v>
      </c>
      <c r="G276" s="3" t="s">
        <v>779</v>
      </c>
    </row>
    <row r="277" spans="1:9" ht="33" x14ac:dyDescent="0.3">
      <c r="A277" t="str">
        <f t="shared" si="29"/>
        <v>NODE_31</v>
      </c>
      <c r="B277">
        <f t="shared" si="27"/>
        <v>36</v>
      </c>
      <c r="C277" t="str">
        <f t="shared" si="32"/>
        <v>NODE_31_36</v>
      </c>
      <c r="E277" t="str">
        <f>VLOOKUP(F277,[1]HeroData!$A$3:$B$118,2, FALSE)</f>
        <v>GuanYu</v>
      </c>
      <c r="F277" t="s">
        <v>7</v>
      </c>
      <c r="G277" s="3" t="s">
        <v>782</v>
      </c>
    </row>
    <row r="278" spans="1:9" ht="33" x14ac:dyDescent="0.3">
      <c r="A278" t="str">
        <f t="shared" si="29"/>
        <v>NODE_31</v>
      </c>
      <c r="B278">
        <f t="shared" si="27"/>
        <v>37</v>
      </c>
      <c r="C278" t="str">
        <f t="shared" si="32"/>
        <v>NODE_31_37</v>
      </c>
      <c r="E278" t="str">
        <f>VLOOKUP(F278,[1]HeroData!$A$3:$B$118,2, FALSE)</f>
        <v>ZhangFei</v>
      </c>
      <c r="F278" t="s">
        <v>9</v>
      </c>
      <c r="G278" s="3" t="s">
        <v>685</v>
      </c>
    </row>
    <row r="279" spans="1:9" ht="49.5" x14ac:dyDescent="0.3">
      <c r="A279" t="str">
        <f t="shared" si="29"/>
        <v>NODE_31</v>
      </c>
      <c r="B279">
        <f t="shared" si="27"/>
        <v>38</v>
      </c>
      <c r="C279" t="str">
        <f t="shared" si="32"/>
        <v>NODE_31_38</v>
      </c>
      <c r="E279" t="str">
        <f>VLOOKUP(F279,[1]HeroData!$A$3:$B$118,2, FALSE)</f>
        <v>GuanYu</v>
      </c>
      <c r="F279" t="s">
        <v>7</v>
      </c>
      <c r="G279" s="3" t="s">
        <v>709</v>
      </c>
    </row>
    <row r="280" spans="1:9" x14ac:dyDescent="0.3">
      <c r="A280" t="str">
        <f t="shared" si="29"/>
        <v>NODE_31</v>
      </c>
      <c r="B280">
        <f t="shared" si="27"/>
        <v>39</v>
      </c>
      <c r="C280" t="str">
        <f t="shared" si="32"/>
        <v>NODE_31_39</v>
      </c>
      <c r="E280" t="str">
        <f>VLOOKUP(F280,[1]HeroData!$A$3:$B$118,2, FALSE)</f>
        <v>ZhangFei</v>
      </c>
      <c r="F280" t="s">
        <v>9</v>
      </c>
      <c r="G280" s="3" t="s">
        <v>834</v>
      </c>
    </row>
    <row r="281" spans="1:9" ht="33" x14ac:dyDescent="0.3">
      <c r="A281" t="str">
        <f t="shared" si="29"/>
        <v>NODE_31</v>
      </c>
      <c r="B281">
        <f t="shared" si="27"/>
        <v>40</v>
      </c>
      <c r="C281" t="str">
        <f t="shared" si="32"/>
        <v>NODE_31_40</v>
      </c>
      <c r="E281" t="str">
        <f>VLOOKUP(F281,[1]HeroData!$A$3:$B$118,2, FALSE)</f>
        <v>GuanYu</v>
      </c>
      <c r="F281" t="s">
        <v>7</v>
      </c>
      <c r="G281" s="3" t="s">
        <v>812</v>
      </c>
    </row>
    <row r="282" spans="1:9" x14ac:dyDescent="0.3">
      <c r="A282" t="str">
        <f t="shared" si="29"/>
        <v>NODE_31</v>
      </c>
      <c r="B282">
        <f t="shared" si="27"/>
        <v>41</v>
      </c>
      <c r="C282" t="str">
        <f t="shared" si="32"/>
        <v>NODE_31_41</v>
      </c>
      <c r="E282" t="str">
        <f>VLOOKUP(F282,[1]HeroData!$A$3:$B$118,2, FALSE)</f>
        <v>FanJiang</v>
      </c>
      <c r="F282" t="s">
        <v>690</v>
      </c>
      <c r="G282" s="3" t="s">
        <v>832</v>
      </c>
      <c r="H282"/>
      <c r="I282" s="3"/>
    </row>
    <row r="283" spans="1:9" x14ac:dyDescent="0.3">
      <c r="A283" t="str">
        <f t="shared" si="29"/>
        <v>NODE_31</v>
      </c>
      <c r="B283">
        <f t="shared" si="27"/>
        <v>42</v>
      </c>
      <c r="C283" t="str">
        <f t="shared" si="32"/>
        <v>NODE_31_42</v>
      </c>
      <c r="E283" t="str">
        <f>VLOOKUP(F283,[1]HeroData!$A$3:$B$118,2, FALSE)</f>
        <v>ZhangFei</v>
      </c>
      <c r="F283" t="s">
        <v>9</v>
      </c>
      <c r="G283" s="3" t="s">
        <v>594</v>
      </c>
    </row>
    <row r="284" spans="1:9" x14ac:dyDescent="0.3">
      <c r="A284" t="str">
        <f t="shared" si="29"/>
        <v>NODE_31</v>
      </c>
      <c r="B284">
        <f t="shared" si="27"/>
        <v>43</v>
      </c>
      <c r="C284" t="str">
        <f t="shared" si="32"/>
        <v>NODE_31_43</v>
      </c>
      <c r="E284" t="str">
        <f>VLOOKUP(F284,[1]HeroData!$A$3:$B$118,2, FALSE)</f>
        <v>FanJiang</v>
      </c>
      <c r="F284" t="s">
        <v>690</v>
      </c>
      <c r="G284" s="3" t="s">
        <v>817</v>
      </c>
    </row>
    <row r="285" spans="1:9" x14ac:dyDescent="0.3">
      <c r="A285" t="str">
        <f t="shared" si="29"/>
        <v>NODE_31</v>
      </c>
      <c r="B285">
        <f t="shared" si="27"/>
        <v>44</v>
      </c>
      <c r="C285" t="str">
        <f t="shared" si="32"/>
        <v>NODE_31_44</v>
      </c>
      <c r="E285" t="str">
        <f>VLOOKUP(F285,[1]HeroData!$A$3:$B$118,2, FALSE)</f>
        <v>ZhangDa</v>
      </c>
      <c r="F285" t="s">
        <v>691</v>
      </c>
      <c r="G285" s="3" t="s">
        <v>833</v>
      </c>
    </row>
    <row r="286" spans="1:9" ht="33" x14ac:dyDescent="0.3">
      <c r="A286" t="str">
        <f t="shared" si="29"/>
        <v>NODE_31</v>
      </c>
      <c r="B286">
        <f t="shared" si="27"/>
        <v>45</v>
      </c>
      <c r="C286" t="str">
        <f t="shared" si="32"/>
        <v>NODE_31_45</v>
      </c>
      <c r="E286" t="str">
        <f>VLOOKUP(F286,[1]HeroData!$A$3:$B$118,2, FALSE)</f>
        <v>ZhangDa</v>
      </c>
      <c r="F286" t="s">
        <v>691</v>
      </c>
      <c r="G286" s="3" t="s">
        <v>818</v>
      </c>
    </row>
    <row r="287" spans="1:9" x14ac:dyDescent="0.3">
      <c r="A287" t="str">
        <f t="shared" si="29"/>
        <v>NODE_31</v>
      </c>
      <c r="B287">
        <f t="shared" si="27"/>
        <v>46</v>
      </c>
      <c r="C287" t="str">
        <f t="shared" si="32"/>
        <v>NODE_31_46</v>
      </c>
      <c r="E287" t="str">
        <f>VLOOKUP(F287,[1]HeroData!$A$3:$B$118,2, FALSE)</f>
        <v>ZhangFei</v>
      </c>
      <c r="F287" t="s">
        <v>9</v>
      </c>
      <c r="G287" s="3" t="s">
        <v>813</v>
      </c>
    </row>
    <row r="288" spans="1:9" x14ac:dyDescent="0.3">
      <c r="A288" t="str">
        <f t="shared" si="29"/>
        <v>NODE_31</v>
      </c>
      <c r="B288">
        <f t="shared" si="27"/>
        <v>47</v>
      </c>
      <c r="C288" t="str">
        <f t="shared" si="32"/>
        <v>NODE_31_47</v>
      </c>
      <c r="E288" t="str">
        <f>VLOOKUP(F288,[1]HeroData!$A$3:$B$118,2, FALSE)</f>
        <v>GuanYu</v>
      </c>
      <c r="F288" t="s">
        <v>7</v>
      </c>
      <c r="G288" s="3" t="s">
        <v>814</v>
      </c>
    </row>
    <row r="289" spans="1:7" x14ac:dyDescent="0.3">
      <c r="A289" t="str">
        <f t="shared" si="29"/>
        <v>NODE_31</v>
      </c>
      <c r="B289">
        <f t="shared" si="27"/>
        <v>48</v>
      </c>
      <c r="C289" t="str">
        <f t="shared" si="32"/>
        <v>NODE_31_48</v>
      </c>
      <c r="E289" t="str">
        <f>VLOOKUP(F289,[1]HeroData!$A$3:$B$118,2, FALSE)</f>
        <v>GuanYu</v>
      </c>
      <c r="F289" t="s">
        <v>7</v>
      </c>
      <c r="G289" s="3" t="s">
        <v>815</v>
      </c>
    </row>
    <row r="290" spans="1:7" x14ac:dyDescent="0.3">
      <c r="A290" t="str">
        <f t="shared" si="29"/>
        <v>NODE_31</v>
      </c>
      <c r="B290">
        <f t="shared" si="27"/>
        <v>49</v>
      </c>
      <c r="C290" t="str">
        <f t="shared" si="32"/>
        <v>NODE_31_49</v>
      </c>
      <c r="E290" t="str">
        <f>VLOOKUP(F290,[1]HeroData!$A$3:$B$118,2, FALSE)</f>
        <v>GuanYu</v>
      </c>
      <c r="F290" t="s">
        <v>7</v>
      </c>
      <c r="G290" s="3" t="s">
        <v>816</v>
      </c>
    </row>
    <row r="291" spans="1:7" x14ac:dyDescent="0.3">
      <c r="A291" t="str">
        <f t="shared" si="29"/>
        <v>NODE_31</v>
      </c>
      <c r="B291">
        <f t="shared" si="27"/>
        <v>50</v>
      </c>
      <c r="C291" t="str">
        <f t="shared" si="32"/>
        <v>NODE_31_50</v>
      </c>
      <c r="E291" t="str">
        <f>VLOOKUP(F291,[1]HeroData!$A$3:$B$118,2, FALSE)</f>
        <v>ZhaoYun</v>
      </c>
      <c r="F291" t="s">
        <v>11</v>
      </c>
      <c r="G291" s="3" t="s">
        <v>686</v>
      </c>
    </row>
    <row r="292" spans="1:7" x14ac:dyDescent="0.3">
      <c r="A292" t="str">
        <f t="shared" si="29"/>
        <v>NODE_31</v>
      </c>
      <c r="B292">
        <f t="shared" si="27"/>
        <v>51</v>
      </c>
      <c r="C292" t="str">
        <f t="shared" si="32"/>
        <v>NODE_31_51</v>
      </c>
      <c r="E292" t="str">
        <f>VLOOKUP(F292,[1]HeroData!$A$3:$B$118,2, FALSE)</f>
        <v>ZhaoYun</v>
      </c>
      <c r="F292" t="s">
        <v>11</v>
      </c>
      <c r="G292" s="3" t="s">
        <v>829</v>
      </c>
    </row>
    <row r="293" spans="1:7" ht="33" x14ac:dyDescent="0.3">
      <c r="A293" t="str">
        <f t="shared" si="29"/>
        <v>NODE_31</v>
      </c>
      <c r="B293">
        <f t="shared" si="27"/>
        <v>52</v>
      </c>
      <c r="C293" t="str">
        <f t="shared" si="32"/>
        <v>NODE_31_52</v>
      </c>
      <c r="E293" t="str">
        <f>VLOOKUP(F293,[1]HeroData!$A$3:$B$118,2, FALSE)</f>
        <v>ZhaoYun</v>
      </c>
      <c r="F293" t="s">
        <v>11</v>
      </c>
      <c r="G293" s="3" t="s">
        <v>880</v>
      </c>
    </row>
    <row r="294" spans="1:7" x14ac:dyDescent="0.3">
      <c r="A294" t="str">
        <f>A293</f>
        <v>NODE_31</v>
      </c>
      <c r="B294">
        <f>B293+1</f>
        <v>53</v>
      </c>
      <c r="C294" t="str">
        <f t="shared" si="32"/>
        <v>NODE_31_53</v>
      </c>
      <c r="E294" t="str">
        <f>VLOOKUP(F294,[1]HeroData!$A$3:$B$118,2, FALSE)</f>
        <v>LiuBei</v>
      </c>
      <c r="F294" t="s">
        <v>5</v>
      </c>
      <c r="G294" s="3" t="s">
        <v>687</v>
      </c>
    </row>
    <row r="295" spans="1:7" ht="33" x14ac:dyDescent="0.3">
      <c r="A295" t="str">
        <f t="shared" si="29"/>
        <v>NODE_31</v>
      </c>
      <c r="B295">
        <f t="shared" si="27"/>
        <v>54</v>
      </c>
      <c r="C295" t="str">
        <f t="shared" si="32"/>
        <v>NODE_31_54</v>
      </c>
      <c r="E295" t="str">
        <f>VLOOKUP(F295,[1]HeroData!$A$3:$B$118,2, FALSE)</f>
        <v>LiuBei</v>
      </c>
      <c r="F295" t="s">
        <v>5</v>
      </c>
      <c r="G295" s="3" t="s">
        <v>803</v>
      </c>
    </row>
    <row r="296" spans="1:7" ht="33" x14ac:dyDescent="0.3">
      <c r="A296" t="str">
        <f t="shared" si="29"/>
        <v>NODE_31</v>
      </c>
      <c r="B296">
        <f t="shared" si="27"/>
        <v>55</v>
      </c>
      <c r="C296" t="str">
        <f t="shared" si="32"/>
        <v>NODE_31_55</v>
      </c>
      <c r="E296" t="str">
        <f>VLOOKUP(F296,[1]HeroData!$A$3:$B$118,2, FALSE)</f>
        <v>LiuBei</v>
      </c>
      <c r="F296" t="s">
        <v>5</v>
      </c>
      <c r="G296" s="3" t="s">
        <v>830</v>
      </c>
    </row>
    <row r="297" spans="1:7" ht="33" x14ac:dyDescent="0.3">
      <c r="A297" t="str">
        <f t="shared" si="29"/>
        <v>NODE_31</v>
      </c>
      <c r="B297">
        <f t="shared" si="27"/>
        <v>56</v>
      </c>
      <c r="C297" t="str">
        <f t="shared" si="32"/>
        <v>NODE_31_56</v>
      </c>
      <c r="E297" t="str">
        <f>VLOOKUP(F297,[1]HeroData!$A$3:$B$118,2, FALSE)</f>
        <v>LiuBei</v>
      </c>
      <c r="F297" t="s">
        <v>5</v>
      </c>
      <c r="G297" s="3" t="s">
        <v>831</v>
      </c>
    </row>
    <row r="298" spans="1:7" ht="33" x14ac:dyDescent="0.3">
      <c r="A298" t="str">
        <f t="shared" si="29"/>
        <v>NODE_31</v>
      </c>
      <c r="B298">
        <f t="shared" si="27"/>
        <v>57</v>
      </c>
      <c r="C298" t="str">
        <f t="shared" si="32"/>
        <v>NODE_31_57</v>
      </c>
      <c r="E298" t="str">
        <f>VLOOKUP(F298,[1]HeroData!$A$3:$B$118,2, FALSE)</f>
        <v>LiuBei</v>
      </c>
      <c r="F298" t="s">
        <v>5</v>
      </c>
      <c r="G298" s="3" t="s">
        <v>688</v>
      </c>
    </row>
    <row r="299" spans="1:7" ht="33" x14ac:dyDescent="0.3">
      <c r="A299" t="str">
        <f t="shared" si="29"/>
        <v>NODE_31</v>
      </c>
      <c r="B299">
        <f t="shared" si="27"/>
        <v>58</v>
      </c>
      <c r="C299" t="str">
        <f t="shared" si="32"/>
        <v>NODE_31_58</v>
      </c>
      <c r="E299" t="str">
        <f>VLOOKUP(F299,[1]HeroData!$A$3:$B$118,2, FALSE)</f>
        <v>LiuBei</v>
      </c>
      <c r="F299" t="s">
        <v>5</v>
      </c>
      <c r="G299" s="3" t="s">
        <v>689</v>
      </c>
    </row>
    <row r="300" spans="1:7" x14ac:dyDescent="0.3">
      <c r="A300" t="str">
        <f t="shared" si="29"/>
        <v>NODE_31</v>
      </c>
      <c r="B300">
        <f t="shared" si="27"/>
        <v>59</v>
      </c>
      <c r="C300" t="str">
        <f t="shared" si="32"/>
        <v>NODE_31_59</v>
      </c>
      <c r="E300" t="str">
        <f>VLOOKUP(F300,[1]HeroData!$A$3:$B$118,2, FALSE)</f>
        <v>LiuBei</v>
      </c>
      <c r="F300" t="s">
        <v>5</v>
      </c>
      <c r="G300" s="3" t="s">
        <v>841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26"/>
  <sheetViews>
    <sheetView topLeftCell="A94" workbookViewId="0">
      <selection activeCell="E121" sqref="E121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363</v>
      </c>
      <c r="B1" s="4" t="s">
        <v>125</v>
      </c>
      <c r="C1" s="4" t="s">
        <v>366</v>
      </c>
      <c r="D1" s="4" t="s">
        <v>3</v>
      </c>
      <c r="E1" s="32" t="s">
        <v>0</v>
      </c>
      <c r="F1" s="2" t="s">
        <v>1</v>
      </c>
      <c r="G1" s="31" t="s">
        <v>384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364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 x14ac:dyDescent="0.3">
      <c r="A4" s="27" t="s">
        <v>364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 x14ac:dyDescent="0.3">
      <c r="A5" s="27" t="s">
        <v>364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 x14ac:dyDescent="0.3">
      <c r="A6" s="27" t="s">
        <v>364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 x14ac:dyDescent="0.3">
      <c r="A7" s="27" t="s">
        <v>364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 x14ac:dyDescent="0.3">
      <c r="A8" s="27" t="s">
        <v>364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 x14ac:dyDescent="0.3">
      <c r="A9" s="27" t="s">
        <v>364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 x14ac:dyDescent="0.3">
      <c r="A10" s="27" t="s">
        <v>364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 x14ac:dyDescent="0.3">
      <c r="A11" s="27" t="s">
        <v>364</v>
      </c>
      <c r="B11" s="19" t="s">
        <v>310</v>
      </c>
      <c r="C11" s="19"/>
      <c r="D11" s="20" t="str">
        <f t="shared" si="0"/>
        <v>NODE_9_TITLE</v>
      </c>
      <c r="E11" s="33" t="s">
        <v>538</v>
      </c>
      <c r="F11" s="21"/>
    </row>
    <row r="12" spans="1:7" x14ac:dyDescent="0.3">
      <c r="A12" s="27" t="s">
        <v>364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 x14ac:dyDescent="0.3">
      <c r="A13" s="27" t="s">
        <v>364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 x14ac:dyDescent="0.3">
      <c r="A14" s="27" t="s">
        <v>364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 x14ac:dyDescent="0.3">
      <c r="A15" s="27" t="s">
        <v>364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 x14ac:dyDescent="0.3">
      <c r="A16" s="27" t="s">
        <v>364</v>
      </c>
      <c r="B16" s="19" t="s">
        <v>315</v>
      </c>
      <c r="C16" s="19"/>
      <c r="D16" s="20" t="str">
        <f t="shared" si="0"/>
        <v>NODE_13_TITLE</v>
      </c>
      <c r="E16" s="33" t="s">
        <v>381</v>
      </c>
      <c r="F16" s="21"/>
    </row>
    <row r="17" spans="1:6" x14ac:dyDescent="0.3">
      <c r="A17" s="27" t="s">
        <v>364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 x14ac:dyDescent="0.3">
      <c r="A18" s="27" t="s">
        <v>364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 x14ac:dyDescent="0.3">
      <c r="A19" s="27" t="s">
        <v>364</v>
      </c>
      <c r="B19" s="19" t="s">
        <v>318</v>
      </c>
      <c r="C19" s="19"/>
      <c r="D19" s="20" t="str">
        <f t="shared" si="0"/>
        <v>NODE_16_TITLE</v>
      </c>
      <c r="E19" s="33" t="s">
        <v>586</v>
      </c>
      <c r="F19" s="21"/>
    </row>
    <row r="20" spans="1:6" x14ac:dyDescent="0.3">
      <c r="A20" s="27" t="s">
        <v>364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 x14ac:dyDescent="0.3">
      <c r="A21" s="27" t="s">
        <v>364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 x14ac:dyDescent="0.3">
      <c r="A22" s="27" t="s">
        <v>364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 x14ac:dyDescent="0.3">
      <c r="A23" s="27" t="s">
        <v>364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 x14ac:dyDescent="0.3">
      <c r="A24" s="27" t="s">
        <v>364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 x14ac:dyDescent="0.3">
      <c r="A25" s="27" t="s">
        <v>364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 x14ac:dyDescent="0.3">
      <c r="A26" s="27" t="s">
        <v>364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 x14ac:dyDescent="0.3">
      <c r="A27" s="27" t="s">
        <v>364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 x14ac:dyDescent="0.3">
      <c r="A28" s="27" t="s">
        <v>364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 x14ac:dyDescent="0.3">
      <c r="A29" s="27" t="s">
        <v>364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 x14ac:dyDescent="0.3">
      <c r="A30" s="27" t="s">
        <v>364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 x14ac:dyDescent="0.3">
      <c r="A31" s="27" t="s">
        <v>364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 x14ac:dyDescent="0.3">
      <c r="A32" s="27" t="s">
        <v>364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 x14ac:dyDescent="0.3">
      <c r="A33" s="27" t="s">
        <v>364</v>
      </c>
      <c r="B33" s="19" t="s">
        <v>332</v>
      </c>
      <c r="C33" s="19"/>
      <c r="D33" s="20" t="str">
        <f t="shared" si="0"/>
        <v>NODE_26_TITLE</v>
      </c>
      <c r="E33" s="33" t="s">
        <v>536</v>
      </c>
      <c r="F33" s="21"/>
    </row>
    <row r="34" spans="1:6" x14ac:dyDescent="0.3">
      <c r="A34" s="27" t="s">
        <v>364</v>
      </c>
      <c r="B34" s="19" t="s">
        <v>333</v>
      </c>
      <c r="C34" s="19"/>
      <c r="D34" s="20" t="str">
        <f t="shared" si="0"/>
        <v>NODE_27_TITLE</v>
      </c>
      <c r="E34" s="33" t="s">
        <v>694</v>
      </c>
      <c r="F34" s="21"/>
    </row>
    <row r="35" spans="1:6" x14ac:dyDescent="0.3">
      <c r="A35" s="27" t="s">
        <v>364</v>
      </c>
      <c r="B35" s="22" t="s">
        <v>334</v>
      </c>
      <c r="C35" s="22"/>
      <c r="D35" s="23" t="str">
        <f t="shared" si="0"/>
        <v>NODE_28_TITLE</v>
      </c>
      <c r="E35" s="34" t="s">
        <v>695</v>
      </c>
      <c r="F35" s="24"/>
    </row>
    <row r="36" spans="1:6" x14ac:dyDescent="0.3">
      <c r="A36" s="21" t="s">
        <v>364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696</v>
      </c>
      <c r="F36" s="21"/>
    </row>
    <row r="37" spans="1:6" x14ac:dyDescent="0.3">
      <c r="A37" s="21" t="s">
        <v>364</v>
      </c>
      <c r="B37" s="19" t="s">
        <v>539</v>
      </c>
      <c r="C37" s="19"/>
      <c r="D37" s="20" t="str">
        <f t="shared" ref="D37:D40" si="2">UPPER(B37)&amp;"_TITLE"</f>
        <v>NODE_30A_TITLE</v>
      </c>
      <c r="E37" s="33" t="s">
        <v>47</v>
      </c>
      <c r="F37" s="33"/>
    </row>
    <row r="38" spans="1:6" x14ac:dyDescent="0.3">
      <c r="A38" s="21" t="s">
        <v>364</v>
      </c>
      <c r="B38" s="19" t="s">
        <v>540</v>
      </c>
      <c r="C38" s="19"/>
      <c r="D38" s="20" t="str">
        <f t="shared" si="2"/>
        <v>NODE_30B_TITLE</v>
      </c>
      <c r="E38" s="33" t="s">
        <v>530</v>
      </c>
      <c r="F38" s="21"/>
    </row>
    <row r="39" spans="1:6" x14ac:dyDescent="0.3">
      <c r="A39" s="21" t="s">
        <v>364</v>
      </c>
      <c r="B39" s="19" t="s">
        <v>541</v>
      </c>
      <c r="C39" s="19"/>
      <c r="D39" s="20" t="str">
        <f t="shared" si="2"/>
        <v>NODE_30C_TITLE</v>
      </c>
      <c r="E39" s="33" t="s">
        <v>533</v>
      </c>
      <c r="F39" s="21"/>
    </row>
    <row r="40" spans="1:6" x14ac:dyDescent="0.3">
      <c r="A40" s="21" t="s">
        <v>364</v>
      </c>
      <c r="B40" s="19" t="s">
        <v>693</v>
      </c>
      <c r="C40" s="19"/>
      <c r="D40" s="20" t="str">
        <f t="shared" si="2"/>
        <v>NODE_31_TITLE</v>
      </c>
      <c r="E40" s="28" t="s">
        <v>697</v>
      </c>
      <c r="F40" s="21"/>
    </row>
    <row r="41" spans="1:6" x14ac:dyDescent="0.3">
      <c r="A41" s="27" t="s">
        <v>369</v>
      </c>
      <c r="B41" s="19" t="s">
        <v>302</v>
      </c>
      <c r="C41" s="19"/>
      <c r="D41" s="20" t="str">
        <f t="shared" ref="D41" si="3">UPPER(B41)&amp;"_DESC"</f>
        <v>NODE_1_DESC</v>
      </c>
      <c r="E41" s="28" t="s">
        <v>386</v>
      </c>
      <c r="F41" s="21"/>
    </row>
    <row r="42" spans="1:6" x14ac:dyDescent="0.3">
      <c r="A42" s="27" t="s">
        <v>369</v>
      </c>
      <c r="B42" s="19" t="s">
        <v>303</v>
      </c>
      <c r="C42" s="19"/>
      <c r="D42" s="20" t="str">
        <f t="shared" ref="D42:D73" si="4">UPPER(B42)&amp;"_DESC"</f>
        <v>NODE_2_DESC</v>
      </c>
      <c r="E42" s="33" t="s">
        <v>372</v>
      </c>
      <c r="F42" s="21"/>
    </row>
    <row r="43" spans="1:6" x14ac:dyDescent="0.3">
      <c r="A43" s="27" t="s">
        <v>369</v>
      </c>
      <c r="B43" s="19" t="s">
        <v>304</v>
      </c>
      <c r="C43" s="19"/>
      <c r="D43" s="20" t="str">
        <f t="shared" si="4"/>
        <v>NODE_3_DESC</v>
      </c>
      <c r="E43" s="28" t="s">
        <v>387</v>
      </c>
      <c r="F43" s="21"/>
    </row>
    <row r="44" spans="1:6" x14ac:dyDescent="0.3">
      <c r="A44" s="27" t="s">
        <v>369</v>
      </c>
      <c r="B44" s="19" t="s">
        <v>305</v>
      </c>
      <c r="C44" s="19"/>
      <c r="D44" s="20" t="str">
        <f t="shared" si="4"/>
        <v>NODE_4_DESC</v>
      </c>
      <c r="E44" s="33" t="s">
        <v>373</v>
      </c>
      <c r="F44" s="21"/>
    </row>
    <row r="45" spans="1:6" x14ac:dyDescent="0.3">
      <c r="A45" s="27" t="s">
        <v>369</v>
      </c>
      <c r="B45" s="19" t="s">
        <v>306</v>
      </c>
      <c r="C45" s="19"/>
      <c r="D45" s="20" t="str">
        <f t="shared" si="4"/>
        <v>NODE_5_DESC</v>
      </c>
      <c r="E45" s="33" t="s">
        <v>374</v>
      </c>
      <c r="F45" s="21"/>
    </row>
    <row r="46" spans="1:6" x14ac:dyDescent="0.3">
      <c r="A46" s="27" t="s">
        <v>369</v>
      </c>
      <c r="B46" s="19" t="s">
        <v>307</v>
      </c>
      <c r="C46" s="19"/>
      <c r="D46" s="20" t="str">
        <f t="shared" si="4"/>
        <v>NODE_6_DESC</v>
      </c>
      <c r="E46" s="33" t="s">
        <v>377</v>
      </c>
      <c r="F46" s="21"/>
    </row>
    <row r="47" spans="1:6" x14ac:dyDescent="0.3">
      <c r="A47" s="27" t="s">
        <v>369</v>
      </c>
      <c r="B47" s="19" t="s">
        <v>308</v>
      </c>
      <c r="C47" s="19"/>
      <c r="D47" s="20" t="str">
        <f t="shared" si="4"/>
        <v>NODE_7_DESC</v>
      </c>
      <c r="E47" s="33" t="s">
        <v>395</v>
      </c>
      <c r="F47" s="21"/>
    </row>
    <row r="48" spans="1:6" x14ac:dyDescent="0.3">
      <c r="A48" s="27" t="s">
        <v>369</v>
      </c>
      <c r="B48" s="19" t="s">
        <v>309</v>
      </c>
      <c r="C48" s="19"/>
      <c r="D48" s="20" t="str">
        <f t="shared" si="4"/>
        <v>NODE_8_DESC</v>
      </c>
      <c r="E48" s="33" t="s">
        <v>370</v>
      </c>
      <c r="F48" s="21"/>
    </row>
    <row r="49" spans="1:7" x14ac:dyDescent="0.3">
      <c r="A49" s="27" t="s">
        <v>369</v>
      </c>
      <c r="B49" s="19" t="s">
        <v>310</v>
      </c>
      <c r="C49" s="19"/>
      <c r="D49" s="20" t="str">
        <f t="shared" si="4"/>
        <v>NODE_9_DESC</v>
      </c>
      <c r="E49" s="33" t="s">
        <v>375</v>
      </c>
      <c r="F49" s="21"/>
    </row>
    <row r="50" spans="1:7" x14ac:dyDescent="0.3">
      <c r="A50" s="27" t="s">
        <v>369</v>
      </c>
      <c r="B50" s="19" t="s">
        <v>311</v>
      </c>
      <c r="C50" s="19"/>
      <c r="D50" s="20" t="str">
        <f t="shared" si="4"/>
        <v>NODE_10_DESC</v>
      </c>
      <c r="E50" s="33" t="s">
        <v>376</v>
      </c>
      <c r="F50" s="21"/>
    </row>
    <row r="51" spans="1:7" x14ac:dyDescent="0.3">
      <c r="A51" s="27" t="s">
        <v>369</v>
      </c>
      <c r="B51" s="19" t="s">
        <v>312</v>
      </c>
      <c r="C51" s="19"/>
      <c r="D51" s="20" t="str">
        <f t="shared" si="4"/>
        <v>NODE_11_DESC</v>
      </c>
      <c r="E51" s="33" t="s">
        <v>378</v>
      </c>
      <c r="F51" s="21"/>
    </row>
    <row r="52" spans="1:7" x14ac:dyDescent="0.3">
      <c r="A52" s="27" t="s">
        <v>369</v>
      </c>
      <c r="B52" s="19" t="s">
        <v>313</v>
      </c>
      <c r="C52" s="19"/>
      <c r="D52" s="20" t="str">
        <f t="shared" si="4"/>
        <v>NODE_12A_DESC</v>
      </c>
      <c r="E52" s="33" t="s">
        <v>379</v>
      </c>
      <c r="F52" s="21"/>
    </row>
    <row r="53" spans="1:7" x14ac:dyDescent="0.3">
      <c r="A53" s="27" t="s">
        <v>369</v>
      </c>
      <c r="B53" s="19" t="s">
        <v>314</v>
      </c>
      <c r="C53" s="19"/>
      <c r="D53" s="20" t="str">
        <f t="shared" si="4"/>
        <v>NODE_12B_DESC</v>
      </c>
      <c r="E53" s="33" t="s">
        <v>380</v>
      </c>
      <c r="F53" s="21"/>
    </row>
    <row r="54" spans="1:7" x14ac:dyDescent="0.3">
      <c r="A54" s="27" t="s">
        <v>369</v>
      </c>
      <c r="B54" s="19" t="s">
        <v>315</v>
      </c>
      <c r="C54" s="19"/>
      <c r="D54" s="20" t="str">
        <f t="shared" si="4"/>
        <v>NODE_13_DESC</v>
      </c>
      <c r="E54" s="33" t="s">
        <v>388</v>
      </c>
      <c r="F54" s="21"/>
      <c r="G54" s="35"/>
    </row>
    <row r="55" spans="1:7" x14ac:dyDescent="0.3">
      <c r="A55" s="27" t="s">
        <v>369</v>
      </c>
      <c r="B55" s="19" t="s">
        <v>316</v>
      </c>
      <c r="C55" s="19"/>
      <c r="D55" s="20" t="str">
        <f t="shared" si="4"/>
        <v>NODE_14_DESC</v>
      </c>
      <c r="E55" s="33" t="s">
        <v>371</v>
      </c>
      <c r="F55" s="21"/>
      <c r="G55" s="35"/>
    </row>
    <row r="56" spans="1:7" x14ac:dyDescent="0.3">
      <c r="A56" s="27" t="s">
        <v>369</v>
      </c>
      <c r="B56" s="19" t="s">
        <v>317</v>
      </c>
      <c r="C56" s="19"/>
      <c r="D56" s="20" t="str">
        <f t="shared" si="4"/>
        <v>NODE_15_DESC</v>
      </c>
      <c r="E56" s="33" t="s">
        <v>382</v>
      </c>
      <c r="F56" s="21"/>
      <c r="G56" s="35"/>
    </row>
    <row r="57" spans="1:7" x14ac:dyDescent="0.3">
      <c r="A57" s="27" t="s">
        <v>369</v>
      </c>
      <c r="B57" s="19" t="s">
        <v>318</v>
      </c>
      <c r="C57" s="19"/>
      <c r="D57" s="20" t="str">
        <f t="shared" si="4"/>
        <v>NODE_16_DESC</v>
      </c>
      <c r="E57" s="33" t="s">
        <v>383</v>
      </c>
      <c r="F57" s="21"/>
      <c r="G57" s="35"/>
    </row>
    <row r="58" spans="1:7" x14ac:dyDescent="0.3">
      <c r="A58" s="27" t="s">
        <v>369</v>
      </c>
      <c r="B58" s="19" t="s">
        <v>319</v>
      </c>
      <c r="C58" s="19"/>
      <c r="D58" s="20" t="str">
        <f t="shared" si="4"/>
        <v>NODE_17_DESC</v>
      </c>
      <c r="E58" s="33" t="s">
        <v>389</v>
      </c>
      <c r="F58" s="21"/>
      <c r="G58" s="35"/>
    </row>
    <row r="59" spans="1:7" x14ac:dyDescent="0.3">
      <c r="A59" s="27" t="s">
        <v>369</v>
      </c>
      <c r="B59" s="19" t="s">
        <v>320</v>
      </c>
      <c r="C59" s="19"/>
      <c r="D59" s="20" t="str">
        <f t="shared" si="4"/>
        <v>NODE_18_DESC</v>
      </c>
      <c r="E59" s="33" t="s">
        <v>390</v>
      </c>
      <c r="F59" s="21"/>
      <c r="G59" s="35"/>
    </row>
    <row r="60" spans="1:7" x14ac:dyDescent="0.3">
      <c r="A60" s="27" t="s">
        <v>369</v>
      </c>
      <c r="B60" s="19" t="s">
        <v>321</v>
      </c>
      <c r="C60" s="19"/>
      <c r="D60" s="20" t="str">
        <f t="shared" si="4"/>
        <v>NODE_19A_DESC</v>
      </c>
      <c r="E60" s="33" t="s">
        <v>391</v>
      </c>
      <c r="F60" s="21"/>
      <c r="G60" s="35"/>
    </row>
    <row r="61" spans="1:7" x14ac:dyDescent="0.3">
      <c r="A61" s="27" t="s">
        <v>369</v>
      </c>
      <c r="B61" s="19" t="s">
        <v>322</v>
      </c>
      <c r="C61" s="19"/>
      <c r="D61" s="20" t="str">
        <f t="shared" si="4"/>
        <v>NODE_19B_DESC</v>
      </c>
      <c r="E61" s="33" t="s">
        <v>392</v>
      </c>
      <c r="F61" s="21"/>
      <c r="G61" s="35"/>
    </row>
    <row r="62" spans="1:7" x14ac:dyDescent="0.3">
      <c r="A62" s="27" t="s">
        <v>369</v>
      </c>
      <c r="B62" s="19" t="s">
        <v>323</v>
      </c>
      <c r="C62" s="19"/>
      <c r="D62" s="20" t="str">
        <f t="shared" si="4"/>
        <v>NODE_20_DESC</v>
      </c>
      <c r="E62" s="33" t="s">
        <v>393</v>
      </c>
      <c r="F62" s="21"/>
      <c r="G62" s="35"/>
    </row>
    <row r="63" spans="1:7" x14ac:dyDescent="0.3">
      <c r="A63" s="27" t="s">
        <v>369</v>
      </c>
      <c r="B63" s="19" t="s">
        <v>324</v>
      </c>
      <c r="C63" s="19"/>
      <c r="D63" s="20" t="str">
        <f t="shared" si="4"/>
        <v>NODE_21A_DESC</v>
      </c>
      <c r="E63" s="33" t="s">
        <v>394</v>
      </c>
      <c r="F63" s="21"/>
      <c r="G63" s="35"/>
    </row>
    <row r="64" spans="1:7" x14ac:dyDescent="0.3">
      <c r="A64" s="27" t="s">
        <v>369</v>
      </c>
      <c r="B64" s="19" t="s">
        <v>325</v>
      </c>
      <c r="C64" s="19"/>
      <c r="D64" s="20" t="str">
        <f t="shared" si="4"/>
        <v>NODE_21B_DESC</v>
      </c>
      <c r="E64" s="33" t="s">
        <v>396</v>
      </c>
      <c r="F64" s="21"/>
      <c r="G64" s="35"/>
    </row>
    <row r="65" spans="1:7" x14ac:dyDescent="0.3">
      <c r="A65" s="27" t="s">
        <v>369</v>
      </c>
      <c r="B65" s="19" t="s">
        <v>326</v>
      </c>
      <c r="C65" s="19"/>
      <c r="D65" s="20" t="str">
        <f t="shared" si="4"/>
        <v>NODE_22_DESC</v>
      </c>
      <c r="E65" s="33" t="s">
        <v>397</v>
      </c>
      <c r="F65" s="21"/>
      <c r="G65" s="35"/>
    </row>
    <row r="66" spans="1:7" x14ac:dyDescent="0.3">
      <c r="A66" s="27" t="s">
        <v>369</v>
      </c>
      <c r="B66" s="19" t="s">
        <v>327</v>
      </c>
      <c r="C66" s="19"/>
      <c r="D66" s="20" t="str">
        <f t="shared" si="4"/>
        <v>NODE_23A_DESC</v>
      </c>
      <c r="E66" s="33" t="s">
        <v>398</v>
      </c>
      <c r="F66" s="21"/>
      <c r="G66" s="35"/>
    </row>
    <row r="67" spans="1:7" x14ac:dyDescent="0.3">
      <c r="A67" s="27" t="s">
        <v>369</v>
      </c>
      <c r="B67" s="19" t="s">
        <v>328</v>
      </c>
      <c r="C67" s="19"/>
      <c r="D67" s="20" t="str">
        <f t="shared" si="4"/>
        <v>NODE_23B_DESC</v>
      </c>
      <c r="E67" s="33" t="s">
        <v>399</v>
      </c>
      <c r="F67" s="21"/>
      <c r="G67" s="35"/>
    </row>
    <row r="68" spans="1:7" x14ac:dyDescent="0.3">
      <c r="A68" s="27" t="s">
        <v>369</v>
      </c>
      <c r="B68" s="19" t="s">
        <v>329</v>
      </c>
      <c r="C68" s="19"/>
      <c r="D68" s="20" t="str">
        <f t="shared" si="4"/>
        <v>NODE_24A_DESC</v>
      </c>
      <c r="E68" s="33" t="s">
        <v>400</v>
      </c>
      <c r="F68" s="21"/>
      <c r="G68" s="35"/>
    </row>
    <row r="69" spans="1:7" x14ac:dyDescent="0.3">
      <c r="A69" s="27" t="s">
        <v>369</v>
      </c>
      <c r="B69" s="19" t="s">
        <v>330</v>
      </c>
      <c r="C69" s="19"/>
      <c r="D69" s="20" t="str">
        <f t="shared" si="4"/>
        <v>NODE_24B_DESC</v>
      </c>
      <c r="E69" s="33" t="s">
        <v>401</v>
      </c>
      <c r="F69" s="21"/>
      <c r="G69" s="35"/>
    </row>
    <row r="70" spans="1:7" x14ac:dyDescent="0.3">
      <c r="A70" s="27" t="s">
        <v>369</v>
      </c>
      <c r="B70" s="19" t="s">
        <v>331</v>
      </c>
      <c r="C70" s="19"/>
      <c r="D70" s="20" t="str">
        <f t="shared" si="4"/>
        <v>NODE_25_DESC</v>
      </c>
      <c r="E70" s="33" t="s">
        <v>535</v>
      </c>
      <c r="F70" s="21"/>
      <c r="G70" s="35"/>
    </row>
    <row r="71" spans="1:7" x14ac:dyDescent="0.3">
      <c r="A71" s="27" t="s">
        <v>369</v>
      </c>
      <c r="B71" s="19" t="s">
        <v>332</v>
      </c>
      <c r="C71" s="19"/>
      <c r="D71" s="20" t="str">
        <f t="shared" si="4"/>
        <v>NODE_26_DESC</v>
      </c>
      <c r="E71" s="33" t="s">
        <v>537</v>
      </c>
      <c r="F71" s="21"/>
    </row>
    <row r="72" spans="1:7" x14ac:dyDescent="0.3">
      <c r="A72" s="27" t="s">
        <v>369</v>
      </c>
      <c r="B72" s="19" t="s">
        <v>333</v>
      </c>
      <c r="C72" s="19"/>
      <c r="D72" s="20" t="str">
        <f t="shared" si="4"/>
        <v>NODE_27_DESC</v>
      </c>
      <c r="E72" s="33" t="s">
        <v>698</v>
      </c>
      <c r="F72" s="21"/>
    </row>
    <row r="73" spans="1:7" x14ac:dyDescent="0.3">
      <c r="A73" s="27" t="s">
        <v>369</v>
      </c>
      <c r="B73" s="22" t="s">
        <v>334</v>
      </c>
      <c r="C73" s="22"/>
      <c r="D73" s="20" t="str">
        <f t="shared" si="4"/>
        <v>NODE_28_DESC</v>
      </c>
      <c r="E73" s="33" t="s">
        <v>699</v>
      </c>
      <c r="F73" s="24"/>
    </row>
    <row r="74" spans="1:7" x14ac:dyDescent="0.3">
      <c r="A74" s="27" t="s">
        <v>369</v>
      </c>
      <c r="B74" s="19" t="s">
        <v>335</v>
      </c>
      <c r="C74" s="19"/>
      <c r="D74" s="20" t="str">
        <f>UPPER(B74)&amp;"_DESC"</f>
        <v>NODE_29_DESC</v>
      </c>
      <c r="E74" s="33" t="s">
        <v>743</v>
      </c>
      <c r="F74" s="21"/>
    </row>
    <row r="75" spans="1:7" x14ac:dyDescent="0.3">
      <c r="A75" s="27" t="s">
        <v>369</v>
      </c>
      <c r="B75" s="19" t="s">
        <v>539</v>
      </c>
      <c r="C75" s="19"/>
      <c r="D75" s="20" t="str">
        <f t="shared" ref="D75:D76" si="5">UPPER(B75)&amp;"_DESC"</f>
        <v>NODE_30A_DESC</v>
      </c>
      <c r="E75" s="33" t="s">
        <v>531</v>
      </c>
      <c r="F75" s="33"/>
    </row>
    <row r="76" spans="1:7" x14ac:dyDescent="0.3">
      <c r="A76" s="27" t="s">
        <v>369</v>
      </c>
      <c r="B76" s="19" t="s">
        <v>540</v>
      </c>
      <c r="C76" s="22"/>
      <c r="D76" s="20" t="str">
        <f t="shared" si="5"/>
        <v>NODE_30B_DESC</v>
      </c>
      <c r="E76" s="33" t="s">
        <v>532</v>
      </c>
      <c r="F76" s="24"/>
    </row>
    <row r="77" spans="1:7" x14ac:dyDescent="0.3">
      <c r="A77" s="27" t="s">
        <v>369</v>
      </c>
      <c r="B77" s="19" t="s">
        <v>541</v>
      </c>
      <c r="C77" s="19"/>
      <c r="D77" s="20" t="str">
        <f>UPPER(B77)&amp;"_DESC"</f>
        <v>NODE_30C_DESC</v>
      </c>
      <c r="E77" s="33" t="s">
        <v>534</v>
      </c>
      <c r="F77" s="21"/>
    </row>
    <row r="78" spans="1:7" x14ac:dyDescent="0.3">
      <c r="A78" s="27" t="s">
        <v>369</v>
      </c>
      <c r="B78" s="19" t="s">
        <v>693</v>
      </c>
      <c r="C78" s="19"/>
      <c r="D78" s="20" t="str">
        <f>UPPER(B78)&amp;"_DESC"</f>
        <v>NODE_31_DESC</v>
      </c>
      <c r="E78" s="33" t="s">
        <v>700</v>
      </c>
      <c r="F78" s="21"/>
    </row>
    <row r="79" spans="1:7" x14ac:dyDescent="0.2">
      <c r="A79" s="21" t="s">
        <v>365</v>
      </c>
      <c r="B79" s="25" t="s">
        <v>302</v>
      </c>
      <c r="C79" s="26">
        <v>1</v>
      </c>
      <c r="D79" s="20" t="str">
        <f t="shared" ref="D79:D101" si="6">UPPER(B79)&amp;"_CHOICE_"&amp;C79</f>
        <v>NODE_1_CHOICE_1</v>
      </c>
      <c r="E79" s="29"/>
      <c r="F79" s="21"/>
    </row>
    <row r="80" spans="1:7" x14ac:dyDescent="0.2">
      <c r="A80" s="21" t="s">
        <v>365</v>
      </c>
      <c r="B80" s="25" t="s">
        <v>302</v>
      </c>
      <c r="C80" s="26">
        <v>2</v>
      </c>
      <c r="D80" s="20" t="str">
        <f t="shared" si="6"/>
        <v>NODE_1_CHOICE_2</v>
      </c>
      <c r="E80" s="29"/>
      <c r="F80" s="21"/>
    </row>
    <row r="81" spans="1:6" x14ac:dyDescent="0.2">
      <c r="A81" s="21" t="s">
        <v>365</v>
      </c>
      <c r="B81" s="25" t="s">
        <v>306</v>
      </c>
      <c r="C81" s="26">
        <v>1</v>
      </c>
      <c r="D81" s="20" t="str">
        <f t="shared" si="6"/>
        <v>NODE_5_CHOICE_1</v>
      </c>
      <c r="E81" s="29"/>
      <c r="F81" s="21"/>
    </row>
    <row r="82" spans="1:6" x14ac:dyDescent="0.2">
      <c r="A82" s="21" t="s">
        <v>365</v>
      </c>
      <c r="B82" s="25" t="s">
        <v>306</v>
      </c>
      <c r="C82" s="26">
        <v>2</v>
      </c>
      <c r="D82" s="20" t="str">
        <f t="shared" si="6"/>
        <v>NODE_5_CHOICE_2</v>
      </c>
      <c r="E82" s="29"/>
      <c r="F82" s="21"/>
    </row>
    <row r="83" spans="1:6" x14ac:dyDescent="0.2">
      <c r="A83" s="21" t="s">
        <v>365</v>
      </c>
      <c r="B83" s="25" t="s">
        <v>307</v>
      </c>
      <c r="C83" s="26">
        <v>1</v>
      </c>
      <c r="D83" s="20" t="str">
        <f t="shared" si="6"/>
        <v>NODE_6_CHOICE_1</v>
      </c>
      <c r="E83" s="29"/>
      <c r="F83" s="21"/>
    </row>
    <row r="84" spans="1:6" x14ac:dyDescent="0.2">
      <c r="A84" s="21" t="s">
        <v>365</v>
      </c>
      <c r="B84" s="25" t="s">
        <v>307</v>
      </c>
      <c r="C84" s="26">
        <v>2</v>
      </c>
      <c r="D84" s="20" t="str">
        <f t="shared" si="6"/>
        <v>NODE_6_CHOICE_2</v>
      </c>
      <c r="E84" s="29"/>
      <c r="F84" s="21"/>
    </row>
    <row r="85" spans="1:6" x14ac:dyDescent="0.2">
      <c r="A85" s="21" t="s">
        <v>365</v>
      </c>
      <c r="B85" s="25" t="s">
        <v>308</v>
      </c>
      <c r="C85" s="26">
        <v>1</v>
      </c>
      <c r="D85" s="20" t="str">
        <f t="shared" si="6"/>
        <v>NODE_7_CHOICE_1</v>
      </c>
      <c r="E85" s="29"/>
      <c r="F85" s="21"/>
    </row>
    <row r="86" spans="1:6" x14ac:dyDescent="0.2">
      <c r="A86" s="21" t="s">
        <v>365</v>
      </c>
      <c r="B86" s="25" t="s">
        <v>308</v>
      </c>
      <c r="C86" s="26">
        <v>2</v>
      </c>
      <c r="D86" s="20" t="str">
        <f t="shared" si="6"/>
        <v>NODE_7_CHOICE_2</v>
      </c>
      <c r="E86" s="29"/>
      <c r="F86" s="21"/>
    </row>
    <row r="87" spans="1:6" x14ac:dyDescent="0.2">
      <c r="A87" s="21" t="s">
        <v>365</v>
      </c>
      <c r="B87" s="25" t="s">
        <v>311</v>
      </c>
      <c r="C87" s="26">
        <v>1</v>
      </c>
      <c r="D87" s="20" t="str">
        <f t="shared" si="6"/>
        <v>NODE_10_CHOICE_1</v>
      </c>
      <c r="E87" s="29"/>
      <c r="F87" s="21"/>
    </row>
    <row r="88" spans="1:6" x14ac:dyDescent="0.2">
      <c r="A88" s="21" t="s">
        <v>365</v>
      </c>
      <c r="B88" s="25" t="s">
        <v>311</v>
      </c>
      <c r="C88" s="26">
        <v>2</v>
      </c>
      <c r="D88" s="20" t="str">
        <f t="shared" si="6"/>
        <v>NODE_10_CHOICE_2</v>
      </c>
      <c r="E88" s="29"/>
      <c r="F88" s="21"/>
    </row>
    <row r="89" spans="1:6" x14ac:dyDescent="0.2">
      <c r="A89" s="21" t="s">
        <v>365</v>
      </c>
      <c r="B89" s="25" t="s">
        <v>314</v>
      </c>
      <c r="C89" s="26">
        <v>1</v>
      </c>
      <c r="D89" s="20" t="str">
        <f t="shared" si="6"/>
        <v>NODE_12B_CHOICE_1</v>
      </c>
      <c r="E89" s="29"/>
      <c r="F89" s="21"/>
    </row>
    <row r="90" spans="1:6" x14ac:dyDescent="0.2">
      <c r="A90" s="21" t="s">
        <v>365</v>
      </c>
      <c r="B90" s="25" t="s">
        <v>314</v>
      </c>
      <c r="C90" s="26">
        <v>2</v>
      </c>
      <c r="D90" s="20" t="str">
        <f t="shared" si="6"/>
        <v>NODE_12B_CHOICE_2</v>
      </c>
      <c r="E90" s="29"/>
      <c r="F90" s="21"/>
    </row>
    <row r="91" spans="1:6" x14ac:dyDescent="0.2">
      <c r="A91" s="21" t="s">
        <v>365</v>
      </c>
      <c r="B91" s="25" t="s">
        <v>316</v>
      </c>
      <c r="C91" s="26">
        <v>1</v>
      </c>
      <c r="D91" s="20" t="str">
        <f t="shared" si="6"/>
        <v>NODE_14_CHOICE_1</v>
      </c>
      <c r="E91" s="29"/>
      <c r="F91" s="21"/>
    </row>
    <row r="92" spans="1:6" x14ac:dyDescent="0.2">
      <c r="A92" s="21" t="s">
        <v>365</v>
      </c>
      <c r="B92" s="25" t="s">
        <v>316</v>
      </c>
      <c r="C92" s="26">
        <v>2</v>
      </c>
      <c r="D92" s="20" t="str">
        <f t="shared" si="6"/>
        <v>NODE_14_CHOICE_2</v>
      </c>
      <c r="E92" s="29"/>
      <c r="F92" s="21"/>
    </row>
    <row r="93" spans="1:6" x14ac:dyDescent="0.2">
      <c r="A93" s="21" t="s">
        <v>365</v>
      </c>
      <c r="B93" s="25" t="s">
        <v>317</v>
      </c>
      <c r="C93" s="26">
        <v>1</v>
      </c>
      <c r="D93" s="20" t="str">
        <f t="shared" si="6"/>
        <v>NODE_15_CHOICE_1</v>
      </c>
      <c r="E93" s="29"/>
      <c r="F93" s="21"/>
    </row>
    <row r="94" spans="1:6" x14ac:dyDescent="0.2">
      <c r="A94" s="21" t="s">
        <v>365</v>
      </c>
      <c r="B94" s="25" t="s">
        <v>317</v>
      </c>
      <c r="C94" s="26">
        <v>2</v>
      </c>
      <c r="D94" s="20" t="str">
        <f t="shared" si="6"/>
        <v>NODE_15_CHOICE_2</v>
      </c>
      <c r="E94" s="29"/>
      <c r="F94" s="21"/>
    </row>
    <row r="95" spans="1:6" ht="33" x14ac:dyDescent="0.2">
      <c r="A95" s="21" t="s">
        <v>365</v>
      </c>
      <c r="B95" s="25" t="s">
        <v>318</v>
      </c>
      <c r="C95" s="26">
        <v>1</v>
      </c>
      <c r="D95" s="20" t="str">
        <f t="shared" si="6"/>
        <v>NODE_16_CHOICE_1</v>
      </c>
      <c r="E95" s="38" t="s">
        <v>609</v>
      </c>
      <c r="F95" s="21"/>
    </row>
    <row r="96" spans="1:6" ht="33" x14ac:dyDescent="0.2">
      <c r="A96" s="21" t="s">
        <v>365</v>
      </c>
      <c r="B96" s="25" t="s">
        <v>318</v>
      </c>
      <c r="C96" s="26">
        <v>2</v>
      </c>
      <c r="D96" s="20" t="str">
        <f t="shared" si="6"/>
        <v>NODE_16_CHOICE_2</v>
      </c>
      <c r="E96" s="38" t="s">
        <v>610</v>
      </c>
      <c r="F96" s="21"/>
    </row>
    <row r="97" spans="1:6" x14ac:dyDescent="0.2">
      <c r="A97" s="21" t="s">
        <v>365</v>
      </c>
      <c r="B97" s="25" t="s">
        <v>322</v>
      </c>
      <c r="C97" s="26">
        <v>1</v>
      </c>
      <c r="D97" s="20" t="str">
        <f t="shared" si="6"/>
        <v>NODE_19B_CHOICE_1</v>
      </c>
      <c r="E97" s="29"/>
      <c r="F97" s="21"/>
    </row>
    <row r="98" spans="1:6" x14ac:dyDescent="0.2">
      <c r="A98" s="21" t="s">
        <v>365</v>
      </c>
      <c r="B98" s="25" t="s">
        <v>322</v>
      </c>
      <c r="C98" s="26">
        <v>2</v>
      </c>
      <c r="D98" s="20" t="str">
        <f t="shared" si="6"/>
        <v>NODE_19B_CHOICE_2</v>
      </c>
      <c r="E98" s="29"/>
      <c r="F98" s="21"/>
    </row>
    <row r="99" spans="1:6" x14ac:dyDescent="0.2">
      <c r="A99" s="21" t="s">
        <v>365</v>
      </c>
      <c r="B99" s="25" t="s">
        <v>325</v>
      </c>
      <c r="C99" s="26">
        <v>1</v>
      </c>
      <c r="D99" s="20" t="str">
        <f t="shared" si="6"/>
        <v>NODE_21B_CHOICE_1</v>
      </c>
      <c r="E99" s="29"/>
      <c r="F99" s="21"/>
    </row>
    <row r="100" spans="1:6" x14ac:dyDescent="0.2">
      <c r="A100" s="21" t="s">
        <v>365</v>
      </c>
      <c r="B100" s="25" t="s">
        <v>325</v>
      </c>
      <c r="C100" s="26">
        <v>2</v>
      </c>
      <c r="D100" s="20" t="str">
        <f t="shared" si="6"/>
        <v>NODE_21B_CHOICE_2</v>
      </c>
      <c r="E100" s="29"/>
      <c r="F100" s="21"/>
    </row>
    <row r="101" spans="1:6" x14ac:dyDescent="0.2">
      <c r="A101" s="21" t="s">
        <v>365</v>
      </c>
      <c r="B101" s="25" t="s">
        <v>331</v>
      </c>
      <c r="C101" s="26">
        <v>1</v>
      </c>
      <c r="D101" s="20" t="str">
        <f t="shared" si="6"/>
        <v>NODE_25_CHOICE_1</v>
      </c>
      <c r="E101" s="29"/>
      <c r="F101" s="21"/>
    </row>
    <row r="102" spans="1:6" x14ac:dyDescent="0.2">
      <c r="A102" s="21" t="s">
        <v>365</v>
      </c>
      <c r="B102" s="25" t="s">
        <v>331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6" x14ac:dyDescent="0.2">
      <c r="A103" s="21" t="s">
        <v>367</v>
      </c>
      <c r="B103" s="25" t="s">
        <v>302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7">"선택"&amp;C103</f>
        <v>선택1</v>
      </c>
      <c r="F103" s="21"/>
    </row>
    <row r="104" spans="1:6" x14ac:dyDescent="0.2">
      <c r="A104" s="21" t="s">
        <v>367</v>
      </c>
      <c r="B104" s="25" t="s">
        <v>302</v>
      </c>
      <c r="C104" s="26">
        <v>2</v>
      </c>
      <c r="D104" s="20" t="str">
        <f t="shared" ref="D104:D126" si="8">UPPER(B104)&amp;"_CHOICE_"&amp;C104&amp;"_DESC"</f>
        <v>NODE_1_CHOICE_2_DESC</v>
      </c>
      <c r="E104" s="29" t="str">
        <f t="shared" si="7"/>
        <v>선택2</v>
      </c>
      <c r="F104" s="21"/>
    </row>
    <row r="105" spans="1:6" x14ac:dyDescent="0.2">
      <c r="A105" s="21" t="s">
        <v>367</v>
      </c>
      <c r="B105" s="25" t="s">
        <v>402</v>
      </c>
      <c r="C105" s="26">
        <v>1</v>
      </c>
      <c r="D105" s="20" t="str">
        <f t="shared" si="8"/>
        <v>NODE_5_CHOICE_1_DESC</v>
      </c>
      <c r="E105" s="29" t="str">
        <f t="shared" si="7"/>
        <v>선택1</v>
      </c>
      <c r="F105" s="21"/>
    </row>
    <row r="106" spans="1:6" x14ac:dyDescent="0.2">
      <c r="A106" s="21" t="s">
        <v>367</v>
      </c>
      <c r="B106" s="25" t="s">
        <v>402</v>
      </c>
      <c r="C106" s="26">
        <v>2</v>
      </c>
      <c r="D106" s="20" t="str">
        <f t="shared" si="8"/>
        <v>NODE_5_CHOICE_2_DESC</v>
      </c>
      <c r="E106" s="29" t="str">
        <f t="shared" si="7"/>
        <v>선택2</v>
      </c>
      <c r="F106" s="21"/>
    </row>
    <row r="107" spans="1:6" x14ac:dyDescent="0.2">
      <c r="A107" s="21" t="s">
        <v>367</v>
      </c>
      <c r="B107" s="25" t="s">
        <v>307</v>
      </c>
      <c r="C107" s="26">
        <v>1</v>
      </c>
      <c r="D107" s="20" t="str">
        <f t="shared" si="8"/>
        <v>NODE_6_CHOICE_1_DESC</v>
      </c>
      <c r="E107" s="29" t="str">
        <f t="shared" si="7"/>
        <v>선택1</v>
      </c>
      <c r="F107" s="21"/>
    </row>
    <row r="108" spans="1:6" x14ac:dyDescent="0.2">
      <c r="A108" s="21" t="s">
        <v>367</v>
      </c>
      <c r="B108" s="25" t="s">
        <v>307</v>
      </c>
      <c r="C108" s="26">
        <v>2</v>
      </c>
      <c r="D108" s="20" t="str">
        <f t="shared" si="8"/>
        <v>NODE_6_CHOICE_2_DESC</v>
      </c>
      <c r="E108" s="29" t="str">
        <f t="shared" si="7"/>
        <v>선택2</v>
      </c>
      <c r="F108" s="21"/>
    </row>
    <row r="109" spans="1:6" x14ac:dyDescent="0.2">
      <c r="A109" s="21" t="s">
        <v>367</v>
      </c>
      <c r="B109" s="25" t="s">
        <v>308</v>
      </c>
      <c r="C109" s="26">
        <v>1</v>
      </c>
      <c r="D109" s="20" t="str">
        <f t="shared" si="8"/>
        <v>NODE_7_CHOICE_1_DESC</v>
      </c>
      <c r="E109" s="29" t="str">
        <f t="shared" si="7"/>
        <v>선택1</v>
      </c>
      <c r="F109" s="21"/>
    </row>
    <row r="110" spans="1:6" x14ac:dyDescent="0.2">
      <c r="A110" s="21" t="s">
        <v>367</v>
      </c>
      <c r="B110" s="25" t="s">
        <v>308</v>
      </c>
      <c r="C110" s="26">
        <v>2</v>
      </c>
      <c r="D110" s="20" t="str">
        <f t="shared" si="8"/>
        <v>NODE_7_CHOICE_2_DESC</v>
      </c>
      <c r="E110" s="29" t="str">
        <f t="shared" si="7"/>
        <v>선택2</v>
      </c>
      <c r="F110" s="21"/>
    </row>
    <row r="111" spans="1:6" x14ac:dyDescent="0.2">
      <c r="A111" s="21" t="s">
        <v>367</v>
      </c>
      <c r="B111" s="25" t="s">
        <v>311</v>
      </c>
      <c r="C111" s="26">
        <v>1</v>
      </c>
      <c r="D111" s="20" t="str">
        <f t="shared" si="8"/>
        <v>NODE_10_CHOICE_1_DESC</v>
      </c>
      <c r="E111" s="29" t="str">
        <f t="shared" si="7"/>
        <v>선택1</v>
      </c>
      <c r="F111" s="21"/>
    </row>
    <row r="112" spans="1:6" x14ac:dyDescent="0.2">
      <c r="A112" s="21" t="s">
        <v>367</v>
      </c>
      <c r="B112" s="25" t="s">
        <v>311</v>
      </c>
      <c r="C112" s="26">
        <v>2</v>
      </c>
      <c r="D112" s="20" t="str">
        <f t="shared" si="8"/>
        <v>NODE_10_CHOICE_2_DESC</v>
      </c>
      <c r="E112" s="29" t="str">
        <f t="shared" si="7"/>
        <v>선택2</v>
      </c>
      <c r="F112" s="21"/>
    </row>
    <row r="113" spans="1:6" x14ac:dyDescent="0.2">
      <c r="A113" s="21" t="s">
        <v>367</v>
      </c>
      <c r="B113" s="25" t="s">
        <v>314</v>
      </c>
      <c r="C113" s="26">
        <v>1</v>
      </c>
      <c r="D113" s="20" t="str">
        <f t="shared" si="8"/>
        <v>NODE_12B_CHOICE_1_DESC</v>
      </c>
      <c r="E113" s="29" t="str">
        <f t="shared" si="7"/>
        <v>선택1</v>
      </c>
      <c r="F113" s="21"/>
    </row>
    <row r="114" spans="1:6" x14ac:dyDescent="0.2">
      <c r="A114" s="21" t="s">
        <v>367</v>
      </c>
      <c r="B114" s="25" t="s">
        <v>314</v>
      </c>
      <c r="C114" s="26">
        <v>2</v>
      </c>
      <c r="D114" s="20" t="str">
        <f t="shared" si="8"/>
        <v>NODE_12B_CHOICE_2_DESC</v>
      </c>
      <c r="E114" s="29" t="str">
        <f t="shared" si="7"/>
        <v>선택2</v>
      </c>
      <c r="F114" s="21"/>
    </row>
    <row r="115" spans="1:6" x14ac:dyDescent="0.2">
      <c r="A115" s="21" t="s">
        <v>367</v>
      </c>
      <c r="B115" s="25" t="s">
        <v>316</v>
      </c>
      <c r="C115" s="26">
        <v>1</v>
      </c>
      <c r="D115" s="20" t="str">
        <f t="shared" si="8"/>
        <v>NODE_14_CHOICE_1_DESC</v>
      </c>
      <c r="E115" s="29" t="str">
        <f t="shared" si="7"/>
        <v>선택1</v>
      </c>
      <c r="F115" s="21"/>
    </row>
    <row r="116" spans="1:6" x14ac:dyDescent="0.2">
      <c r="A116" s="21" t="s">
        <v>367</v>
      </c>
      <c r="B116" s="25" t="s">
        <v>316</v>
      </c>
      <c r="C116" s="26">
        <v>2</v>
      </c>
      <c r="D116" s="20" t="str">
        <f t="shared" si="8"/>
        <v>NODE_14_CHOICE_2_DESC</v>
      </c>
      <c r="E116" s="29" t="str">
        <f t="shared" si="7"/>
        <v>선택2</v>
      </c>
      <c r="F116" s="21"/>
    </row>
    <row r="117" spans="1:6" x14ac:dyDescent="0.2">
      <c r="A117" s="21" t="s">
        <v>367</v>
      </c>
      <c r="B117" s="25" t="s">
        <v>317</v>
      </c>
      <c r="C117" s="26">
        <v>1</v>
      </c>
      <c r="D117" s="20" t="str">
        <f t="shared" si="8"/>
        <v>NODE_15_CHOICE_1_DESC</v>
      </c>
      <c r="E117" s="29" t="str">
        <f t="shared" si="7"/>
        <v>선택1</v>
      </c>
      <c r="F117" s="21"/>
    </row>
    <row r="118" spans="1:6" x14ac:dyDescent="0.2">
      <c r="A118" s="21" t="s">
        <v>367</v>
      </c>
      <c r="B118" s="25" t="s">
        <v>317</v>
      </c>
      <c r="C118" s="26">
        <v>2</v>
      </c>
      <c r="D118" s="20" t="str">
        <f t="shared" si="8"/>
        <v>NODE_15_CHOICE_2_DESC</v>
      </c>
      <c r="E118" s="29" t="str">
        <f t="shared" si="7"/>
        <v>선택2</v>
      </c>
      <c r="F118" s="21"/>
    </row>
    <row r="119" spans="1:6" x14ac:dyDescent="0.2">
      <c r="A119" s="21" t="s">
        <v>367</v>
      </c>
      <c r="B119" s="25" t="s">
        <v>318</v>
      </c>
      <c r="C119" s="26">
        <v>1</v>
      </c>
      <c r="D119" s="20" t="str">
        <f t="shared" si="8"/>
        <v>NODE_16_CHOICE_1_DESC</v>
      </c>
      <c r="E119" s="29" t="s">
        <v>844</v>
      </c>
      <c r="F119" s="21"/>
    </row>
    <row r="120" spans="1:6" x14ac:dyDescent="0.2">
      <c r="A120" s="21" t="s">
        <v>367</v>
      </c>
      <c r="B120" s="25" t="s">
        <v>318</v>
      </c>
      <c r="C120" s="26">
        <v>2</v>
      </c>
      <c r="D120" s="20" t="str">
        <f t="shared" si="8"/>
        <v>NODE_16_CHOICE_2_DESC</v>
      </c>
      <c r="E120" s="29" t="s">
        <v>845</v>
      </c>
      <c r="F120" s="21"/>
    </row>
    <row r="121" spans="1:6" x14ac:dyDescent="0.2">
      <c r="A121" s="21" t="s">
        <v>367</v>
      </c>
      <c r="B121" s="25" t="s">
        <v>322</v>
      </c>
      <c r="C121" s="26">
        <v>1</v>
      </c>
      <c r="D121" s="20" t="str">
        <f t="shared" si="8"/>
        <v>NODE_19B_CHOICE_1_DESC</v>
      </c>
      <c r="E121" s="29" t="str">
        <f t="shared" si="7"/>
        <v>선택1</v>
      </c>
      <c r="F121" s="21"/>
    </row>
    <row r="122" spans="1:6" x14ac:dyDescent="0.2">
      <c r="A122" s="21" t="s">
        <v>367</v>
      </c>
      <c r="B122" s="25" t="s">
        <v>322</v>
      </c>
      <c r="C122" s="26">
        <v>2</v>
      </c>
      <c r="D122" s="20" t="str">
        <f t="shared" si="8"/>
        <v>NODE_19B_CHOICE_2_DESC</v>
      </c>
      <c r="E122" s="29" t="str">
        <f t="shared" si="7"/>
        <v>선택2</v>
      </c>
      <c r="F122" s="21"/>
    </row>
    <row r="123" spans="1:6" x14ac:dyDescent="0.2">
      <c r="A123" s="21" t="s">
        <v>367</v>
      </c>
      <c r="B123" s="25" t="s">
        <v>325</v>
      </c>
      <c r="C123" s="26">
        <v>1</v>
      </c>
      <c r="D123" s="20" t="str">
        <f t="shared" si="8"/>
        <v>NODE_21B_CHOICE_1_DESC</v>
      </c>
      <c r="E123" s="29" t="str">
        <f t="shared" si="7"/>
        <v>선택1</v>
      </c>
      <c r="F123" s="21"/>
    </row>
    <row r="124" spans="1:6" x14ac:dyDescent="0.2">
      <c r="A124" s="21" t="s">
        <v>367</v>
      </c>
      <c r="B124" s="25" t="s">
        <v>325</v>
      </c>
      <c r="C124" s="26">
        <v>2</v>
      </c>
      <c r="D124" s="20" t="str">
        <f t="shared" si="8"/>
        <v>NODE_21B_CHOICE_2_DESC</v>
      </c>
      <c r="E124" s="29" t="str">
        <f t="shared" si="7"/>
        <v>선택2</v>
      </c>
      <c r="F124" s="21"/>
    </row>
    <row r="125" spans="1:6" x14ac:dyDescent="0.2">
      <c r="A125" s="21" t="s">
        <v>367</v>
      </c>
      <c r="B125" s="25" t="s">
        <v>331</v>
      </c>
      <c r="C125" s="26">
        <v>1</v>
      </c>
      <c r="D125" s="20" t="str">
        <f t="shared" si="8"/>
        <v>NODE_25_CHOICE_1_DESC</v>
      </c>
      <c r="E125" s="29" t="str">
        <f t="shared" si="7"/>
        <v>선택1</v>
      </c>
      <c r="F125" s="21"/>
    </row>
    <row r="126" spans="1:6" x14ac:dyDescent="0.2">
      <c r="A126" s="21" t="s">
        <v>367</v>
      </c>
      <c r="B126" s="25" t="s">
        <v>331</v>
      </c>
      <c r="C126" s="26">
        <v>2</v>
      </c>
      <c r="D126" s="20" t="str">
        <f t="shared" si="8"/>
        <v>NODE_25_CHOICE_2_DESC</v>
      </c>
      <c r="E126" s="29" t="str">
        <f t="shared" si="7"/>
        <v>선택2</v>
      </c>
      <c r="F126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9C28B-7BC2-4F36-AD7E-E1E794C14C4A}">
  <dimension ref="A1:G126"/>
  <sheetViews>
    <sheetView workbookViewId="0">
      <selection activeCell="E9" sqref="E9"/>
    </sheetView>
  </sheetViews>
  <sheetFormatPr defaultRowHeight="16.5" x14ac:dyDescent="0.3"/>
  <cols>
    <col min="1" max="1" width="13.875" style="51" bestFit="1" customWidth="1"/>
    <col min="2" max="2" width="13.875" style="54" bestFit="1" customWidth="1"/>
    <col min="3" max="3" width="27.625" style="55" bestFit="1" customWidth="1"/>
    <col min="4" max="4" width="41.375" style="55" bestFit="1" customWidth="1"/>
    <col min="5" max="5" width="65.75" style="47" bestFit="1" customWidth="1"/>
    <col min="6" max="16384" width="9" style="51"/>
  </cols>
  <sheetData>
    <row r="1" spans="1:7" x14ac:dyDescent="0.3">
      <c r="A1" s="4" t="s">
        <v>363</v>
      </c>
      <c r="B1" s="7" t="s">
        <v>125</v>
      </c>
      <c r="C1" s="4" t="s">
        <v>366</v>
      </c>
      <c r="D1" s="40" t="s">
        <v>3</v>
      </c>
      <c r="E1" s="46" t="s">
        <v>0</v>
      </c>
      <c r="F1" s="37" t="s">
        <v>1</v>
      </c>
      <c r="G1" s="31" t="s">
        <v>384</v>
      </c>
    </row>
    <row r="2" spans="1:7" x14ac:dyDescent="0.3">
      <c r="A2" s="4" t="s">
        <v>2</v>
      </c>
      <c r="B2" s="7" t="s">
        <v>2</v>
      </c>
      <c r="C2" s="4" t="s">
        <v>2</v>
      </c>
      <c r="D2" s="40" t="s">
        <v>2</v>
      </c>
      <c r="E2" s="46" t="s">
        <v>2</v>
      </c>
      <c r="F2" s="37" t="s">
        <v>2</v>
      </c>
      <c r="G2" s="2" t="s">
        <v>2</v>
      </c>
    </row>
    <row r="3" spans="1:7" x14ac:dyDescent="0.3">
      <c r="A3" s="21" t="s">
        <v>364</v>
      </c>
      <c r="B3" s="49" t="s">
        <v>851</v>
      </c>
      <c r="C3" s="21" t="s">
        <v>850</v>
      </c>
      <c r="D3" s="41" t="str">
        <f>B3&amp;"_"&amp;TEXT(C3,"0000")&amp;"_"&amp;A3</f>
        <v>GUIDE_MOVE_TITLE</v>
      </c>
      <c r="E3" s="49" t="s">
        <v>846</v>
      </c>
      <c r="F3" s="43"/>
    </row>
    <row r="4" spans="1:7" x14ac:dyDescent="0.3">
      <c r="A4" s="21" t="str">
        <f>A3</f>
        <v>TITLE</v>
      </c>
      <c r="B4" s="52" t="str">
        <f>B3</f>
        <v>GUIDE</v>
      </c>
      <c r="C4" s="21" t="s">
        <v>872</v>
      </c>
      <c r="D4" s="41" t="str">
        <f t="shared" ref="D4:D9" si="0">B4&amp;"_"&amp;TEXT(C4,"0000")&amp;"_"&amp;A4</f>
        <v>GUIDE_NORMAL_ATTACK_TITLE</v>
      </c>
      <c r="E4" s="49" t="s">
        <v>847</v>
      </c>
      <c r="F4" s="43"/>
    </row>
    <row r="5" spans="1:7" x14ac:dyDescent="0.3">
      <c r="A5" s="21" t="str">
        <f t="shared" ref="A5:A18" si="1">A4</f>
        <v>TITLE</v>
      </c>
      <c r="B5" s="52" t="str">
        <f>B4</f>
        <v>GUIDE</v>
      </c>
      <c r="C5" s="21" t="s">
        <v>873</v>
      </c>
      <c r="D5" s="41" t="str">
        <f t="shared" si="0"/>
        <v>GUIDE_MAIN_SKILL_USE_TITLE</v>
      </c>
      <c r="E5" s="49" t="s">
        <v>848</v>
      </c>
      <c r="F5" s="43"/>
    </row>
    <row r="6" spans="1:7" x14ac:dyDescent="0.3">
      <c r="A6" s="21" t="str">
        <f t="shared" si="1"/>
        <v>TITLE</v>
      </c>
      <c r="B6" s="52" t="str">
        <f>B5</f>
        <v>GUIDE</v>
      </c>
      <c r="C6" s="21" t="s">
        <v>874</v>
      </c>
      <c r="D6" s="41" t="str">
        <f t="shared" si="0"/>
        <v>GUIDE_DASH_USE_TITLE</v>
      </c>
      <c r="E6" s="49" t="s">
        <v>849</v>
      </c>
      <c r="F6" s="43"/>
    </row>
    <row r="7" spans="1:7" x14ac:dyDescent="0.3">
      <c r="A7" s="21" t="str">
        <f t="shared" si="1"/>
        <v>TITLE</v>
      </c>
      <c r="B7" s="52" t="str">
        <f>B6</f>
        <v>GUIDE</v>
      </c>
      <c r="C7" s="21" t="s">
        <v>875</v>
      </c>
      <c r="D7" s="41" t="str">
        <f t="shared" si="0"/>
        <v>GUIDE_STORYMODE_PLAY_TITLE</v>
      </c>
      <c r="E7" s="57" t="s">
        <v>877</v>
      </c>
      <c r="F7" s="43"/>
    </row>
    <row r="8" spans="1:7" x14ac:dyDescent="0.3">
      <c r="A8" s="21" t="str">
        <f t="shared" si="1"/>
        <v>TITLE</v>
      </c>
      <c r="B8" s="52" t="str">
        <f>B7</f>
        <v>GUIDE</v>
      </c>
      <c r="C8" s="21" t="s">
        <v>876</v>
      </c>
      <c r="D8" s="41" t="str">
        <f t="shared" si="0"/>
        <v>GUIDE_CHARACTER_DEPLOY_TITLE</v>
      </c>
      <c r="E8" s="56" t="s">
        <v>852</v>
      </c>
      <c r="F8" s="43"/>
    </row>
    <row r="9" spans="1:7" x14ac:dyDescent="0.3">
      <c r="A9" s="21" t="str">
        <f t="shared" si="1"/>
        <v>TITLE</v>
      </c>
      <c r="B9" s="52" t="str">
        <f>B8</f>
        <v>GUIDE</v>
      </c>
      <c r="C9" s="27" t="s">
        <v>861</v>
      </c>
      <c r="D9" s="41" t="str">
        <f t="shared" si="0"/>
        <v>GUIDE_DAILY_DUNGEON_PLAY_TITLE</v>
      </c>
      <c r="E9" s="49" t="s">
        <v>879</v>
      </c>
      <c r="F9" s="43"/>
    </row>
    <row r="10" spans="1:7" x14ac:dyDescent="0.3">
      <c r="A10" s="21" t="str">
        <f t="shared" si="1"/>
        <v>TITLE</v>
      </c>
      <c r="B10" s="49" t="s">
        <v>853</v>
      </c>
      <c r="C10" s="27" t="s">
        <v>854</v>
      </c>
      <c r="D10" s="41" t="str">
        <f t="shared" ref="D10:D18" si="2">B10&amp;"_"&amp;TEXT(C10,"0000")&amp;"_"&amp;A10</f>
        <v>REPEAT_ENEMY_KILL_TITLE</v>
      </c>
      <c r="E10" s="49" t="s">
        <v>863</v>
      </c>
      <c r="F10" s="43"/>
    </row>
    <row r="11" spans="1:7" x14ac:dyDescent="0.3">
      <c r="A11" s="21" t="str">
        <f t="shared" si="1"/>
        <v>TITLE</v>
      </c>
      <c r="B11" s="49" t="s">
        <v>853</v>
      </c>
      <c r="C11" s="27" t="s">
        <v>855</v>
      </c>
      <c r="D11" s="41" t="str">
        <f t="shared" si="2"/>
        <v>REPEAT_TOURNAMENT_PLAY_TITLE</v>
      </c>
      <c r="E11" s="49" t="s">
        <v>864</v>
      </c>
      <c r="F11" s="43"/>
    </row>
    <row r="12" spans="1:7" x14ac:dyDescent="0.3">
      <c r="A12" s="21" t="str">
        <f t="shared" si="1"/>
        <v>TITLE</v>
      </c>
      <c r="B12" s="49" t="s">
        <v>853</v>
      </c>
      <c r="C12" s="27" t="s">
        <v>856</v>
      </c>
      <c r="D12" s="41" t="str">
        <f t="shared" si="2"/>
        <v>REPEAT_RAID_PLAY_TITLE</v>
      </c>
      <c r="E12" s="49" t="s">
        <v>865</v>
      </c>
      <c r="F12" s="43"/>
    </row>
    <row r="13" spans="1:7" x14ac:dyDescent="0.3">
      <c r="A13" s="21" t="str">
        <f t="shared" si="1"/>
        <v>TITLE</v>
      </c>
      <c r="B13" s="49" t="s">
        <v>853</v>
      </c>
      <c r="C13" s="27" t="s">
        <v>857</v>
      </c>
      <c r="D13" s="41" t="str">
        <f t="shared" si="2"/>
        <v>REPEAT_GACHA_PROGRESS_TITLE</v>
      </c>
      <c r="E13" s="49" t="s">
        <v>866</v>
      </c>
      <c r="F13" s="43"/>
    </row>
    <row r="14" spans="1:7" x14ac:dyDescent="0.3">
      <c r="A14" s="21" t="str">
        <f t="shared" si="1"/>
        <v>TITLE</v>
      </c>
      <c r="B14" s="49" t="s">
        <v>853</v>
      </c>
      <c r="C14" s="27" t="s">
        <v>858</v>
      </c>
      <c r="D14" s="41" t="str">
        <f t="shared" si="2"/>
        <v>REPEAT_FARM_RICE_EARN_TITLE</v>
      </c>
      <c r="E14" s="49" t="s">
        <v>867</v>
      </c>
      <c r="F14" s="43"/>
    </row>
    <row r="15" spans="1:7" x14ac:dyDescent="0.3">
      <c r="A15" s="21" t="str">
        <f t="shared" si="1"/>
        <v>TITLE</v>
      </c>
      <c r="B15" s="49" t="s">
        <v>853</v>
      </c>
      <c r="C15" s="27" t="s">
        <v>859</v>
      </c>
      <c r="D15" s="41" t="str">
        <f t="shared" si="2"/>
        <v>REPEAT_MARKET_GOLD_EARN_TITLE</v>
      </c>
      <c r="E15" s="49" t="s">
        <v>868</v>
      </c>
      <c r="F15" s="43"/>
    </row>
    <row r="16" spans="1:7" x14ac:dyDescent="0.3">
      <c r="A16" s="21" t="str">
        <f t="shared" si="1"/>
        <v>TITLE</v>
      </c>
      <c r="B16" s="49" t="s">
        <v>853</v>
      </c>
      <c r="C16" s="27" t="s">
        <v>860</v>
      </c>
      <c r="D16" s="41" t="str">
        <f t="shared" si="2"/>
        <v>REPEAT_OFFICE_MISSION_PROGRESS_TITLE</v>
      </c>
      <c r="E16" s="49" t="s">
        <v>869</v>
      </c>
      <c r="F16" s="43"/>
    </row>
    <row r="17" spans="1:6" x14ac:dyDescent="0.3">
      <c r="A17" s="21" t="str">
        <f t="shared" si="1"/>
        <v>TITLE</v>
      </c>
      <c r="B17" s="49" t="s">
        <v>853</v>
      </c>
      <c r="C17" s="27" t="s">
        <v>861</v>
      </c>
      <c r="D17" s="41" t="str">
        <f t="shared" si="2"/>
        <v>REPEAT_DAILY_DUNGEON_PLAY_TITLE</v>
      </c>
      <c r="E17" s="49" t="s">
        <v>870</v>
      </c>
      <c r="F17" s="43"/>
    </row>
    <row r="18" spans="1:6" x14ac:dyDescent="0.3">
      <c r="A18" s="21" t="str">
        <f t="shared" si="1"/>
        <v>TITLE</v>
      </c>
      <c r="B18" s="49" t="s">
        <v>853</v>
      </c>
      <c r="C18" s="27" t="s">
        <v>862</v>
      </c>
      <c r="D18" s="41" t="str">
        <f t="shared" si="2"/>
        <v>REPEAT_STAGE_BOSS_KILL_TITLE</v>
      </c>
      <c r="E18" s="49" t="s">
        <v>871</v>
      </c>
      <c r="F18" s="43"/>
    </row>
    <row r="19" spans="1:6" x14ac:dyDescent="0.3">
      <c r="A19" s="21"/>
      <c r="B19" s="49"/>
      <c r="C19" s="19"/>
      <c r="D19" s="41"/>
      <c r="F19" s="43"/>
    </row>
    <row r="20" spans="1:6" x14ac:dyDescent="0.3">
      <c r="A20" s="21"/>
      <c r="B20" s="49"/>
      <c r="C20" s="19"/>
      <c r="D20" s="41"/>
      <c r="F20" s="43"/>
    </row>
    <row r="21" spans="1:6" x14ac:dyDescent="0.3">
      <c r="A21" s="21"/>
      <c r="B21" s="49"/>
      <c r="C21" s="19"/>
      <c r="D21" s="41"/>
      <c r="F21" s="43"/>
    </row>
    <row r="22" spans="1:6" x14ac:dyDescent="0.3">
      <c r="A22" s="21"/>
      <c r="B22" s="49"/>
      <c r="C22" s="19"/>
      <c r="D22" s="41"/>
      <c r="F22" s="43"/>
    </row>
    <row r="23" spans="1:6" x14ac:dyDescent="0.3">
      <c r="A23" s="21"/>
      <c r="B23" s="49"/>
      <c r="C23" s="19"/>
      <c r="D23" s="41"/>
      <c r="F23" s="43"/>
    </row>
    <row r="24" spans="1:6" x14ac:dyDescent="0.3">
      <c r="A24" s="21"/>
      <c r="B24" s="49"/>
      <c r="C24" s="19"/>
      <c r="D24" s="41"/>
      <c r="F24" s="43"/>
    </row>
    <row r="25" spans="1:6" x14ac:dyDescent="0.3">
      <c r="A25" s="21"/>
      <c r="B25" s="49"/>
      <c r="C25" s="19"/>
      <c r="D25" s="41"/>
      <c r="F25" s="43"/>
    </row>
    <row r="26" spans="1:6" x14ac:dyDescent="0.3">
      <c r="A26" s="21"/>
      <c r="B26" s="49"/>
      <c r="C26" s="19"/>
      <c r="D26" s="41"/>
      <c r="F26" s="43"/>
    </row>
    <row r="27" spans="1:6" x14ac:dyDescent="0.3">
      <c r="A27" s="21"/>
      <c r="B27" s="49"/>
      <c r="C27" s="19"/>
      <c r="D27" s="41"/>
      <c r="F27" s="43"/>
    </row>
    <row r="28" spans="1:6" x14ac:dyDescent="0.3">
      <c r="A28" s="21"/>
      <c r="B28" s="49"/>
      <c r="C28" s="19"/>
      <c r="D28" s="41"/>
      <c r="F28" s="43"/>
    </row>
    <row r="29" spans="1:6" x14ac:dyDescent="0.3">
      <c r="A29" s="21"/>
      <c r="B29" s="49"/>
      <c r="C29" s="19"/>
      <c r="D29" s="41"/>
      <c r="F29" s="43"/>
    </row>
    <row r="30" spans="1:6" x14ac:dyDescent="0.3">
      <c r="A30" s="21"/>
      <c r="B30" s="49"/>
      <c r="C30" s="19"/>
      <c r="D30" s="41"/>
      <c r="F30" s="43"/>
    </row>
    <row r="31" spans="1:6" x14ac:dyDescent="0.3">
      <c r="A31" s="21"/>
      <c r="B31" s="49"/>
      <c r="C31" s="19"/>
      <c r="D31" s="41"/>
      <c r="F31" s="43"/>
    </row>
    <row r="32" spans="1:6" x14ac:dyDescent="0.3">
      <c r="A32" s="21"/>
      <c r="B32" s="49"/>
      <c r="C32" s="19"/>
      <c r="D32" s="41"/>
      <c r="F32" s="43"/>
    </row>
    <row r="33" spans="1:6" x14ac:dyDescent="0.3">
      <c r="A33" s="21"/>
      <c r="B33" s="49"/>
      <c r="C33" s="19"/>
      <c r="D33" s="41"/>
      <c r="F33" s="43"/>
    </row>
    <row r="34" spans="1:6" x14ac:dyDescent="0.3">
      <c r="A34" s="21"/>
      <c r="B34" s="49"/>
      <c r="C34" s="19"/>
      <c r="D34" s="41"/>
      <c r="F34" s="43"/>
    </row>
    <row r="35" spans="1:6" x14ac:dyDescent="0.3">
      <c r="A35" s="21"/>
      <c r="B35" s="50"/>
      <c r="C35" s="22"/>
      <c r="D35" s="42"/>
      <c r="F35" s="44"/>
    </row>
    <row r="36" spans="1:6" x14ac:dyDescent="0.3">
      <c r="A36" s="21"/>
      <c r="B36" s="49"/>
      <c r="C36" s="19"/>
      <c r="D36" s="41"/>
      <c r="F36" s="43"/>
    </row>
    <row r="37" spans="1:6" x14ac:dyDescent="0.3">
      <c r="A37" s="21"/>
      <c r="B37" s="49"/>
      <c r="C37" s="19"/>
      <c r="D37" s="41"/>
      <c r="F37" s="45"/>
    </row>
    <row r="38" spans="1:6" x14ac:dyDescent="0.3">
      <c r="A38" s="21"/>
      <c r="B38" s="49"/>
      <c r="C38" s="19"/>
      <c r="D38" s="41"/>
      <c r="F38" s="43"/>
    </row>
    <row r="39" spans="1:6" x14ac:dyDescent="0.3">
      <c r="A39" s="21"/>
      <c r="B39" s="49"/>
      <c r="C39" s="19"/>
      <c r="D39" s="41"/>
      <c r="F39" s="43"/>
    </row>
    <row r="40" spans="1:6" x14ac:dyDescent="0.3">
      <c r="A40" s="21"/>
      <c r="B40" s="49"/>
      <c r="C40" s="19"/>
      <c r="D40" s="41"/>
      <c r="E40" s="48"/>
      <c r="F40" s="43"/>
    </row>
    <row r="41" spans="1:6" x14ac:dyDescent="0.3">
      <c r="A41" s="21"/>
      <c r="B41" s="49"/>
      <c r="C41" s="19"/>
      <c r="D41" s="41"/>
      <c r="E41" s="48"/>
      <c r="F41" s="43"/>
    </row>
    <row r="42" spans="1:6" x14ac:dyDescent="0.3">
      <c r="A42" s="21"/>
      <c r="B42" s="49"/>
      <c r="C42" s="19"/>
      <c r="D42" s="41"/>
      <c r="F42" s="43"/>
    </row>
    <row r="43" spans="1:6" x14ac:dyDescent="0.3">
      <c r="A43" s="21"/>
      <c r="B43" s="49"/>
      <c r="C43" s="19"/>
      <c r="D43" s="41"/>
      <c r="E43" s="48"/>
      <c r="F43" s="43"/>
    </row>
    <row r="44" spans="1:6" x14ac:dyDescent="0.3">
      <c r="A44" s="21"/>
      <c r="B44" s="49"/>
      <c r="C44" s="19"/>
      <c r="D44" s="41"/>
      <c r="F44" s="43"/>
    </row>
    <row r="45" spans="1:6" x14ac:dyDescent="0.3">
      <c r="A45" s="21"/>
      <c r="B45" s="49"/>
      <c r="C45" s="19"/>
      <c r="D45" s="41"/>
      <c r="F45" s="43"/>
    </row>
    <row r="46" spans="1:6" x14ac:dyDescent="0.3">
      <c r="A46" s="21"/>
      <c r="B46" s="49"/>
      <c r="C46" s="19"/>
      <c r="D46" s="41"/>
      <c r="F46" s="43"/>
    </row>
    <row r="47" spans="1:6" x14ac:dyDescent="0.3">
      <c r="A47" s="21"/>
      <c r="B47" s="49"/>
      <c r="C47" s="19"/>
      <c r="D47" s="41"/>
      <c r="F47" s="43"/>
    </row>
    <row r="48" spans="1:6" x14ac:dyDescent="0.3">
      <c r="A48" s="21"/>
      <c r="B48" s="49"/>
      <c r="C48" s="19"/>
      <c r="D48" s="41"/>
      <c r="F48" s="43"/>
    </row>
    <row r="49" spans="1:7" x14ac:dyDescent="0.3">
      <c r="A49" s="21"/>
      <c r="B49" s="49"/>
      <c r="C49" s="19"/>
      <c r="D49" s="41"/>
      <c r="F49" s="43"/>
    </row>
    <row r="50" spans="1:7" x14ac:dyDescent="0.3">
      <c r="A50" s="21"/>
      <c r="B50" s="49"/>
      <c r="C50" s="19"/>
      <c r="D50" s="41"/>
      <c r="F50" s="43"/>
    </row>
    <row r="51" spans="1:7" x14ac:dyDescent="0.3">
      <c r="A51" s="21"/>
      <c r="B51" s="49"/>
      <c r="C51" s="19"/>
      <c r="D51" s="41"/>
      <c r="F51" s="43"/>
    </row>
    <row r="52" spans="1:7" x14ac:dyDescent="0.3">
      <c r="A52" s="21"/>
      <c r="B52" s="49"/>
      <c r="C52" s="19"/>
      <c r="D52" s="41"/>
      <c r="F52" s="43"/>
    </row>
    <row r="53" spans="1:7" x14ac:dyDescent="0.3">
      <c r="A53" s="21"/>
      <c r="B53" s="49"/>
      <c r="C53" s="19"/>
      <c r="D53" s="41"/>
      <c r="F53" s="43"/>
    </row>
    <row r="54" spans="1:7" x14ac:dyDescent="0.3">
      <c r="A54" s="21"/>
      <c r="B54" s="49"/>
      <c r="C54" s="19"/>
      <c r="D54" s="41"/>
      <c r="F54" s="43"/>
      <c r="G54" s="35"/>
    </row>
    <row r="55" spans="1:7" x14ac:dyDescent="0.3">
      <c r="A55" s="21"/>
      <c r="B55" s="49"/>
      <c r="C55" s="19"/>
      <c r="D55" s="41"/>
      <c r="F55" s="43"/>
      <c r="G55" s="35"/>
    </row>
    <row r="56" spans="1:7" x14ac:dyDescent="0.3">
      <c r="A56" s="21"/>
      <c r="B56" s="49"/>
      <c r="C56" s="19"/>
      <c r="D56" s="41"/>
      <c r="F56" s="43"/>
      <c r="G56" s="35"/>
    </row>
    <row r="57" spans="1:7" x14ac:dyDescent="0.3">
      <c r="A57" s="21"/>
      <c r="B57" s="49"/>
      <c r="C57" s="19"/>
      <c r="D57" s="41"/>
      <c r="F57" s="43"/>
      <c r="G57" s="35"/>
    </row>
    <row r="58" spans="1:7" x14ac:dyDescent="0.3">
      <c r="A58" s="21"/>
      <c r="B58" s="49"/>
      <c r="C58" s="19"/>
      <c r="D58" s="41"/>
      <c r="F58" s="43"/>
      <c r="G58" s="35"/>
    </row>
    <row r="59" spans="1:7" x14ac:dyDescent="0.3">
      <c r="A59" s="21"/>
      <c r="B59" s="49"/>
      <c r="C59" s="19"/>
      <c r="D59" s="41"/>
      <c r="F59" s="43"/>
      <c r="G59" s="35"/>
    </row>
    <row r="60" spans="1:7" x14ac:dyDescent="0.3">
      <c r="A60" s="21"/>
      <c r="B60" s="49"/>
      <c r="C60" s="19"/>
      <c r="D60" s="41"/>
      <c r="F60" s="43"/>
      <c r="G60" s="35"/>
    </row>
    <row r="61" spans="1:7" x14ac:dyDescent="0.3">
      <c r="A61" s="21"/>
      <c r="B61" s="49"/>
      <c r="C61" s="19"/>
      <c r="D61" s="41"/>
      <c r="F61" s="43"/>
      <c r="G61" s="35"/>
    </row>
    <row r="62" spans="1:7" x14ac:dyDescent="0.3">
      <c r="A62" s="21"/>
      <c r="B62" s="49"/>
      <c r="C62" s="19"/>
      <c r="D62" s="41"/>
      <c r="F62" s="43"/>
      <c r="G62" s="35"/>
    </row>
    <row r="63" spans="1:7" x14ac:dyDescent="0.3">
      <c r="A63" s="21"/>
      <c r="B63" s="49"/>
      <c r="C63" s="19"/>
      <c r="D63" s="41"/>
      <c r="F63" s="43"/>
      <c r="G63" s="35"/>
    </row>
    <row r="64" spans="1:7" x14ac:dyDescent="0.3">
      <c r="A64" s="21"/>
      <c r="B64" s="49"/>
      <c r="C64" s="19"/>
      <c r="D64" s="41"/>
      <c r="F64" s="43"/>
      <c r="G64" s="35"/>
    </row>
    <row r="65" spans="1:7" x14ac:dyDescent="0.3">
      <c r="A65" s="21"/>
      <c r="B65" s="49"/>
      <c r="C65" s="19"/>
      <c r="D65" s="41"/>
      <c r="F65" s="43"/>
      <c r="G65" s="35"/>
    </row>
    <row r="66" spans="1:7" x14ac:dyDescent="0.3">
      <c r="A66" s="21"/>
      <c r="B66" s="49"/>
      <c r="C66" s="19"/>
      <c r="D66" s="41"/>
      <c r="F66" s="43"/>
      <c r="G66" s="35"/>
    </row>
    <row r="67" spans="1:7" x14ac:dyDescent="0.3">
      <c r="A67" s="21"/>
      <c r="B67" s="49"/>
      <c r="C67" s="19"/>
      <c r="D67" s="41"/>
      <c r="F67" s="43"/>
      <c r="G67" s="35"/>
    </row>
    <row r="68" spans="1:7" x14ac:dyDescent="0.3">
      <c r="A68" s="21"/>
      <c r="B68" s="49"/>
      <c r="C68" s="19"/>
      <c r="D68" s="41"/>
      <c r="F68" s="43"/>
      <c r="G68" s="35"/>
    </row>
    <row r="69" spans="1:7" x14ac:dyDescent="0.3">
      <c r="A69" s="21"/>
      <c r="B69" s="49"/>
      <c r="C69" s="19"/>
      <c r="D69" s="41"/>
      <c r="F69" s="43"/>
      <c r="G69" s="35"/>
    </row>
    <row r="70" spans="1:7" x14ac:dyDescent="0.3">
      <c r="A70" s="21"/>
      <c r="B70" s="49"/>
      <c r="C70" s="19"/>
      <c r="D70" s="41"/>
      <c r="F70" s="43"/>
      <c r="G70" s="35"/>
    </row>
    <row r="71" spans="1:7" x14ac:dyDescent="0.3">
      <c r="A71" s="21"/>
      <c r="B71" s="49"/>
      <c r="C71" s="19"/>
      <c r="D71" s="41"/>
      <c r="F71" s="43"/>
    </row>
    <row r="72" spans="1:7" x14ac:dyDescent="0.3">
      <c r="A72" s="21"/>
      <c r="B72" s="49"/>
      <c r="C72" s="19"/>
      <c r="D72" s="41"/>
      <c r="F72" s="43"/>
    </row>
    <row r="73" spans="1:7" x14ac:dyDescent="0.3">
      <c r="A73" s="21"/>
      <c r="B73" s="50"/>
      <c r="C73" s="22"/>
      <c r="D73" s="41"/>
      <c r="F73" s="44"/>
    </row>
    <row r="74" spans="1:7" x14ac:dyDescent="0.3">
      <c r="A74" s="21"/>
      <c r="B74" s="49"/>
      <c r="C74" s="19"/>
      <c r="D74" s="41"/>
      <c r="F74" s="43"/>
    </row>
    <row r="75" spans="1:7" x14ac:dyDescent="0.3">
      <c r="A75" s="21"/>
      <c r="B75" s="49"/>
      <c r="C75" s="19"/>
      <c r="D75" s="41"/>
      <c r="F75" s="45"/>
    </row>
    <row r="76" spans="1:7" x14ac:dyDescent="0.3">
      <c r="A76" s="21"/>
      <c r="B76" s="49"/>
      <c r="C76" s="22"/>
      <c r="D76" s="41"/>
      <c r="F76" s="44"/>
    </row>
    <row r="77" spans="1:7" x14ac:dyDescent="0.3">
      <c r="A77" s="21"/>
      <c r="B77" s="49"/>
      <c r="C77" s="19"/>
      <c r="D77" s="41"/>
      <c r="F77" s="43"/>
    </row>
    <row r="78" spans="1:7" x14ac:dyDescent="0.3">
      <c r="A78" s="21"/>
      <c r="B78" s="49"/>
      <c r="C78" s="19"/>
      <c r="D78" s="41"/>
      <c r="F78" s="43"/>
    </row>
    <row r="79" spans="1:7" x14ac:dyDescent="0.2">
      <c r="A79" s="21"/>
      <c r="B79" s="25"/>
      <c r="C79" s="26"/>
      <c r="D79" s="41"/>
      <c r="F79" s="43"/>
    </row>
    <row r="80" spans="1:7" x14ac:dyDescent="0.2">
      <c r="A80" s="21"/>
      <c r="B80" s="25"/>
      <c r="C80" s="26"/>
      <c r="D80" s="41"/>
      <c r="F80" s="43"/>
    </row>
    <row r="81" spans="1:6" x14ac:dyDescent="0.2">
      <c r="A81" s="21"/>
      <c r="B81" s="25"/>
      <c r="C81" s="26"/>
      <c r="D81" s="41"/>
      <c r="F81" s="43"/>
    </row>
    <row r="82" spans="1:6" x14ac:dyDescent="0.2">
      <c r="A82" s="21"/>
      <c r="B82" s="25"/>
      <c r="C82" s="26"/>
      <c r="D82" s="41"/>
      <c r="F82" s="43"/>
    </row>
    <row r="83" spans="1:6" x14ac:dyDescent="0.2">
      <c r="A83" s="21"/>
      <c r="B83" s="25"/>
      <c r="C83" s="26"/>
      <c r="D83" s="41"/>
      <c r="F83" s="43"/>
    </row>
    <row r="84" spans="1:6" x14ac:dyDescent="0.2">
      <c r="A84" s="21"/>
      <c r="B84" s="25"/>
      <c r="C84" s="26"/>
      <c r="D84" s="41"/>
      <c r="F84" s="43"/>
    </row>
    <row r="85" spans="1:6" x14ac:dyDescent="0.2">
      <c r="A85" s="21"/>
      <c r="B85" s="25"/>
      <c r="C85" s="26"/>
      <c r="D85" s="41"/>
      <c r="F85" s="43"/>
    </row>
    <row r="86" spans="1:6" x14ac:dyDescent="0.2">
      <c r="A86" s="21"/>
      <c r="B86" s="25"/>
      <c r="C86" s="26"/>
      <c r="D86" s="41"/>
      <c r="F86" s="43"/>
    </row>
    <row r="87" spans="1:6" x14ac:dyDescent="0.2">
      <c r="A87" s="21"/>
      <c r="B87" s="25"/>
      <c r="C87" s="26"/>
      <c r="D87" s="41"/>
      <c r="F87" s="43"/>
    </row>
    <row r="88" spans="1:6" x14ac:dyDescent="0.2">
      <c r="A88" s="21"/>
      <c r="B88" s="25"/>
      <c r="C88" s="26"/>
      <c r="D88" s="41"/>
      <c r="F88" s="43"/>
    </row>
    <row r="89" spans="1:6" x14ac:dyDescent="0.2">
      <c r="A89" s="21"/>
      <c r="B89" s="25"/>
      <c r="C89" s="26"/>
      <c r="D89" s="41"/>
      <c r="F89" s="43"/>
    </row>
    <row r="90" spans="1:6" x14ac:dyDescent="0.2">
      <c r="A90" s="21"/>
      <c r="B90" s="25"/>
      <c r="C90" s="26"/>
      <c r="D90" s="41"/>
      <c r="F90" s="43"/>
    </row>
    <row r="91" spans="1:6" x14ac:dyDescent="0.2">
      <c r="A91" s="21"/>
      <c r="B91" s="25"/>
      <c r="C91" s="26"/>
      <c r="D91" s="41"/>
      <c r="F91" s="43"/>
    </row>
    <row r="92" spans="1:6" x14ac:dyDescent="0.2">
      <c r="A92" s="21"/>
      <c r="B92" s="25"/>
      <c r="C92" s="26"/>
      <c r="D92" s="41"/>
      <c r="F92" s="43"/>
    </row>
    <row r="93" spans="1:6" x14ac:dyDescent="0.2">
      <c r="A93" s="21"/>
      <c r="B93" s="25"/>
      <c r="C93" s="26"/>
      <c r="D93" s="41"/>
      <c r="F93" s="43"/>
    </row>
    <row r="94" spans="1:6" x14ac:dyDescent="0.2">
      <c r="A94" s="21"/>
      <c r="B94" s="25"/>
      <c r="C94" s="26"/>
      <c r="D94" s="41"/>
      <c r="F94" s="43"/>
    </row>
    <row r="95" spans="1:6" x14ac:dyDescent="0.2">
      <c r="A95" s="21"/>
      <c r="B95" s="25"/>
      <c r="C95" s="26"/>
      <c r="D95" s="41"/>
      <c r="E95" s="53"/>
      <c r="F95" s="43"/>
    </row>
    <row r="96" spans="1:6" x14ac:dyDescent="0.2">
      <c r="A96" s="21"/>
      <c r="B96" s="25"/>
      <c r="C96" s="26"/>
      <c r="D96" s="41"/>
      <c r="E96" s="53"/>
      <c r="F96" s="43"/>
    </row>
    <row r="97" spans="1:6" x14ac:dyDescent="0.2">
      <c r="A97" s="21"/>
      <c r="B97" s="25"/>
      <c r="C97" s="26"/>
      <c r="D97" s="41"/>
      <c r="F97" s="43"/>
    </row>
    <row r="98" spans="1:6" x14ac:dyDescent="0.2">
      <c r="A98" s="21"/>
      <c r="B98" s="25"/>
      <c r="C98" s="26"/>
      <c r="D98" s="41"/>
      <c r="F98" s="43"/>
    </row>
    <row r="99" spans="1:6" x14ac:dyDescent="0.2">
      <c r="A99" s="21"/>
      <c r="B99" s="25"/>
      <c r="C99" s="26"/>
      <c r="D99" s="41"/>
      <c r="F99" s="43"/>
    </row>
    <row r="100" spans="1:6" x14ac:dyDescent="0.2">
      <c r="A100" s="21"/>
      <c r="B100" s="25"/>
      <c r="C100" s="26"/>
      <c r="D100" s="41"/>
      <c r="F100" s="43"/>
    </row>
    <row r="101" spans="1:6" x14ac:dyDescent="0.2">
      <c r="A101" s="21"/>
      <c r="B101" s="25"/>
      <c r="C101" s="26"/>
      <c r="D101" s="41"/>
      <c r="F101" s="43"/>
    </row>
    <row r="102" spans="1:6" x14ac:dyDescent="0.2">
      <c r="A102" s="21"/>
      <c r="B102" s="25"/>
      <c r="C102" s="26"/>
      <c r="D102" s="41"/>
      <c r="F102" s="43"/>
    </row>
    <row r="103" spans="1:6" x14ac:dyDescent="0.2">
      <c r="A103" s="21"/>
      <c r="B103" s="25"/>
      <c r="C103" s="26"/>
      <c r="D103" s="41"/>
      <c r="F103" s="43"/>
    </row>
    <row r="104" spans="1:6" x14ac:dyDescent="0.2">
      <c r="A104" s="21"/>
      <c r="B104" s="25"/>
      <c r="C104" s="26"/>
      <c r="D104" s="41"/>
      <c r="F104" s="43"/>
    </row>
    <row r="105" spans="1:6" x14ac:dyDescent="0.2">
      <c r="A105" s="21"/>
      <c r="B105" s="25"/>
      <c r="C105" s="26"/>
      <c r="D105" s="41"/>
      <c r="F105" s="43"/>
    </row>
    <row r="106" spans="1:6" x14ac:dyDescent="0.2">
      <c r="A106" s="21"/>
      <c r="B106" s="25"/>
      <c r="C106" s="26"/>
      <c r="D106" s="41"/>
      <c r="F106" s="43"/>
    </row>
    <row r="107" spans="1:6" x14ac:dyDescent="0.2">
      <c r="A107" s="21"/>
      <c r="B107" s="25"/>
      <c r="C107" s="26"/>
      <c r="D107" s="41"/>
      <c r="F107" s="43"/>
    </row>
    <row r="108" spans="1:6" x14ac:dyDescent="0.2">
      <c r="A108" s="21"/>
      <c r="B108" s="25"/>
      <c r="C108" s="26"/>
      <c r="D108" s="41"/>
      <c r="F108" s="43"/>
    </row>
    <row r="109" spans="1:6" x14ac:dyDescent="0.2">
      <c r="A109" s="21"/>
      <c r="B109" s="25"/>
      <c r="C109" s="26"/>
      <c r="D109" s="41"/>
      <c r="F109" s="43"/>
    </row>
    <row r="110" spans="1:6" x14ac:dyDescent="0.2">
      <c r="A110" s="21"/>
      <c r="B110" s="25"/>
      <c r="C110" s="26"/>
      <c r="D110" s="41"/>
      <c r="F110" s="43"/>
    </row>
    <row r="111" spans="1:6" x14ac:dyDescent="0.2">
      <c r="A111" s="21"/>
      <c r="B111" s="25"/>
      <c r="C111" s="26"/>
      <c r="D111" s="41"/>
      <c r="F111" s="43"/>
    </row>
    <row r="112" spans="1:6" x14ac:dyDescent="0.2">
      <c r="A112" s="21"/>
      <c r="B112" s="25"/>
      <c r="C112" s="26"/>
      <c r="D112" s="41"/>
      <c r="F112" s="43"/>
    </row>
    <row r="113" spans="1:6" x14ac:dyDescent="0.2">
      <c r="A113" s="21"/>
      <c r="B113" s="25"/>
      <c r="C113" s="26"/>
      <c r="D113" s="41"/>
      <c r="F113" s="43"/>
    </row>
    <row r="114" spans="1:6" x14ac:dyDescent="0.2">
      <c r="A114" s="21"/>
      <c r="B114" s="25"/>
      <c r="C114" s="26"/>
      <c r="D114" s="41"/>
      <c r="F114" s="43"/>
    </row>
    <row r="115" spans="1:6" x14ac:dyDescent="0.2">
      <c r="A115" s="21"/>
      <c r="B115" s="25"/>
      <c r="C115" s="26"/>
      <c r="D115" s="41"/>
      <c r="F115" s="43"/>
    </row>
    <row r="116" spans="1:6" x14ac:dyDescent="0.2">
      <c r="A116" s="21"/>
      <c r="B116" s="25"/>
      <c r="C116" s="26"/>
      <c r="D116" s="41"/>
      <c r="F116" s="43"/>
    </row>
    <row r="117" spans="1:6" x14ac:dyDescent="0.2">
      <c r="A117" s="21"/>
      <c r="B117" s="25"/>
      <c r="C117" s="26"/>
      <c r="D117" s="41"/>
      <c r="F117" s="43"/>
    </row>
    <row r="118" spans="1:6" x14ac:dyDescent="0.2">
      <c r="A118" s="21"/>
      <c r="B118" s="25"/>
      <c r="C118" s="26"/>
      <c r="D118" s="41"/>
      <c r="F118" s="43"/>
    </row>
    <row r="119" spans="1:6" x14ac:dyDescent="0.2">
      <c r="A119" s="21"/>
      <c r="B119" s="25"/>
      <c r="C119" s="26"/>
      <c r="D119" s="41"/>
      <c r="F119" s="43"/>
    </row>
    <row r="120" spans="1:6" x14ac:dyDescent="0.2">
      <c r="A120" s="21"/>
      <c r="B120" s="25"/>
      <c r="C120" s="26"/>
      <c r="D120" s="41"/>
      <c r="F120" s="43"/>
    </row>
    <row r="121" spans="1:6" x14ac:dyDescent="0.2">
      <c r="A121" s="21"/>
      <c r="B121" s="25"/>
      <c r="C121" s="26"/>
      <c r="D121" s="41"/>
      <c r="F121" s="43"/>
    </row>
    <row r="122" spans="1:6" x14ac:dyDescent="0.2">
      <c r="A122" s="21"/>
      <c r="B122" s="25"/>
      <c r="C122" s="26"/>
      <c r="D122" s="41"/>
      <c r="F122" s="43"/>
    </row>
    <row r="123" spans="1:6" x14ac:dyDescent="0.2">
      <c r="A123" s="21"/>
      <c r="B123" s="25"/>
      <c r="C123" s="26"/>
      <c r="D123" s="41"/>
      <c r="F123" s="43"/>
    </row>
    <row r="124" spans="1:6" x14ac:dyDescent="0.2">
      <c r="A124" s="21"/>
      <c r="B124" s="25"/>
      <c r="C124" s="26"/>
      <c r="D124" s="41"/>
      <c r="F124" s="43"/>
    </row>
    <row r="125" spans="1:6" x14ac:dyDescent="0.2">
      <c r="A125" s="21"/>
      <c r="B125" s="25"/>
      <c r="C125" s="26"/>
      <c r="D125" s="41"/>
      <c r="F125" s="43"/>
    </row>
    <row r="126" spans="1:6" x14ac:dyDescent="0.2">
      <c r="A126" s="21"/>
      <c r="B126" s="25"/>
      <c r="C126" s="26"/>
      <c r="D126" s="41"/>
      <c r="F126" s="43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  <vt:lpstr>String_GuideQuest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2026-08-06T06:53:52Z</dcterms:modified>
</cp:coreProperties>
</file>