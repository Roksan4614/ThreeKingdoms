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60B79E77-DF2E-418A-9810-8391AB67E2D3}" xr6:coauthVersionLast="47" xr6:coauthVersionMax="47" xr10:uidLastSave="{00000000-0000-0000-0000-000000000000}"/>
  <bookViews>
    <workbookView xWindow="-120" yWindow="-120" windowWidth="29040" windowHeight="15720" tabRatio="906" activeTab="1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Quest" sheetId="12" r:id="rId10"/>
    <sheet name="String_Traits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12" l="1"/>
  <c r="D15" i="12"/>
  <c r="D14" i="12"/>
  <c r="D13" i="12"/>
  <c r="D12" i="12"/>
  <c r="D11" i="12"/>
  <c r="D10" i="12"/>
  <c r="D9" i="12"/>
  <c r="D8" i="12"/>
  <c r="D7" i="12"/>
  <c r="D6" i="12"/>
  <c r="D5" i="12"/>
  <c r="D17" i="12"/>
  <c r="B3" i="11"/>
  <c r="B12" i="11"/>
  <c r="B39" i="11"/>
  <c r="B38" i="11"/>
  <c r="B37" i="11"/>
  <c r="B36" i="11"/>
  <c r="B35" i="11"/>
  <c r="B34" i="11"/>
  <c r="B22" i="11"/>
  <c r="B32" i="11"/>
  <c r="B31" i="11"/>
  <c r="B30" i="11"/>
  <c r="B29" i="11"/>
  <c r="B28" i="11"/>
  <c r="B27" i="11"/>
  <c r="B26" i="11"/>
  <c r="B25" i="11"/>
  <c r="B24" i="11"/>
  <c r="B23" i="11"/>
  <c r="B21" i="11"/>
  <c r="B20" i="11"/>
  <c r="B19" i="11"/>
  <c r="B18" i="11"/>
  <c r="B17" i="11"/>
  <c r="B16" i="11"/>
  <c r="B15" i="11"/>
  <c r="B14" i="11"/>
  <c r="B13" i="11"/>
  <c r="B33" i="11"/>
  <c r="B11" i="11" l="1"/>
  <c r="B10" i="11"/>
  <c r="B9" i="11"/>
  <c r="B8" i="11"/>
  <c r="B7" i="11"/>
  <c r="B6" i="11"/>
  <c r="B5" i="11"/>
  <c r="B4" i="11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10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9" i="9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<sst xmlns="http://schemas.openxmlformats.org/spreadsheetml/2006/main" count="2042" uniqueCount="1104">
  <si>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</si>
  <si>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</si>
  <si>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</si>
  <si>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</si>
  <si>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</si>
  <si>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</si>
  <si>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</si>
  <si>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</si>
  <si>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</si>
  <si>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</si>
  <si>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</si>
  <si>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</si>
  <si>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</si>
  <si>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</si>
  <si>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</si>
  <si>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</si>
  <si>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</si>
  <si>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</si>
  <si>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</si>
  <si>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</si>
  <si>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</si>
  <si>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</si>
  <si>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</si>
  <si>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</si>
  <si>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</si>
  <si>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</si>
  <si>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</si>
  <si>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</si>
  <si>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</si>
  <si>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</si>
  <si>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</si>
  <si>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</si>
  <si>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</si>
  <si>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</si>
  <si>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</si>
  <si>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</si>
  <si>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</si>
  <si>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</si>
  <si>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</si>
  <si>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</si>
  <si>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</si>
  <si>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</si>
  <si>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</si>
  <si>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</si>
  <si>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</si>
  <si>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</si>
  <si>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</si>
  <si>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</si>
  <si>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</si>
  <si>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</si>
  <si>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</si>
  <si>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</si>
  <si>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</si>
  <si>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</si>
  <si>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</si>
  <si>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</si>
  <si>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</si>
  <si>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</si>
  <si>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</si>
  <si>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</si>
  <si>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</si>
  <si>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</si>
  <si>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</si>
  <si>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</si>
  <si>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</si>
  <si>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</si>
  <si>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</si>
  <si>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</si>
  <si>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</si>
  <si>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</si>
  <si>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</si>
  <si>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</si>
  <si>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</si>
  <si>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</si>
  <si>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</si>
  <si>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</si>
  <si>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</si>
  <si>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</si>
  <si>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</si>
  <si>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</si>
  <si>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</si>
  <si>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</si>
  <si>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</si>
  <si>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</si>
  <si>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</si>
  <si>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</si>
  <si>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</si>
  <si>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</si>
  <si>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</si>
  <si>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</si>
  <si>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</si>
  <si>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</si>
  <si>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</si>
  <si>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</si>
  <si>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</si>
  <si>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</si>
  <si>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</si>
  <si>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</si>
  <si>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</si>
  <si>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</si>
  <si>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</si>
  <si>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</si>
  <si>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</si>
  <si>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</si>
  <si>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</si>
  <si>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</si>
  <si>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</si>
  <si>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</si>
  <si>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</si>
  <si>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</si>
  <si>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</si>
  <si>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</si>
  <si>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</si>
  <si>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</si>
  <si>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</si>
  <si>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</si>
  <si>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</si>
  <si>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</si>
  <si>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</si>
  <si>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</si>
  <si>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</si>
  <si>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</si>
  <si>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</si>
  <si>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</si>
  <si>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</si>
  <si>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</si>
  <si>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</si>
  <si>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</si>
  <si>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</si>
  <si>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</si>
  <si>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</si>
  <si>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</si>
  <si>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</si>
  <si>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</si>
  <si>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</si>
  <si>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</si>
  <si>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</si>
  <si>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</si>
  <si>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</si>
  <si>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</si>
  <si>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</si>
  <si>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</si>
  <si>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</si>
  <si>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</si>
  <si>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</si>
  <si>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</si>
  <si>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</si>
  <si>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</si>
  <si>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</si>
  <si>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</si>
  <si>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</si>
  <si>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</si>
  <si>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</si>
  <si>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</si>
  <si>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</si>
  <si>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</si>
  <si>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</si>
  <si>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</si>
  <si>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</si>
  <si>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</si>
  <si>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</si>
  <si>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</si>
  <si>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</si>
  <si>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</si>
  <si>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</si>
  <si>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</si>
  <si>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</si>
  <si>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</si>
  <si>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</si>
  <si>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</si>
  <si>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</si>
  <si>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</si>
  <si>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</si>
  <si>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</si>
  <si>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</si>
  <si>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</si>
  <si>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</si>
  <si>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</si>
  <si>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</si>
  <si>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</si>
  <si>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</si>
  <si>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</si>
  <si>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</si>
  <si>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</si>
  <si>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</si>
  <si>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</si>
  <si>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</si>
  <si>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</si>
  <si>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</si>
  <si>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</si>
  <si>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</si>
  <si>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</si>
  <si>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</si>
  <si>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</si>
  <si>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</si>
  <si>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</si>
  <si>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</si>
  <si>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</si>
  <si>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</si>
  <si>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</si>
  <si>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</si>
  <si>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</si>
  <si>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</si>
  <si>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</si>
  <si>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</si>
  <si>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</si>
  <si>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</si>
  <si>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</si>
  <si>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</si>
  <si>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</si>
  <si>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</si>
  <si>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</si>
  <si>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</si>
  <si>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</si>
  <si>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</si>
  <si>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</si>
  <si>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</si>
  <si>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</si>
  <si>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</si>
  <si>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</si>
  <si>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</si>
  <si>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</si>
  <si>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</si>
  <si>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</si>
  <si>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</si>
  <si>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</si>
  <si>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</si>
  <si>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</si>
  <si>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</si>
  <si>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</si>
  <si>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</si>
  <si>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</si>
  <si>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</si>
  <si>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</si>
  <si>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</si>
  <si>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</si>
  <si>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</si>
  <si>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</si>
  <si>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</si>
  <si>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</si>
  <si>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</si>
  <si>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</si>
  <si>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</si>
  <si>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</si>
  <si>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</si>
  <si>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</si>
  <si>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</si>
  <si>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</si>
  <si>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</si>
  <si>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</si>
  <si>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</si>
  <si>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</si>
  <si>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</si>
  <si>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</si>
  <si>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</si>
  <si>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</si>
  <si>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</si>
  <si>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</si>
  <si>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</si>
  <si>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</si>
  <si>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</si>
  <si>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</si>
  <si>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</si>
  <si>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</si>
  <si>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</si>
  <si>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</si>
  <si>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</si>
  <si>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</si>
  <si>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</si>
  <si>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</si>
  <si>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</si>
  <si>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</si>
  <si>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</si>
  <si>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</si>
  <si>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</si>
  <si>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</si>
  <si>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</si>
  <si>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</si>
  <si>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</si>
  <si>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</si>
  <si>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</si>
  <si>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</si>
  <si>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</si>
  <si>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</si>
  <si>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</si>
  <si>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</si>
  <si>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</si>
  <si>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</si>
  <si>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</si>
  <si>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</si>
  <si>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</si>
  <si>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</si>
  <si>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</si>
  <si>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</si>
  <si>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</si>
  <si>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</si>
  <si>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</si>
  <si>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</si>
  <si>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</si>
  <si>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</si>
  <si>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</si>
  <si>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</si>
  <si>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</si>
  <si>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</si>
  <si>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</si>
  <si>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</si>
  <si>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</si>
  <si>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</si>
  <si>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</si>
  <si>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</si>
  <si>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</si>
  <si>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</si>
  <si>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</si>
  <si>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</si>
  <si>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</si>
  <si>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</si>
  <si>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</si>
  <si>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</si>
  <si>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</si>
  <si>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</si>
  <si>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</si>
  <si>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</si>
  <si>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</si>
  <si>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</si>
  <si>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</si>
  <si>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</si>
  <si>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</si>
  <si>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</si>
  <si>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</si>
  <si>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</si>
  <si>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</si>
  <si>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</si>
  <si>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</si>
  <si>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</si>
  <si>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</si>
  <si>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</si>
  <si>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</si>
  <si>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</si>
  <si>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</si>
  <si>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</si>
  <si>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</si>
  <si>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</si>
  <si>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</si>
  <si>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</si>
  <si>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</si>
  <si>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</si>
  <si>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</si>
  <si>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</si>
  <si>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</si>
  <si>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</si>
  <si>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</si>
  <si>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</si>
  <si>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</si>
  <si>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</si>
  <si>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</si>
  <si>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</si>
  <si>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</si>
  <si>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</si>
  <si>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</si>
  <si>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</si>
  <si>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</si>
  <si>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</si>
  <si>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</si>
  <si>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</si>
  <si>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</si>
  <si>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</si>
  <si>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</si>
  <si>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</si>
  <si>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</si>
  <si>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</si>
  <si>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</si>
  <si>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</si>
  <si>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</si>
  <si>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</si>
  <si>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</si>
  <si>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</si>
  <si>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</si>
  <si>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</si>
  <si>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</si>
  <si>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</si>
  <si>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</si>
  <si>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</si>
  <si>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</si>
  <si>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</si>
  <si>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</si>
  <si>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</si>
  <si>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</si>
  <si>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</si>
  <si>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</si>
  <si>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</si>
  <si>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</si>
  <si>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</si>
  <si>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</si>
  <si>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</si>
  <si>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</si>
  <si>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</si>
  <si>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</si>
  <si>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</si>
  <si>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</si>
  <si>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</si>
  <si>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</si>
  <si>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</si>
  <si>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</si>
  <si>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</si>
  <si>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</si>
  <si>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</si>
  <si>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</si>
  <si>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</si>
  <si>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</si>
  <si>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</si>
  <si>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</si>
  <si>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</si>
  <si>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</si>
  <si>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</si>
  <si>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</si>
  <si>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</si>
  <si>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</si>
  <si>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</si>
  <si>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</si>
  <si>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</si>
  <si>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</si>
  <si>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</si>
  <si>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</si>
  <si>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</si>
  <si>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</si>
  <si>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</si>
  <si>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</si>
  <si>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</si>
  <si>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</si>
  <si>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</si>
  <si>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</si>
  <si>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</si>
  <si>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</si>
  <si>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</si>
  <si>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</si>
  <si>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</si>
  <si>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</si>
  <si>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</si>
  <si>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</si>
  <si>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</si>
  <si>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</si>
  <si>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</si>
  <si>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</si>
  <si>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</si>
  <si>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</si>
  <si>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</si>
  <si>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</si>
  <si>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</si>
  <si>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</si>
  <si>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</si>
  <si>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</si>
  <si>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</si>
  <si>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</si>
  <si>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</si>
  <si>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</si>
  <si>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</si>
  <si>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</si>
  <si>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</si>
  <si>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</si>
  <si>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</si>
  <si>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</si>
  <si>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</si>
  <si>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</si>
  <si>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</si>
  <si>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</si>
  <si>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</si>
  <si>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</si>
  <si>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</si>
  <si>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</si>
  <si>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</si>
  <si>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</si>
  <si>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</si>
  <si>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</si>
  <si>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</si>
  <si>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</si>
  <si>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</si>
  <si>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</si>
  <si>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</si>
  <si>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</si>
  <si>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</si>
  <si>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</si>
  <si>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</si>
  <si>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</si>
  <si>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</si>
  <si>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</si>
  <si>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</si>
  <si>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</si>
  <si>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</si>
  <si>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</si>
  <si>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</si>
  <si>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</si>
  <si>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</si>
  <si>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</si>
  <si>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</si>
  <si>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</si>
  <si>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</si>
  <si>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</si>
  <si>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</si>
  <si>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</si>
  <si>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</si>
  <si>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</si>
  <si>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</si>
  <si>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</si>
  <si>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</si>
  <si>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</si>
  <si>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</si>
  <si>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</si>
  <si>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</si>
  <si>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</si>
  <si>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</si>
  <si>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</si>
  <si>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</si>
  <si>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</si>
  <si>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</si>
  <si>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</si>
  <si>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</si>
  <si>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</si>
  <si>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</si>
  <si>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</si>
  <si>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</si>
  <si>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</si>
  <si>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</si>
  <si>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</si>
  <si>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</si>
  <si>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</si>
  <si>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</si>
  <si>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</si>
  <si>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</si>
  <si>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</si>
  <si>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</si>
  <si>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</si>
  <si>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</si>
  <si>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</si>
  <si>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</si>
  <si>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</si>
  <si>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</si>
  <si>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</si>
  <si>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</si>
  <si>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</si>
  <si>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</si>
  <si>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</si>
  <si>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</si>
  <si>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</si>
  <si>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</si>
  <si>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</si>
  <si>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</si>
  <si>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</si>
  <si>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</si>
  <si>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</si>
  <si>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</si>
  <si>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</si>
  <si>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</si>
  <si>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</si>
  <si>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</si>
  <si>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</si>
  <si>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</si>
  <si>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</si>
  <si>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</si>
  <si>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</si>
  <si>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</si>
  <si>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</si>
  <si>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</si>
  <si>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</si>
  <si>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</si>
  <si>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</si>
  <si>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</si>
  <si>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</si>
  <si>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</si>
  <si>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</si>
  <si>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</si>
  <si>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</si>
  <si>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</si>
  <si>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</si>
  <si>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</si>
  <si>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</si>
  <si>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</si>
  <si>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</si>
  <si>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</si>
  <si>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</si>
  <si>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</si>
  <si>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</si>
  <si>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</si>
  <si>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</si>
  <si>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</si>
  <si>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</si>
  <si>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</si>
  <si>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</si>
  <si>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</si>
  <si>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</si>
  <si>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</si>
  <si>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</si>
  <si>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</si>
  <si>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</si>
  <si>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</si>
  <si>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</si>
  <si>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</si>
  <si>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</si>
  <si>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</si>
  <si>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</si>
  <si>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</si>
  <si>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</si>
  <si>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</si>
  <si>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</si>
  <si>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</si>
  <si>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</si>
  <si>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</si>
  <si>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</si>
  <si>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</si>
  <si>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</si>
  <si>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</si>
  <si>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</si>
  <si>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</si>
  <si>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</si>
  <si>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</si>
  <si>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</si>
  <si>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</si>
  <si>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</si>
  <si>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</si>
  <si>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</si>
  <si>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</si>
  <si>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</si>
  <si>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</si>
  <si>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</si>
  <si>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</si>
  <si>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</si>
  <si>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</si>
  <si>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</si>
  <si>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</si>
  <si>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</si>
  <si>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</si>
  <si>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</si>
  <si>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</si>
  <si>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</si>
  <si>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</si>
  <si>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</si>
  <si>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</si>
  <si>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</si>
  <si>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</si>
  <si>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</si>
  <si>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</si>
  <si>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</si>
  <si>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</si>
  <si>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</si>
  <si>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</si>
  <si>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</si>
  <si>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</si>
  <si>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</si>
  <si>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</si>
  <si>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</si>
  <si>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</si>
  <si>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</si>
  <si>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</si>
  <si>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</si>
  <si>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</si>
  <si>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</si>
  <si>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</si>
  <si>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</si>
  <si>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</si>
  <si>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</si>
  <si>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</si>
  <si>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</si>
  <si>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</si>
  <si>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</si>
  <si>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</si>
  <si>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</si>
  <si>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</si>
  <si>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</si>
  <si>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</si>
  <si>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</si>
  <si>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</si>
  <si>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</si>
  <si>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</si>
  <si>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</si>
  <si>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</si>
  <si>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</si>
  <si>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</si>
  <si>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</si>
  <si>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</si>
  <si>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</si>
  <si>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</si>
  <si>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</si>
  <si>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</si>
  <si>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</si>
  <si>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</si>
  <si>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</si>
  <si>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</si>
  <si>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</si>
  <si>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</si>
  <si>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</si>
  <si>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</si>
  <si>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</si>
  <si>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</si>
  <si>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</si>
  <si>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</si>
  <si>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</si>
  <si>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</si>
  <si>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</si>
  <si>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</si>
  <si>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</si>
  <si>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</si>
  <si>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</si>
  <si>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</si>
  <si>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</si>
  <si>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</si>
  <si>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</si>
  <si>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</si>
  <si>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</si>
  <si>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</si>
  <si>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</si>
  <si>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</si>
  <si>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</si>
  <si>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</si>
  <si>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</si>
  <si>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</si>
  <si>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</si>
  <si>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</si>
  <si>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</si>
  <si>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</si>
  <si>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</si>
  <si>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</si>
  <si>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</si>
  <si>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</si>
  <si>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</si>
  <si>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</si>
  <si>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</si>
  <si>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</si>
  <si>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</si>
  <si>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</si>
  <si>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</si>
  <si>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</si>
  <si>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</si>
  <si>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</si>
  <si>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</si>
  <si>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</si>
  <si>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</si>
  <si>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</si>
  <si>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</si>
  <si>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</si>
  <si>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</si>
  <si>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</si>
  <si>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</si>
  <si>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</si>
  <si>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</si>
  <si>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</si>
  <si>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</si>
  <si>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</si>
  <si>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</si>
  <si>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</si>
  <si>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</si>
  <si>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</si>
  <si>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</si>
  <si>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</si>
  <si>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</si>
  <si>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</si>
  <si>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</si>
  <si>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</si>
  <si>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</si>
  <si>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</si>
  <si>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</si>
  <si>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</si>
  <si>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</si>
  <si>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</si>
  <si>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</si>
  <si>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</si>
  <si>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</si>
  <si>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</si>
  <si>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</si>
  <si>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</si>
  <si>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</si>
  <si>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</si>
  <si>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</si>
  <si>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</si>
  <si>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</si>
  <si>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</si>
  <si>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</si>
  <si>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</si>
  <si>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</si>
  <si>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</si>
  <si>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</si>
  <si>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</si>
  <si>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</si>
  <si>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</si>
  <si>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</si>
  <si>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</si>
  <si>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</si>
  <si>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</si>
  <si>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</si>
  <si>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</si>
  <si>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</si>
  <si>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</si>
  <si>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</si>
  <si>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</si>
  <si>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</si>
  <si>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</si>
  <si>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</si>
  <si>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</si>
  <si>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</si>
  <si>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</si>
  <si>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</si>
  <si>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</si>
  <si>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</si>
  <si>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</si>
  <si>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</si>
  <si>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</si>
  <si>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</si>
  <si>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</si>
  <si>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</si>
  <si>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</si>
  <si>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</si>
  <si>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</si>
  <si>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</si>
  <si>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</si>
  <si>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</si>
  <si>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</si>
  <si>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</si>
  <si>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</si>
  <si>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</si>
  <si>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</si>
  <si>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</si>
  <si>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</si>
  <si>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</si>
  <si>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</si>
  <si>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</si>
  <si>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</si>
  <si>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</si>
  <si>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</si>
  <si>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</si>
  <si>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</si>
  <si>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</si>
  <si>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</si>
  <si>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</si>
  <si>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</si>
  <si>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</si>
  <si>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</si>
  <si>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</si>
  <si>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</si>
  <si>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</si>
  <si>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</si>
  <si>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</si>
  <si>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</si>
  <si>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</si>
  <si>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</si>
  <si>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</si>
  <si>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</si>
  <si>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</si>
  <si>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</si>
  <si>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</si>
  <si>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</si>
  <si>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</si>
  <si>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</si>
  <si>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</si>
  <si>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</si>
  <si>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</si>
  <si>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</si>
  <si>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</si>
  <si>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</si>
  <si>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</si>
  <si>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</si>
  <si>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</si>
  <si>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</si>
  <si>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</si>
  <si>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</si>
  <si>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</si>
  <si>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</si>
  <si>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</si>
  <si>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</si>
  <si>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</si>
  <si>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</si>
  <si>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</si>
  <si>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</si>
  <si>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</si>
  <si>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</si>
  <si>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</si>
  <si>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</si>
  <si>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</si>
  <si>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</si>
  <si>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</si>
  <si>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</si>
  <si>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</si>
  <si>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</si>
  <si>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</si>
  <si>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</si>
  <si>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</si>
  <si>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</si>
  <si>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</si>
  <si>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</si>
  <si>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</si>
  <si>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</si>
  <si>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</si>
  <si>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</si>
  <si>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</si>
  <si>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</si>
  <si>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</si>
  <si>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</si>
  <si>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</si>
  <si>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</si>
  <si>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</si>
  <si>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</si>
  <si>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</si>
  <si>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</si>
  <si>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</si>
  <si>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</si>
  <si>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</si>
  <si>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</si>
  <si>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</si>
  <si>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</si>
  <si>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</si>
  <si>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</si>
  <si>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</si>
  <si>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</si>
  <si>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</si>
  <si>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</si>
  <si>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</si>
  <si>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</si>
  <si>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</si>
  <si>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치명타확률</t>
  </si>
  <si>
    <t>쿨타임감소</t>
  </si>
  <si>
    <t>치명타위력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</si>
  <si>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</si>
  <si>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</si>
  <si>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</si>
  <si>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</si>
  <si>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</si>
  <si>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</si>
  <si>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</si>
  <si>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</si>
  <si>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</si>
  <si>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</si>
  <si>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</si>
  <si>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</si>
  <si>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</si>
  <si>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</si>
  <si>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</si>
  <si>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</si>
  <si>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</si>
  <si>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</si>
  <si>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</si>
  <si>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</si>
  <si>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</si>
  <si>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</si>
  <si>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</si>
  <si>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</si>
  <si>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</si>
  <si>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</si>
  <si>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</si>
  <si>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</si>
  <si>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</si>
  <si>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</si>
  <si>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</si>
  <si>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</si>
  <si>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</si>
  <si>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</si>
  <si>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</si>
  <si>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</si>
  <si>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</si>
  <si>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</si>
  <si>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</si>
  <si>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</si>
  <si>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</si>
  <si>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</si>
  <si>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</si>
  <si>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</si>
  <si>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</si>
  <si>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</si>
  <si>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</si>
  <si>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</si>
  <si>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</si>
  <si>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</si>
  <si>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</si>
  <si>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</si>
  <si>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</si>
  <si>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</si>
  <si>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</si>
  <si>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</si>
  <si>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</si>
  <si>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</si>
  <si>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</si>
  <si>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</si>
  <si>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</si>
  <si>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</si>
  <si>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</si>
  <si>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</si>
  <si>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</si>
  <si>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</si>
  <si>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</si>
  <si>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</si>
  <si>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</si>
  <si>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</si>
  <si>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</si>
  <si>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</si>
  <si>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</si>
  <si>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</si>
  <si>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</si>
  <si>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</si>
  <si>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</si>
  <si>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</si>
  <si>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</si>
  <si>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</si>
  <si>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</si>
  <si>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</si>
  <si>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</si>
  <si>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</si>
  <si>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</si>
  <si>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Random_Box</t>
  </si>
  <si>
    <t>Item</t>
  </si>
  <si>
    <t>Piece</t>
  </si>
  <si>
    <t>Point</t>
  </si>
  <si>
    <t>Ticket</t>
  </si>
  <si>
    <t>재화</t>
    <phoneticPr fontId="1" type="noConversion"/>
  </si>
  <si>
    <t>번들</t>
    <phoneticPr fontId="1" type="noConversion"/>
  </si>
  <si>
    <t>랜덤상자</t>
    <phoneticPr fontId="1" type="noConversion"/>
  </si>
  <si>
    <t>아이템</t>
    <phoneticPr fontId="1" type="noConversion"/>
  </si>
  <si>
    <t>조각</t>
    <phoneticPr fontId="1" type="noConversion"/>
  </si>
  <si>
    <t>포인트</t>
    <phoneticPr fontId="1" type="noConversion"/>
  </si>
  <si>
    <t>티켓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</si>
  <si>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</si>
  <si>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</si>
  <si>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</si>
  <si>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</si>
  <si>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</si>
  <si>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</si>
  <si>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</si>
  <si>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</si>
  <si>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</si>
  <si>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</si>
  <si>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</si>
  <si>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</si>
  <si>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</si>
  <si>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</si>
  <si>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</si>
  <si>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</si>
  <si>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</si>
  <si>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</si>
  <si>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</si>
  <si>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</si>
  <si>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</si>
  <si>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</si>
  <si>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</si>
  <si>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</si>
  <si>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</si>
  <si>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</si>
  <si>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</si>
  <si>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</si>
  <si>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</si>
  <si>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</si>
  <si>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</si>
  <si>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</si>
  <si>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</si>
  <si>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</si>
  <si>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</si>
  <si>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</si>
  <si>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</si>
  <si>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</si>
  <si>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</si>
  <si>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</si>
  <si>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</si>
  <si>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</si>
  <si>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</si>
  <si>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</si>
  <si>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</si>
  <si>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Commander</t>
  </si>
  <si>
    <t>Champion</t>
  </si>
  <si>
    <t>Chaser</t>
  </si>
  <si>
    <t>Archer</t>
  </si>
  <si>
    <t>Strategist</t>
  </si>
  <si>
    <t>MAX</t>
    <phoneticPr fontId="1" type="noConversion"/>
  </si>
  <si>
    <t>none</t>
    <phoneticPr fontId="1" type="noConversion"/>
  </si>
  <si>
    <t>기타</t>
    <phoneticPr fontId="1" type="noConversion"/>
  </si>
  <si>
    <t>CATEGORY_NAME_DAILY</t>
    <phoneticPr fontId="1" type="noConversion"/>
  </si>
  <si>
    <t>CATEGORY_NAME_WEEKLY</t>
    <phoneticPr fontId="1" type="noConversion"/>
  </si>
  <si>
    <t>일일 임무</t>
    <phoneticPr fontId="1" type="noConversion"/>
  </si>
  <si>
    <t>주간 임무</t>
    <phoneticPr fontId="1" type="noConversion"/>
  </si>
  <si>
    <t>BUTTON_RECEIVE</t>
    <phoneticPr fontId="1" type="noConversion"/>
  </si>
  <si>
    <t>받기</t>
    <phoneticPr fontId="1" type="noConversion"/>
  </si>
  <si>
    <t>BUTTON_NAVIGATION</t>
    <phoneticPr fontId="1" type="noConversion"/>
  </si>
  <si>
    <t>BUTTON_READ</t>
    <phoneticPr fontId="1" type="noConversion"/>
  </si>
  <si>
    <t>보기</t>
    <phoneticPr fontId="1" type="noConversion"/>
  </si>
  <si>
    <t>login</t>
  </si>
  <si>
    <t>enemy_kill</t>
  </si>
  <si>
    <t>tournament_play</t>
  </si>
  <si>
    <t>raid_play</t>
  </si>
  <si>
    <t>gacha_proceed</t>
  </si>
  <si>
    <t>rice_claim</t>
  </si>
  <si>
    <t>gole_claim</t>
  </si>
  <si>
    <t>office_dispatch</t>
  </si>
  <si>
    <t>daily_dungeon_play</t>
  </si>
  <si>
    <t>stage_boss_kill</t>
  </si>
  <si>
    <t>ads_watch</t>
  </si>
  <si>
    <t>item_buy</t>
  </si>
  <si>
    <t>item_use</t>
  </si>
  <si>
    <t>로그인</t>
  </si>
  <si>
    <t>연회 진행하기</t>
  </si>
  <si>
    <t>관아 파견하기</t>
  </si>
  <si>
    <t>요일 던전 플레이하기</t>
  </si>
  <si>
    <t>스테이지 보스 처치하기</t>
  </si>
  <si>
    <t>광고 시청하기</t>
  </si>
  <si>
    <t>상품 구매하기</t>
  </si>
  <si>
    <t>아이템 사용하기</t>
  </si>
  <si>
    <t>STATUS_COMPLETE</t>
    <phoneticPr fontId="1" type="noConversion"/>
  </si>
  <si>
    <t>완료</t>
    <phoneticPr fontId="1" type="noConversion"/>
  </si>
  <si>
    <t>이동</t>
    <phoneticPr fontId="1" type="noConversion"/>
  </si>
  <si>
    <t>COMPLETE</t>
    <phoneticPr fontId="1" type="noConversion"/>
  </si>
  <si>
    <t>COMPLETE_REWARD</t>
    <phoneticPr fontId="1" type="noConversion"/>
  </si>
  <si>
    <t>획득완료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</si>
</sst>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0" borderId="1" xfId="0" applyFont="1" applyBorder="1" applyAlignment="1"/>
    <xf numFmtId="0" fontId="6" fillId="0" borderId="1" xfId="0" applyFont="1" applyBorder="1" applyAlignment="1">
      <alignment wrapText="1"/>
    </xf>
    <xf numFmtId="0" fontId="6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  <xf numFmtId="0" fontId="6" fillId="0" borderId="0" xfId="0" applyFont="1" applyFill="1" applyBorder="1" applyAlignment="1">
      <alignment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6"/>
  <sheetViews>
    <sheetView tabSelected="1" topLeftCell="A85" workbookViewId="0">
      <selection activeCell="C106" sqref="C106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A3" s="27"/>
      <c r="B3" s="27" t="s">
        <v>83</v>
      </c>
      <c r="C3" s="27" t="s">
        <v>84</v>
      </c>
      <c r="D3" s="27"/>
    </row>
    <row r="4" spans="1:4" x14ac:dyDescent="0.3">
      <c r="A4" s="27"/>
      <c r="B4" s="27" t="s">
        <v>86</v>
      </c>
      <c r="C4" s="38" t="s">
        <v>95</v>
      </c>
      <c r="D4" s="27"/>
    </row>
    <row r="5" spans="1:4" x14ac:dyDescent="0.3">
      <c r="A5" s="27"/>
      <c r="B5" s="27" t="s">
        <v>93</v>
      </c>
      <c r="C5" s="38" t="s">
        <v>102</v>
      </c>
      <c r="D5" s="27"/>
    </row>
    <row r="6" spans="1:4" x14ac:dyDescent="0.3">
      <c r="A6" s="27"/>
      <c r="B6" s="27" t="s">
        <v>91</v>
      </c>
      <c r="C6" s="38" t="s">
        <v>100</v>
      </c>
      <c r="D6" s="27"/>
    </row>
    <row r="7" spans="1:4" x14ac:dyDescent="0.3">
      <c r="A7" s="27"/>
      <c r="B7" s="27" t="s">
        <v>92</v>
      </c>
      <c r="C7" s="38" t="s">
        <v>101</v>
      </c>
      <c r="D7" s="27"/>
    </row>
    <row r="8" spans="1:4" x14ac:dyDescent="0.3">
      <c r="A8" s="27"/>
      <c r="B8" s="27" t="s">
        <v>90</v>
      </c>
      <c r="C8" s="38" t="s">
        <v>99</v>
      </c>
      <c r="D8" s="27"/>
    </row>
    <row r="9" spans="1:4" x14ac:dyDescent="0.3">
      <c r="A9" s="27"/>
      <c r="B9" s="27" t="s">
        <v>85</v>
      </c>
      <c r="C9" s="38" t="s">
        <v>94</v>
      </c>
      <c r="D9" s="27"/>
    </row>
    <row r="10" spans="1:4" x14ac:dyDescent="0.3">
      <c r="A10" s="27"/>
      <c r="B10" s="27" t="s">
        <v>87</v>
      </c>
      <c r="C10" s="38" t="s">
        <v>96</v>
      </c>
      <c r="D10" s="27"/>
    </row>
    <row r="11" spans="1:4" x14ac:dyDescent="0.3">
      <c r="A11" s="27"/>
      <c r="B11" s="27" t="s">
        <v>89</v>
      </c>
      <c r="C11" s="38" t="s">
        <v>98</v>
      </c>
      <c r="D11" s="27"/>
    </row>
    <row r="12" spans="1:4" x14ac:dyDescent="0.3">
      <c r="A12" s="27"/>
      <c r="B12" s="27" t="s">
        <v>88</v>
      </c>
      <c r="C12" s="38" t="s">
        <v>97</v>
      </c>
      <c r="D12" s="27"/>
    </row>
    <row r="13" spans="1:4" x14ac:dyDescent="0.3">
      <c r="A13" s="27"/>
      <c r="B13" s="27" t="s">
        <v>114</v>
      </c>
      <c r="C13" s="38" t="s">
        <v>123</v>
      </c>
      <c r="D13" s="27"/>
    </row>
    <row r="14" spans="1:4" x14ac:dyDescent="0.3">
      <c r="A14" s="27"/>
      <c r="B14" s="27" t="s">
        <v>118</v>
      </c>
      <c r="C14" s="27" t="s">
        <v>119</v>
      </c>
      <c r="D14" s="27"/>
    </row>
    <row r="15" spans="1:4" x14ac:dyDescent="0.3">
      <c r="A15" s="27"/>
      <c r="B15" s="27" t="s">
        <v>115</v>
      </c>
      <c r="C15" s="38" t="s">
        <v>122</v>
      </c>
      <c r="D15" s="27"/>
    </row>
    <row r="16" spans="1:4" x14ac:dyDescent="0.3">
      <c r="A16" s="27"/>
      <c r="B16" s="27" t="s">
        <v>117</v>
      </c>
      <c r="C16" s="27" t="s">
        <v>120</v>
      </c>
      <c r="D16" s="27"/>
    </row>
    <row r="17" spans="1:4" x14ac:dyDescent="0.3">
      <c r="A17" s="27"/>
      <c r="B17" s="27" t="s">
        <v>116</v>
      </c>
      <c r="C17" s="27" t="s">
        <v>121</v>
      </c>
      <c r="D17" s="27"/>
    </row>
    <row r="18" spans="1:4" x14ac:dyDescent="0.3">
      <c r="A18" s="27"/>
      <c r="B18" s="27" t="s">
        <v>113</v>
      </c>
      <c r="C18" s="38" t="s">
        <v>124</v>
      </c>
      <c r="D18" s="27"/>
    </row>
    <row r="19" spans="1:4" x14ac:dyDescent="0.3">
      <c r="A19" s="27"/>
      <c r="B19" s="27" t="s">
        <v>106</v>
      </c>
      <c r="C19" s="38" t="s">
        <v>111</v>
      </c>
      <c r="D19" s="27"/>
    </row>
    <row r="20" spans="1:4" x14ac:dyDescent="0.3">
      <c r="A20" s="27"/>
      <c r="B20" s="27" t="s">
        <v>112</v>
      </c>
      <c r="C20" s="38" t="s">
        <v>109</v>
      </c>
      <c r="D20" s="27"/>
    </row>
    <row r="21" spans="1:4" x14ac:dyDescent="0.3">
      <c r="A21" s="27"/>
      <c r="B21" s="27" t="s">
        <v>103</v>
      </c>
      <c r="C21" s="38" t="s">
        <v>107</v>
      </c>
      <c r="D21" s="27"/>
    </row>
    <row r="22" spans="1:4" x14ac:dyDescent="0.3">
      <c r="A22" s="27"/>
      <c r="B22" s="27" t="s">
        <v>105</v>
      </c>
      <c r="C22" s="38" t="s">
        <v>110</v>
      </c>
      <c r="D22" s="27"/>
    </row>
    <row r="23" spans="1:4" x14ac:dyDescent="0.3">
      <c r="A23" s="27"/>
      <c r="B23" s="27" t="s">
        <v>104</v>
      </c>
      <c r="C23" s="38" t="s">
        <v>108</v>
      </c>
      <c r="D23" s="27"/>
    </row>
    <row r="24" spans="1:4" x14ac:dyDescent="0.3">
      <c r="A24" s="27"/>
      <c r="B24" s="20" t="s">
        <v>154</v>
      </c>
      <c r="C24" s="20" t="s">
        <v>146</v>
      </c>
      <c r="D24" s="27"/>
    </row>
    <row r="25" spans="1:4" x14ac:dyDescent="0.3">
      <c r="A25" s="27"/>
      <c r="B25" s="20" t="s">
        <v>155</v>
      </c>
      <c r="C25" s="20" t="s">
        <v>147</v>
      </c>
      <c r="D25" s="27"/>
    </row>
    <row r="26" spans="1:4" x14ac:dyDescent="0.3">
      <c r="A26" s="27"/>
      <c r="B26" s="20" t="s">
        <v>156</v>
      </c>
      <c r="C26" s="20" t="s">
        <v>148</v>
      </c>
      <c r="D26" s="27"/>
    </row>
    <row r="27" spans="1:4" x14ac:dyDescent="0.3">
      <c r="A27" s="27"/>
      <c r="B27" s="20" t="s">
        <v>157</v>
      </c>
      <c r="C27" s="20" t="s">
        <v>149</v>
      </c>
      <c r="D27" s="27"/>
    </row>
    <row r="28" spans="1:4" x14ac:dyDescent="0.3">
      <c r="A28" s="27"/>
      <c r="B28" s="20" t="s">
        <v>153</v>
      </c>
      <c r="C28" s="20" t="s">
        <v>62</v>
      </c>
      <c r="D28" s="27"/>
    </row>
    <row r="29" spans="1:4" x14ac:dyDescent="0.3">
      <c r="A29" s="27"/>
      <c r="B29" s="27" t="s">
        <v>63</v>
      </c>
      <c r="C29" s="38" t="s">
        <v>64</v>
      </c>
      <c r="D29" s="27"/>
    </row>
    <row r="30" spans="1:4" x14ac:dyDescent="0.3">
      <c r="A30" s="27"/>
      <c r="B30" s="27" t="s">
        <v>65</v>
      </c>
      <c r="C30" s="38" t="s">
        <v>68</v>
      </c>
      <c r="D30" s="27"/>
    </row>
    <row r="31" spans="1:4" x14ac:dyDescent="0.3">
      <c r="A31" s="27"/>
      <c r="B31" s="27" t="s">
        <v>66</v>
      </c>
      <c r="C31" s="38" t="s">
        <v>67</v>
      </c>
      <c r="D31" s="27"/>
    </row>
    <row r="32" spans="1:4" x14ac:dyDescent="0.3">
      <c r="A32" s="27"/>
      <c r="B32" s="27" t="s">
        <v>69</v>
      </c>
      <c r="C32" s="38" t="s">
        <v>70</v>
      </c>
      <c r="D32" s="27"/>
    </row>
    <row r="33" spans="1:4" x14ac:dyDescent="0.3">
      <c r="A33" s="27"/>
      <c r="B33" s="27" t="s">
        <v>61</v>
      </c>
      <c r="C33" s="38" t="s">
        <v>62</v>
      </c>
      <c r="D33" s="27"/>
    </row>
    <row r="34" spans="1:4" x14ac:dyDescent="0.3">
      <c r="A34" s="27"/>
      <c r="B34" s="27" t="s">
        <v>880</v>
      </c>
      <c r="C34" s="38" t="s">
        <v>64</v>
      </c>
      <c r="D34" s="27"/>
    </row>
    <row r="35" spans="1:4" x14ac:dyDescent="0.3">
      <c r="A35" s="27"/>
      <c r="B35" s="27" t="s">
        <v>881</v>
      </c>
      <c r="C35" s="38" t="s">
        <v>68</v>
      </c>
      <c r="D35" s="27"/>
    </row>
    <row r="36" spans="1:4" x14ac:dyDescent="0.3">
      <c r="A36" s="27"/>
      <c r="B36" s="27" t="s">
        <v>882</v>
      </c>
      <c r="C36" s="38" t="s">
        <v>67</v>
      </c>
      <c r="D36" s="27"/>
    </row>
    <row r="37" spans="1:4" x14ac:dyDescent="0.3">
      <c r="A37" s="27"/>
      <c r="B37" s="27" t="s">
        <v>883</v>
      </c>
      <c r="C37" s="38" t="s">
        <v>70</v>
      </c>
      <c r="D37" s="27"/>
    </row>
    <row r="38" spans="1:4" x14ac:dyDescent="0.3">
      <c r="A38" s="27"/>
      <c r="B38" s="27" t="s">
        <v>884</v>
      </c>
      <c r="C38" s="38" t="s">
        <v>62</v>
      </c>
      <c r="D38" s="27"/>
    </row>
    <row r="39" spans="1:4" x14ac:dyDescent="0.3">
      <c r="A39" s="27"/>
      <c r="B39" s="27" t="s">
        <v>151</v>
      </c>
      <c r="C39" s="27" t="s">
        <v>77</v>
      </c>
      <c r="D39" s="27"/>
    </row>
    <row r="40" spans="1:4" x14ac:dyDescent="0.3">
      <c r="A40" s="27"/>
      <c r="B40" s="27" t="s">
        <v>74</v>
      </c>
      <c r="C40" s="27" t="s">
        <v>75</v>
      </c>
      <c r="D40" s="27"/>
    </row>
    <row r="41" spans="1:4" x14ac:dyDescent="0.3">
      <c r="A41" s="27"/>
      <c r="B41" s="27" t="s">
        <v>150</v>
      </c>
      <c r="C41" s="27" t="s">
        <v>79</v>
      </c>
      <c r="D41" s="27"/>
    </row>
    <row r="42" spans="1:4" x14ac:dyDescent="0.3">
      <c r="A42" s="27"/>
      <c r="B42" s="27" t="s">
        <v>80</v>
      </c>
      <c r="C42" s="27" t="s">
        <v>76</v>
      </c>
      <c r="D42" s="27"/>
    </row>
    <row r="43" spans="1:4" x14ac:dyDescent="0.3">
      <c r="A43" s="27"/>
      <c r="B43" s="27" t="s">
        <v>152</v>
      </c>
      <c r="C43" s="27" t="s">
        <v>78</v>
      </c>
      <c r="D43" s="27"/>
    </row>
    <row r="44" spans="1:4" x14ac:dyDescent="0.3">
      <c r="A44" s="27"/>
      <c r="B44" s="27" t="s">
        <v>53</v>
      </c>
      <c r="C44" s="38" t="s">
        <v>54</v>
      </c>
      <c r="D44" s="38"/>
    </row>
    <row r="45" spans="1:4" x14ac:dyDescent="0.3">
      <c r="A45" s="27"/>
      <c r="B45" s="27" t="s">
        <v>164</v>
      </c>
      <c r="C45" s="27" t="s">
        <v>165</v>
      </c>
      <c r="D45" s="27"/>
    </row>
    <row r="46" spans="1:4" x14ac:dyDescent="0.3">
      <c r="A46" s="27"/>
      <c r="B46" s="27" t="s">
        <v>267</v>
      </c>
      <c r="C46" s="27" t="s">
        <v>263</v>
      </c>
      <c r="D46" s="27"/>
    </row>
    <row r="47" spans="1:4" x14ac:dyDescent="0.3">
      <c r="A47" s="27"/>
      <c r="B47" s="27" t="s">
        <v>265</v>
      </c>
      <c r="C47" s="27" t="s">
        <v>261</v>
      </c>
      <c r="D47" s="27"/>
    </row>
    <row r="48" spans="1:4" x14ac:dyDescent="0.3">
      <c r="A48" s="27"/>
      <c r="B48" s="27" t="s">
        <v>264</v>
      </c>
      <c r="C48" s="27" t="s">
        <v>260</v>
      </c>
      <c r="D48" s="27"/>
    </row>
    <row r="49" spans="1:4" x14ac:dyDescent="0.3">
      <c r="A49" s="27"/>
      <c r="B49" s="27" t="s">
        <v>266</v>
      </c>
      <c r="C49" s="27" t="s">
        <v>262</v>
      </c>
      <c r="D49" s="27"/>
    </row>
    <row r="50" spans="1:4" x14ac:dyDescent="0.3">
      <c r="A50" s="27"/>
      <c r="B50" s="27" t="s">
        <v>163</v>
      </c>
      <c r="C50" s="27" t="s">
        <v>159</v>
      </c>
      <c r="D50" s="27"/>
    </row>
    <row r="51" spans="1:4" x14ac:dyDescent="0.3">
      <c r="A51" s="27"/>
      <c r="B51" s="27" t="s">
        <v>161</v>
      </c>
      <c r="C51" s="27" t="s">
        <v>158</v>
      </c>
      <c r="D51" s="27"/>
    </row>
    <row r="52" spans="1:4" x14ac:dyDescent="0.3">
      <c r="A52" s="27"/>
      <c r="B52" s="27" t="s">
        <v>162</v>
      </c>
      <c r="C52" s="27" t="s">
        <v>160</v>
      </c>
      <c r="D52" s="27"/>
    </row>
    <row r="53" spans="1:4" x14ac:dyDescent="0.3">
      <c r="A53" s="27" t="s">
        <v>542</v>
      </c>
      <c r="B53" s="27" t="str">
        <f>"SORTTYPE_"&amp;A53</f>
        <v>SORTTYPE_CLASS</v>
      </c>
      <c r="C53" s="27" t="s">
        <v>547</v>
      </c>
      <c r="D53" s="27"/>
    </row>
    <row r="54" spans="1:4" x14ac:dyDescent="0.3">
      <c r="A54" s="27" t="s">
        <v>543</v>
      </c>
      <c r="B54" s="27" t="str">
        <f>"SORTTYPE_"&amp;A54</f>
        <v>SORTTYPE_GRADE</v>
      </c>
      <c r="C54" s="27" t="s">
        <v>548</v>
      </c>
      <c r="D54" s="27"/>
    </row>
    <row r="55" spans="1:4" x14ac:dyDescent="0.3">
      <c r="A55" s="27" t="s">
        <v>544</v>
      </c>
      <c r="B55" s="27" t="str">
        <f>"SORTTYPE_"&amp;A55</f>
        <v>SORTTYPE_LEVEL</v>
      </c>
      <c r="C55" s="27" t="s">
        <v>549</v>
      </c>
      <c r="D55" s="27"/>
    </row>
    <row r="56" spans="1:4" x14ac:dyDescent="0.3">
      <c r="A56" s="27" t="s">
        <v>545</v>
      </c>
      <c r="B56" s="27" t="str">
        <f>"SORTTYPE_"&amp;A56</f>
        <v>SORTTYPE_POWER</v>
      </c>
      <c r="C56" s="27" t="s">
        <v>550</v>
      </c>
      <c r="D56" s="27"/>
    </row>
    <row r="57" spans="1:4" x14ac:dyDescent="0.3">
      <c r="A57" s="27" t="s">
        <v>541</v>
      </c>
      <c r="B57" s="27" t="str">
        <f>"SORTTYPE_"&amp;A57</f>
        <v>SORTTYPE_REGION</v>
      </c>
      <c r="C57" s="27" t="s">
        <v>546</v>
      </c>
      <c r="D57" s="27"/>
    </row>
    <row r="58" spans="1:4" x14ac:dyDescent="0.3">
      <c r="A58" s="27"/>
      <c r="B58" s="27" t="s">
        <v>551</v>
      </c>
      <c r="C58" s="27" t="s">
        <v>368</v>
      </c>
      <c r="D58" s="27"/>
    </row>
    <row r="59" spans="1:4" x14ac:dyDescent="0.3">
      <c r="A59" s="27"/>
      <c r="B59" s="27" t="s">
        <v>519</v>
      </c>
      <c r="C59" s="27" t="s">
        <v>528</v>
      </c>
      <c r="D59" s="27"/>
    </row>
    <row r="60" spans="1:4" x14ac:dyDescent="0.3">
      <c r="A60" s="27"/>
      <c r="B60" s="27" t="s">
        <v>515</v>
      </c>
      <c r="C60" s="27" t="s">
        <v>522</v>
      </c>
      <c r="D60" s="27"/>
    </row>
    <row r="61" spans="1:4" x14ac:dyDescent="0.3">
      <c r="A61" s="27"/>
      <c r="B61" s="27" t="s">
        <v>520</v>
      </c>
      <c r="C61" s="27" t="s">
        <v>527</v>
      </c>
      <c r="D61" s="27"/>
    </row>
    <row r="62" spans="1:4" x14ac:dyDescent="0.3">
      <c r="A62" s="27"/>
      <c r="B62" s="27" t="s">
        <v>516</v>
      </c>
      <c r="C62" s="27" t="s">
        <v>523</v>
      </c>
      <c r="D62" s="27"/>
    </row>
    <row r="63" spans="1:4" x14ac:dyDescent="0.3">
      <c r="A63" s="27"/>
      <c r="B63" s="27" t="s">
        <v>518</v>
      </c>
      <c r="C63" s="27" t="s">
        <v>525</v>
      </c>
      <c r="D63" s="27"/>
    </row>
    <row r="64" spans="1:4" x14ac:dyDescent="0.3">
      <c r="A64" s="27"/>
      <c r="B64" s="27" t="s">
        <v>514</v>
      </c>
      <c r="C64" s="27" t="s">
        <v>552</v>
      </c>
      <c r="D64" s="27"/>
    </row>
    <row r="65" spans="1:4" x14ac:dyDescent="0.3">
      <c r="A65" s="27"/>
      <c r="B65" s="27" t="s">
        <v>521</v>
      </c>
      <c r="C65" s="27" t="s">
        <v>526</v>
      </c>
      <c r="D65" s="27"/>
    </row>
    <row r="66" spans="1:4" x14ac:dyDescent="0.3">
      <c r="A66" s="27"/>
      <c r="B66" s="27" t="s">
        <v>517</v>
      </c>
      <c r="C66" s="27" t="s">
        <v>524</v>
      </c>
      <c r="D66" s="27"/>
    </row>
    <row r="67" spans="1:4" x14ac:dyDescent="0.3">
      <c r="A67" s="27"/>
      <c r="B67" s="27" t="s">
        <v>286</v>
      </c>
      <c r="C67" s="27" t="s">
        <v>292</v>
      </c>
      <c r="D67" s="27" t="s">
        <v>299</v>
      </c>
    </row>
    <row r="68" spans="1:4" x14ac:dyDescent="0.3">
      <c r="A68" s="27"/>
      <c r="B68" s="27" t="s">
        <v>282</v>
      </c>
      <c r="C68" s="27" t="s">
        <v>281</v>
      </c>
      <c r="D68" s="27" t="s">
        <v>295</v>
      </c>
    </row>
    <row r="69" spans="1:4" x14ac:dyDescent="0.3">
      <c r="A69" s="27"/>
      <c r="B69" s="27" t="s">
        <v>287</v>
      </c>
      <c r="C69" s="27" t="s">
        <v>293</v>
      </c>
      <c r="D69" s="27" t="s">
        <v>300</v>
      </c>
    </row>
    <row r="70" spans="1:4" x14ac:dyDescent="0.3">
      <c r="A70" s="27"/>
      <c r="B70" s="27" t="s">
        <v>288</v>
      </c>
      <c r="C70" s="27" t="s">
        <v>294</v>
      </c>
      <c r="D70" s="27" t="s">
        <v>301</v>
      </c>
    </row>
    <row r="71" spans="1:4" x14ac:dyDescent="0.3">
      <c r="A71" s="27"/>
      <c r="B71" s="27" t="s">
        <v>285</v>
      </c>
      <c r="C71" s="27" t="s">
        <v>291</v>
      </c>
      <c r="D71" s="27" t="s">
        <v>298</v>
      </c>
    </row>
    <row r="72" spans="1:4" x14ac:dyDescent="0.3">
      <c r="A72" s="27"/>
      <c r="B72" s="27" t="s">
        <v>283</v>
      </c>
      <c r="C72" s="27" t="s">
        <v>289</v>
      </c>
      <c r="D72" s="27" t="s">
        <v>296</v>
      </c>
    </row>
    <row r="73" spans="1:4" x14ac:dyDescent="0.3">
      <c r="A73" s="27"/>
      <c r="B73" s="27" t="s">
        <v>284</v>
      </c>
      <c r="C73" s="27" t="s">
        <v>290</v>
      </c>
      <c r="D73" s="27" t="s">
        <v>297</v>
      </c>
    </row>
    <row r="74" spans="1:4" x14ac:dyDescent="0.3">
      <c r="A74" s="27"/>
      <c r="B74" s="27" t="s">
        <v>889</v>
      </c>
      <c r="C74" s="27" t="s">
        <v>885</v>
      </c>
      <c r="D74" s="27"/>
    </row>
    <row r="75" spans="1:4" x14ac:dyDescent="0.3">
      <c r="A75" s="27"/>
      <c r="B75" s="27" t="s">
        <v>890</v>
      </c>
      <c r="C75" s="27" t="s">
        <v>886</v>
      </c>
      <c r="D75" s="27"/>
    </row>
    <row r="76" spans="1:4" x14ac:dyDescent="0.3">
      <c r="A76" s="27"/>
      <c r="B76" s="27" t="s">
        <v>891</v>
      </c>
      <c r="C76" s="27" t="s">
        <v>887</v>
      </c>
      <c r="D76" s="27"/>
    </row>
    <row r="77" spans="1:4" x14ac:dyDescent="0.3">
      <c r="A77" s="27"/>
      <c r="B77" s="27" t="s">
        <v>892</v>
      </c>
      <c r="C77" s="27" t="s">
        <v>888</v>
      </c>
      <c r="D77" s="27"/>
    </row>
    <row r="78" spans="1:4" x14ac:dyDescent="0.3">
      <c r="A78" s="27"/>
      <c r="B78" s="27" t="s">
        <v>893</v>
      </c>
      <c r="C78" s="27" t="s">
        <v>901</v>
      </c>
      <c r="D78" s="27"/>
    </row>
    <row r="79" spans="1:4" x14ac:dyDescent="0.3">
      <c r="A79" s="27"/>
      <c r="B79" s="27" t="s">
        <v>894</v>
      </c>
      <c r="C79" s="27" t="s">
        <v>902</v>
      </c>
      <c r="D79" s="27"/>
    </row>
    <row r="80" spans="1:4" x14ac:dyDescent="0.3">
      <c r="A80" s="27"/>
      <c r="B80" s="27" t="s">
        <v>896</v>
      </c>
      <c r="C80" s="27" t="s">
        <v>900</v>
      </c>
      <c r="D80" s="27"/>
    </row>
    <row r="81" spans="1:4" x14ac:dyDescent="0.3">
      <c r="A81" s="27"/>
      <c r="B81" s="27" t="s">
        <v>895</v>
      </c>
      <c r="C81" s="27" t="s">
        <v>899</v>
      </c>
      <c r="D81" s="27"/>
    </row>
    <row r="82" spans="1:4" x14ac:dyDescent="0.3">
      <c r="A82" s="27"/>
      <c r="B82" s="27" t="s">
        <v>897</v>
      </c>
      <c r="C82" s="27" t="s">
        <v>898</v>
      </c>
      <c r="D82" s="27"/>
    </row>
    <row r="83" spans="1:4" x14ac:dyDescent="0.3">
      <c r="A83" s="27"/>
      <c r="B83" s="27" t="s">
        <v>954</v>
      </c>
      <c r="C83" s="27" t="s">
        <v>961</v>
      </c>
      <c r="D83" s="27"/>
    </row>
    <row r="84" spans="1:4" x14ac:dyDescent="0.3">
      <c r="A84" s="27"/>
      <c r="B84" s="27" t="s">
        <v>955</v>
      </c>
      <c r="C84" s="27" t="s">
        <v>960</v>
      </c>
      <c r="D84" s="27"/>
    </row>
    <row r="85" spans="1:4" x14ac:dyDescent="0.3">
      <c r="A85" s="27"/>
      <c r="B85" s="27" t="s">
        <v>956</v>
      </c>
      <c r="C85" s="27" t="s">
        <v>959</v>
      </c>
      <c r="D85" s="27"/>
    </row>
    <row r="86" spans="1:4" x14ac:dyDescent="0.3">
      <c r="A86" s="27"/>
      <c r="B86" s="27" t="s">
        <v>957</v>
      </c>
      <c r="C86" s="27" t="s">
        <v>70</v>
      </c>
      <c r="D86" s="27"/>
    </row>
    <row r="87" spans="1:4" x14ac:dyDescent="0.3">
      <c r="A87" s="27"/>
      <c r="B87" s="27" t="s">
        <v>958</v>
      </c>
      <c r="C87" s="27" t="s">
        <v>62</v>
      </c>
      <c r="D87" s="27"/>
    </row>
    <row r="88" spans="1:4" x14ac:dyDescent="0.3">
      <c r="A88" s="63" t="s">
        <v>972</v>
      </c>
      <c r="B88" s="27" t="str">
        <f t="shared" ref="B88:B100" si="0">"CHARACTER_POSITION_"&amp;UPPER(A88)</f>
        <v>CHARACTER_POSITION_PRIME_MINISTER</v>
      </c>
      <c r="C88" s="49" t="s">
        <v>978</v>
      </c>
      <c r="D88" s="27"/>
    </row>
    <row r="89" spans="1:4" x14ac:dyDescent="0.3">
      <c r="A89" s="63" t="s">
        <v>986</v>
      </c>
      <c r="B89" s="27" t="str">
        <f t="shared" si="0"/>
        <v>CHARACTER_POSITION_GRAND_GENERAL</v>
      </c>
      <c r="C89" s="49" t="s">
        <v>979</v>
      </c>
      <c r="D89" s="27"/>
    </row>
    <row r="90" spans="1:4" x14ac:dyDescent="0.3">
      <c r="A90" s="63" t="s">
        <v>987</v>
      </c>
      <c r="B90" s="27" t="str">
        <f t="shared" si="0"/>
        <v>CHARACTER_POSITION_GRAND_STRATEGIST</v>
      </c>
      <c r="C90" s="49" t="s">
        <v>993</v>
      </c>
      <c r="D90" s="27"/>
    </row>
    <row r="91" spans="1:4" x14ac:dyDescent="0.3">
      <c r="A91" s="63" t="s">
        <v>973</v>
      </c>
      <c r="B91" s="27" t="str">
        <f t="shared" si="0"/>
        <v>CHARACTER_POSITION_DIRECTOR_OF_THE_SECRETARIAT</v>
      </c>
      <c r="C91" s="49" t="s">
        <v>980</v>
      </c>
      <c r="D91" s="27"/>
    </row>
    <row r="92" spans="1:4" x14ac:dyDescent="0.3">
      <c r="A92" t="s">
        <v>988</v>
      </c>
      <c r="B92" s="27" t="str">
        <f t="shared" si="0"/>
        <v>CHARACTER_POSITION_PALACE_ASSISTANT_INSPECTOR</v>
      </c>
      <c r="C92" t="s">
        <v>994</v>
      </c>
      <c r="D92" s="27"/>
    </row>
    <row r="93" spans="1:4" x14ac:dyDescent="0.3">
      <c r="A93" s="63" t="s">
        <v>974</v>
      </c>
      <c r="B93" s="27" t="str">
        <f t="shared" si="0"/>
        <v>CHARACTER_POSITION_GENERAL_OF_THE_VANGUARD</v>
      </c>
      <c r="C93" s="49" t="s">
        <v>981</v>
      </c>
      <c r="D93" s="27"/>
    </row>
    <row r="94" spans="1:4" x14ac:dyDescent="0.2">
      <c r="A94" s="64" t="s">
        <v>975</v>
      </c>
      <c r="B94" s="27" t="str">
        <f t="shared" si="0"/>
        <v>CHARACTER_POSITION_GENERAL_OF_THE_LEFT</v>
      </c>
      <c r="C94" s="25" t="s">
        <v>982</v>
      </c>
      <c r="D94" s="27"/>
    </row>
    <row r="95" spans="1:4" x14ac:dyDescent="0.2">
      <c r="A95" s="64" t="s">
        <v>976</v>
      </c>
      <c r="B95" s="27" t="str">
        <f t="shared" si="0"/>
        <v>CHARACTER_POSITION_GENERAL_OF_THE_RIGHT</v>
      </c>
      <c r="C95" s="25" t="s">
        <v>983</v>
      </c>
      <c r="D95" s="27"/>
    </row>
    <row r="96" spans="1:4" x14ac:dyDescent="0.2">
      <c r="A96" s="64" t="s">
        <v>977</v>
      </c>
      <c r="B96" s="27" t="str">
        <f t="shared" si="0"/>
        <v>CHARACTER_POSITION_GENERAL_OF_THE_REAR</v>
      </c>
      <c r="C96" s="25" t="s">
        <v>984</v>
      </c>
      <c r="D96" s="27"/>
    </row>
    <row r="97" spans="1:3" x14ac:dyDescent="0.2">
      <c r="A97" s="27" t="s">
        <v>989</v>
      </c>
      <c r="B97" s="27" t="str">
        <f t="shared" si="0"/>
        <v>CHARACTER_POSITION_SUPPRESSES_BANDITS</v>
      </c>
      <c r="C97" s="25" t="s">
        <v>995</v>
      </c>
    </row>
    <row r="98" spans="1:3" x14ac:dyDescent="0.3">
      <c r="A98" s="27" t="s">
        <v>990</v>
      </c>
      <c r="B98" s="27" t="str">
        <f t="shared" si="0"/>
        <v>CHARACTER_POSITION_VANQUISHES_REBELS</v>
      </c>
      <c r="C98" s="65" t="s">
        <v>996</v>
      </c>
    </row>
    <row r="99" spans="1:3" x14ac:dyDescent="0.3">
      <c r="A99" s="27" t="s">
        <v>991</v>
      </c>
      <c r="B99" s="27" t="str">
        <f t="shared" si="0"/>
        <v>CHARACTER_POSITION_THE_STANDARD</v>
      </c>
      <c r="C99" s="65" t="s">
        <v>997</v>
      </c>
    </row>
    <row r="100" spans="1:3" x14ac:dyDescent="0.3">
      <c r="A100" s="27" t="s">
        <v>992</v>
      </c>
      <c r="B100" s="27" t="str">
        <f t="shared" si="0"/>
        <v>CHARACTER_POSITION_CHIEF_MILITARY_ADVISER</v>
      </c>
      <c r="C100" s="65" t="s">
        <v>998</v>
      </c>
    </row>
    <row r="101" spans="1:3" x14ac:dyDescent="0.3">
      <c r="A101" s="27" t="s">
        <v>985</v>
      </c>
      <c r="B101" s="27" t="str">
        <f>"CHARACTER_POSITION_"&amp;UPPER(A101)</f>
        <v>CHARACTER_POSITION_DRAGON_FIGHTER</v>
      </c>
      <c r="C101" s="27" t="s">
        <v>999</v>
      </c>
    </row>
    <row r="102" spans="1:3" x14ac:dyDescent="0.3">
      <c r="B102" s="6" t="s">
        <v>1072</v>
      </c>
      <c r="C102" s="6" t="s">
        <v>1073</v>
      </c>
    </row>
    <row r="103" spans="1:3" x14ac:dyDescent="0.3">
      <c r="B103" t="s">
        <v>1074</v>
      </c>
      <c r="C103" s="68" t="s">
        <v>1100</v>
      </c>
    </row>
    <row r="104" spans="1:3" x14ac:dyDescent="0.3">
      <c r="B104" s="6" t="s">
        <v>1075</v>
      </c>
      <c r="C104" s="68" t="s">
        <v>1076</v>
      </c>
    </row>
    <row r="105" spans="1:3" x14ac:dyDescent="0.3">
      <c r="B105" t="s">
        <v>1101</v>
      </c>
      <c r="C105" s="68" t="s">
        <v>1099</v>
      </c>
    </row>
    <row r="106" spans="1:3" x14ac:dyDescent="0.3">
      <c r="B106" s="73" t="s">
        <v>1102</v>
      </c>
      <c r="C106" s="68" t="s">
        <v>1103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D39"/>
  <sheetViews>
    <sheetView workbookViewId="0">
      <selection activeCell="C13" sqref="C13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4" x14ac:dyDescent="0.3">
      <c r="A1" s="4" t="s">
        <v>384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1066</v>
      </c>
      <c r="B3" s="17" t="str">
        <f>"CATEGORY_"&amp;UPPER(A3)</f>
        <v>CATEGORY_NONE</v>
      </c>
      <c r="C3" s="66" t="s">
        <v>368</v>
      </c>
      <c r="D3" s="16"/>
    </row>
    <row r="4" spans="1:4" x14ac:dyDescent="0.3">
      <c r="A4" s="16" t="s">
        <v>1000</v>
      </c>
      <c r="B4" s="17" t="str">
        <f>"CATEGORY_"&amp;UPPER(A4)</f>
        <v>CATEGORY_CURRENCY</v>
      </c>
      <c r="C4" s="16" t="s">
        <v>1008</v>
      </c>
      <c r="D4" s="18"/>
    </row>
    <row r="5" spans="1:4" x14ac:dyDescent="0.3">
      <c r="A5" s="16" t="s">
        <v>1001</v>
      </c>
      <c r="B5" s="17" t="str">
        <f t="shared" ref="B5:B10" si="0">"CATEGORY_"&amp;UPPER(A5)</f>
        <v>CATEGORY_SOUL_STONE</v>
      </c>
      <c r="C5" s="66" t="s">
        <v>77</v>
      </c>
      <c r="D5" s="18"/>
    </row>
    <row r="6" spans="1:4" x14ac:dyDescent="0.3">
      <c r="A6" s="16" t="s">
        <v>1002</v>
      </c>
      <c r="B6" s="17" t="str">
        <f t="shared" si="0"/>
        <v>CATEGORY_BUNDLE</v>
      </c>
      <c r="C6" s="66" t="s">
        <v>1009</v>
      </c>
      <c r="D6" s="18"/>
    </row>
    <row r="7" spans="1:4" x14ac:dyDescent="0.3">
      <c r="A7" s="16" t="s">
        <v>1003</v>
      </c>
      <c r="B7" s="17" t="str">
        <f t="shared" si="0"/>
        <v>CATEGORY_RANDOM_BOX</v>
      </c>
      <c r="C7" s="66" t="s">
        <v>1010</v>
      </c>
      <c r="D7" s="18"/>
    </row>
    <row r="8" spans="1:4" x14ac:dyDescent="0.3">
      <c r="A8" s="16" t="s">
        <v>1004</v>
      </c>
      <c r="B8" s="17" t="str">
        <f t="shared" si="0"/>
        <v>CATEGORY_ITEM</v>
      </c>
      <c r="C8" s="67" t="s">
        <v>1011</v>
      </c>
      <c r="D8" s="18"/>
    </row>
    <row r="9" spans="1:4" x14ac:dyDescent="0.3">
      <c r="A9" s="16" t="s">
        <v>1005</v>
      </c>
      <c r="B9" s="17" t="str">
        <f t="shared" si="0"/>
        <v>CATEGORY_PIECE</v>
      </c>
      <c r="C9" s="66" t="s">
        <v>1012</v>
      </c>
      <c r="D9" s="18"/>
    </row>
    <row r="10" spans="1:4" x14ac:dyDescent="0.3">
      <c r="A10" s="16" t="s">
        <v>1006</v>
      </c>
      <c r="B10" s="17" t="str">
        <f t="shared" si="0"/>
        <v>CATEGORY_POINT</v>
      </c>
      <c r="C10" s="66" t="s">
        <v>1013</v>
      </c>
      <c r="D10" s="18"/>
    </row>
    <row r="11" spans="1:4" x14ac:dyDescent="0.3">
      <c r="A11" s="16" t="s">
        <v>1007</v>
      </c>
      <c r="B11" s="17" t="str">
        <f>"CATEGORY_"&amp;UPPER(A11)</f>
        <v>CATEGORY_TICKET</v>
      </c>
      <c r="C11" s="66" t="s">
        <v>1014</v>
      </c>
      <c r="D11" s="18"/>
    </row>
    <row r="12" spans="1:4" x14ac:dyDescent="0.3">
      <c r="A12" s="6" t="s">
        <v>1065</v>
      </c>
      <c r="B12" s="6" t="str">
        <f>"CATEGORY_"&amp;UPPER(A12)</f>
        <v>CATEGORY_MAX</v>
      </c>
      <c r="C12" s="6" t="s">
        <v>1067</v>
      </c>
      <c r="D12" s="18"/>
    </row>
    <row r="13" spans="1:4" x14ac:dyDescent="0.3">
      <c r="A13" s="16" t="s">
        <v>1042</v>
      </c>
      <c r="B13" s="17" t="str">
        <f t="shared" ref="B13:B32" si="1">"NAME_"&amp;UPPER(A13)</f>
        <v>NAME_GOLD</v>
      </c>
      <c r="C13" s="16" t="s">
        <v>75</v>
      </c>
      <c r="D13" s="18"/>
    </row>
    <row r="14" spans="1:4" x14ac:dyDescent="0.3">
      <c r="A14" s="16" t="s">
        <v>1043</v>
      </c>
      <c r="B14" s="17" t="str">
        <f t="shared" si="1"/>
        <v>NAME_RICE</v>
      </c>
      <c r="C14" s="67" t="s">
        <v>76</v>
      </c>
      <c r="D14" s="18"/>
    </row>
    <row r="15" spans="1:4" x14ac:dyDescent="0.3">
      <c r="A15" s="17" t="s">
        <v>1044</v>
      </c>
      <c r="B15" s="17" t="str">
        <f t="shared" si="1"/>
        <v>NAME_TIME_STONE</v>
      </c>
      <c r="C15" s="6" t="s">
        <v>78</v>
      </c>
      <c r="D15" s="18"/>
    </row>
    <row r="16" spans="1:4" x14ac:dyDescent="0.3">
      <c r="A16" s="17" t="s">
        <v>1045</v>
      </c>
      <c r="B16" s="17" t="str">
        <f t="shared" si="1"/>
        <v>NAME_BUNDLE_NORMAL</v>
      </c>
      <c r="C16" s="6" t="s">
        <v>1029</v>
      </c>
      <c r="D16" s="18"/>
    </row>
    <row r="17" spans="1:4" x14ac:dyDescent="0.3">
      <c r="A17" s="17" t="s">
        <v>1046</v>
      </c>
      <c r="B17" s="17" t="str">
        <f t="shared" si="1"/>
        <v>NAME_BUNDLE_ELITE</v>
      </c>
      <c r="C17" s="6" t="s">
        <v>1030</v>
      </c>
      <c r="D17" s="18"/>
    </row>
    <row r="18" spans="1:4" x14ac:dyDescent="0.3">
      <c r="A18" s="17" t="s">
        <v>1047</v>
      </c>
      <c r="B18" s="17" t="str">
        <f t="shared" si="1"/>
        <v>NAME_BUNDLE_GENERAL</v>
      </c>
      <c r="C18" s="6" t="s">
        <v>1031</v>
      </c>
      <c r="D18" s="18"/>
    </row>
    <row r="19" spans="1:4" x14ac:dyDescent="0.3">
      <c r="A19" s="17" t="s">
        <v>1048</v>
      </c>
      <c r="B19" s="17" t="str">
        <f t="shared" si="1"/>
        <v>NAME_BUNDLE_HERO</v>
      </c>
      <c r="C19" s="6" t="s">
        <v>1032</v>
      </c>
      <c r="D19" s="18"/>
    </row>
    <row r="20" spans="1:4" x14ac:dyDescent="0.3">
      <c r="A20" s="6" t="s">
        <v>1049</v>
      </c>
      <c r="B20" s="17" t="str">
        <f t="shared" si="1"/>
        <v>NAME_BUNDLE_LEGEND</v>
      </c>
      <c r="C20" s="6" t="s">
        <v>1028</v>
      </c>
    </row>
    <row r="21" spans="1:4" x14ac:dyDescent="0.3">
      <c r="A21" s="6" t="s">
        <v>1050</v>
      </c>
      <c r="B21" s="17" t="str">
        <f t="shared" si="1"/>
        <v>NAME_PUBLIC_SOUL_STONE</v>
      </c>
      <c r="C21" s="6" t="s">
        <v>1018</v>
      </c>
    </row>
    <row r="22" spans="1:4" x14ac:dyDescent="0.3">
      <c r="A22" s="6" t="s">
        <v>1051</v>
      </c>
      <c r="B22" s="17" t="str">
        <f t="shared" si="1"/>
        <v>NAME_CLASS_SOUL_STONE</v>
      </c>
      <c r="C22" s="6" t="s">
        <v>1020</v>
      </c>
    </row>
    <row r="23" spans="1:4" x14ac:dyDescent="0.3">
      <c r="A23" s="6" t="s">
        <v>1052</v>
      </c>
      <c r="B23" s="17" t="str">
        <f t="shared" si="1"/>
        <v>NAME_DEDICATED_SOUL_STONE</v>
      </c>
      <c r="C23" s="6" t="s">
        <v>1019</v>
      </c>
    </row>
    <row r="24" spans="1:4" x14ac:dyDescent="0.3">
      <c r="A24" s="6" t="s">
        <v>1053</v>
      </c>
      <c r="B24" s="17" t="str">
        <f t="shared" si="1"/>
        <v>NAME_CLASS_SOUL_STONE_RANDOM_BOX</v>
      </c>
      <c r="C24" s="6" t="s">
        <v>1021</v>
      </c>
    </row>
    <row r="25" spans="1:4" x14ac:dyDescent="0.3">
      <c r="A25" s="6" t="s">
        <v>1054</v>
      </c>
      <c r="B25" s="17" t="str">
        <f t="shared" si="1"/>
        <v>NAME_DEDICATED_SOUL_STONE_RANDOM_BOX</v>
      </c>
      <c r="C25" s="6" t="s">
        <v>1022</v>
      </c>
    </row>
    <row r="26" spans="1:4" x14ac:dyDescent="0.3">
      <c r="A26" s="6" t="s">
        <v>1055</v>
      </c>
      <c r="B26" s="17" t="str">
        <f t="shared" si="1"/>
        <v>NAME_TREASURE</v>
      </c>
      <c r="C26" s="6" t="s">
        <v>1023</v>
      </c>
    </row>
    <row r="27" spans="1:4" x14ac:dyDescent="0.3">
      <c r="A27" s="6" t="s">
        <v>1056</v>
      </c>
      <c r="B27" s="17" t="str">
        <f t="shared" si="1"/>
        <v>NAME_TREASURE_PIECE</v>
      </c>
      <c r="C27" s="6" t="s">
        <v>1024</v>
      </c>
    </row>
    <row r="28" spans="1:4" x14ac:dyDescent="0.3">
      <c r="A28" s="6" t="s">
        <v>1057</v>
      </c>
      <c r="B28" s="17" t="str">
        <f t="shared" si="1"/>
        <v>NAME_TREASURE_PIECE_RANDOM_BOX</v>
      </c>
      <c r="C28" s="6" t="s">
        <v>1025</v>
      </c>
    </row>
    <row r="29" spans="1:4" x14ac:dyDescent="0.3">
      <c r="A29" s="6" t="s">
        <v>1058</v>
      </c>
      <c r="B29" s="17" t="str">
        <f t="shared" si="1"/>
        <v>NAME_NORMAL_GATCHA_TICKET</v>
      </c>
      <c r="C29" s="6" t="s">
        <v>1026</v>
      </c>
    </row>
    <row r="30" spans="1:4" x14ac:dyDescent="0.3">
      <c r="A30" s="6" t="s">
        <v>1059</v>
      </c>
      <c r="B30" s="17" t="str">
        <f t="shared" si="1"/>
        <v>NAME_RARE_GATCHA_TICKET</v>
      </c>
      <c r="C30" s="6" t="s">
        <v>1027</v>
      </c>
    </row>
    <row r="31" spans="1:4" x14ac:dyDescent="0.3">
      <c r="A31" s="6" t="s">
        <v>1015</v>
      </c>
      <c r="B31" s="17" t="str">
        <f t="shared" si="1"/>
        <v>NAME_TOURNAMENT_POINT</v>
      </c>
      <c r="C31" s="6" t="s">
        <v>1033</v>
      </c>
    </row>
    <row r="32" spans="1:4" x14ac:dyDescent="0.3">
      <c r="A32" s="6" t="s">
        <v>1016</v>
      </c>
      <c r="B32" s="17" t="str">
        <f t="shared" si="1"/>
        <v>NAME_TOURNAMENT_TICKET</v>
      </c>
      <c r="C32" s="6" t="s">
        <v>1034</v>
      </c>
    </row>
    <row r="33" spans="1:3" x14ac:dyDescent="0.3">
      <c r="A33" s="6" t="s">
        <v>1017</v>
      </c>
      <c r="B33" s="17" t="str">
        <f>"NAME_"&amp;UPPER(A33)</f>
        <v>NAME_RAID_POINT</v>
      </c>
      <c r="C33" s="6" t="s">
        <v>1035</v>
      </c>
    </row>
    <row r="34" spans="1:3" x14ac:dyDescent="0.3">
      <c r="A34" s="6" t="s">
        <v>1060</v>
      </c>
      <c r="B34" s="6" t="str">
        <f>"NAME_CLASS_SOUL_STONE_"&amp;UPPER(A34)</f>
        <v>NAME_CLASS_SOUL_STONE_COMMANDER</v>
      </c>
      <c r="C34" s="6" t="s">
        <v>1036</v>
      </c>
    </row>
    <row r="35" spans="1:3" x14ac:dyDescent="0.3">
      <c r="A35" s="6" t="s">
        <v>1061</v>
      </c>
      <c r="B35" s="6" t="str">
        <f t="shared" ref="B35:B39" si="2">"NAME_CLASS_SOUL_STONE_"&amp;UPPER(A35)</f>
        <v>NAME_CLASS_SOUL_STONE_CHAMPION</v>
      </c>
      <c r="C35" s="6" t="s">
        <v>1038</v>
      </c>
    </row>
    <row r="36" spans="1:3" x14ac:dyDescent="0.3">
      <c r="A36" s="6" t="s">
        <v>22</v>
      </c>
      <c r="B36" s="6" t="str">
        <f t="shared" si="2"/>
        <v>NAME_CLASS_SOUL_STONE_VANGUARD</v>
      </c>
      <c r="C36" s="6" t="s">
        <v>1037</v>
      </c>
    </row>
    <row r="37" spans="1:3" x14ac:dyDescent="0.3">
      <c r="A37" s="6" t="s">
        <v>1062</v>
      </c>
      <c r="B37" s="6" t="str">
        <f t="shared" si="2"/>
        <v>NAME_CLASS_SOUL_STONE_CHASER</v>
      </c>
      <c r="C37" s="6" t="s">
        <v>1039</v>
      </c>
    </row>
    <row r="38" spans="1:3" x14ac:dyDescent="0.3">
      <c r="A38" s="6" t="s">
        <v>1063</v>
      </c>
      <c r="B38" s="6" t="str">
        <f t="shared" si="2"/>
        <v>NAME_CLASS_SOUL_STONE_ARCHER</v>
      </c>
      <c r="C38" s="6" t="s">
        <v>1040</v>
      </c>
    </row>
    <row r="39" spans="1:3" x14ac:dyDescent="0.3">
      <c r="A39" s="6" t="s">
        <v>1064</v>
      </c>
      <c r="B39" s="6" t="str">
        <f t="shared" si="2"/>
        <v>NAME_CLASS_SOUL_STONE_STRATEGIST</v>
      </c>
      <c r="C39" s="6" t="s">
        <v>1041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13" sqref="B13:C13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13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13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e">
        <f>VLOOKUP(F3,#REF!,2, FALSE)</f>
        <v>#REF!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e">
        <f>VLOOKUP(F4,#REF!,2, FALSE)</f>
        <v>#REF!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e">
        <f>VLOOKUP(F6,#REF!,2, FALSE)</f>
        <v>#REF!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e">
        <f>VLOOKUP(F8,#REF!,2, FALSE)</f>
        <v>#REF!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e">
        <f>VLOOKUP(F9,#REF!,2, FALSE)</f>
        <v>#REF!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e">
        <f>VLOOKUP(F11,#REF!,2, FALSE)</f>
        <v>#REF!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e">
        <f>VLOOKUP(F12,#REF!,2, FALSE)</f>
        <v>#REF!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e">
        <f>VLOOKUP(F13,#REF!,2, FALSE)</f>
        <v>#REF!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e">
        <f>VLOOKUP(F14,#REF!,2, FALSE)</f>
        <v>#REF!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e">
        <f>VLOOKUP(F15,#REF!,2, FALSE)</f>
        <v>#REF!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e">
        <f>VLOOKUP(F17,#REF!,2, FALSE)</f>
        <v>#REF!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e">
        <f>VLOOKUP(F18,#REF!,2, FALSE)</f>
        <v>#REF!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e">
        <f>VLOOKUP(F20,#REF!,2, FALSE)</f>
        <v>#REF!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e">
        <f>VLOOKUP(F21,#REF!,2, FALSE)</f>
        <v>#REF!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e">
        <f>VLOOKUP(F22,#REF!,2, FALSE)</f>
        <v>#REF!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e">
        <f>VLOOKUP(F23,#REF!,2, FALSE)</f>
        <v>#REF!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e">
        <f>VLOOKUP(F24,#REF!,2, FALSE)</f>
        <v>#REF!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e">
        <f>VLOOKUP(F25,#REF!,2, FALSE)</f>
        <v>#REF!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e">
        <f>VLOOKUP(F26,#REF!,2, FALSE)</f>
        <v>#REF!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e">
        <f>VLOOKUP(F27,#REF!,2, FALSE)</f>
        <v>#REF!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e">
        <f>VLOOKUP(F28,#REF!,2, FALSE)</f>
        <v>#REF!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e">
        <f>VLOOKUP(F29,#REF!,2, FALSE)</f>
        <v>#REF!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e">
        <f>VLOOKUP(F30,#REF!,2, FALSE)</f>
        <v>#REF!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e">
        <f>VLOOKUP(F31,#REF!,2, FALSE)</f>
        <v>#REF!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e">
        <f>VLOOKUP(F32,#REF!,2, FALSE)</f>
        <v>#REF!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e">
        <f>VLOOKUP(F33,#REF!,2, FALSE)</f>
        <v>#REF!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e">
        <f>VLOOKUP(F34,#REF!,2, FALSE)</f>
        <v>#REF!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e">
        <f>VLOOKUP(F35,#REF!,2, FALSE)</f>
        <v>#REF!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e">
        <f>VLOOKUP(F36,#REF!,2, FALSE)</f>
        <v>#REF!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e">
        <f>VLOOKUP(F37,#REF!,2, FALSE)</f>
        <v>#REF!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e">
        <f>VLOOKUP(F39,#REF!,2, FALSE)</f>
        <v>#REF!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e">
        <f>VLOOKUP(F40,#REF!,2, FALSE)</f>
        <v>#REF!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e">
        <f>VLOOKUP(F41,#REF!,2, FALSE)</f>
        <v>#REF!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e">
        <f>VLOOKUP(F42,#REF!,2, FALSE)</f>
        <v>#REF!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e">
        <f>VLOOKUP(F43,#REF!,2, FALSE)</f>
        <v>#REF!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e">
        <f>VLOOKUP(F44,#REF!,2, FALSE)</f>
        <v>#REF!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e">
        <f>VLOOKUP(F45,#REF!,2, FALSE)</f>
        <v>#REF!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e">
        <f>VLOOKUP(F46,#REF!,2, FALSE)</f>
        <v>#REF!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e">
        <f>VLOOKUP(F47,#REF!,2, FALSE)</f>
        <v>#REF!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e">
        <f>VLOOKUP(F48,#REF!,2, FALSE)</f>
        <v>#REF!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e">
        <f>VLOOKUP(F49,#REF!,2, FALSE)</f>
        <v>#REF!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e">
        <f>VLOOKUP(F50,#REF!,2, FALSE)</f>
        <v>#REF!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e">
        <f>VLOOKUP(F51,#REF!,2, FALSE)</f>
        <v>#REF!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e">
        <f>VLOOKUP(F52,#REF!,2, FALSE)</f>
        <v>#REF!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e">
        <f>VLOOKUP(F54,#REF!,2, FALSE)</f>
        <v>#REF!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e">
        <f>VLOOKUP(F55,#REF!,2, FALSE)</f>
        <v>#REF!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e">
        <f>VLOOKUP(F56,#REF!,2, FALSE)</f>
        <v>#REF!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e">
        <f>VLOOKUP(F57,#REF!,2, FALSE)</f>
        <v>#REF!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e">
        <f>VLOOKUP(F58,#REF!,2, FALSE)</f>
        <v>#REF!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e">
        <f>VLOOKUP(F59,#REF!,2, FALSE)</f>
        <v>#REF!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e">
        <f>VLOOKUP(F60,#REF!,2, FALSE)</f>
        <v>#REF!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e">
        <f>VLOOKUP(F61,#REF!,2, FALSE)</f>
        <v>#REF!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e">
        <f>VLOOKUP(F62,#REF!,2, FALSE)</f>
        <v>#REF!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e">
        <f>VLOOKUP(F63,#REF!,2, FALSE)</f>
        <v>#REF!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e">
        <f>VLOOKUP(F64,#REF!,2, FALSE)</f>
        <v>#REF!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e">
        <f>VLOOKUP(F65,#REF!,2, FALSE)</f>
        <v>#REF!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e">
        <f>VLOOKUP(F66,#REF!,2, FALSE)</f>
        <v>#REF!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e">
        <f>VLOOKUP(F67,#REF!,2, FALSE)</f>
        <v>#REF!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e">
        <f>VLOOKUP(F68,#REF!,2, FALSE)</f>
        <v>#REF!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e">
        <f>VLOOKUP(F69,#REF!,2, FALSE)</f>
        <v>#REF!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e">
        <f>VLOOKUP(F70,#REF!,2, FALSE)</f>
        <v>#REF!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e">
        <f>VLOOKUP(F71,#REF!,2, FALSE)</f>
        <v>#REF!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e">
        <f>VLOOKUP(F72,#REF!,2, FALSE)</f>
        <v>#REF!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e">
        <f>VLOOKUP(F73,#REF!,2, FALSE)</f>
        <v>#REF!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e">
        <f>VLOOKUP(F74,#REF!,2, FALSE)</f>
        <v>#REF!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e">
        <f>VLOOKUP(F75,#REF!,2, FALSE)</f>
        <v>#REF!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e">
        <f>VLOOKUP(F76,#REF!,2, FALSE)</f>
        <v>#REF!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e">
        <f>VLOOKUP(F77,#REF!,2, FALSE)</f>
        <v>#REF!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e">
        <f>VLOOKUP(F78,#REF!,2, FALSE)</f>
        <v>#REF!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e">
        <f>VLOOKUP(F79,#REF!,2, FALSE)</f>
        <v>#REF!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e">
        <f>VLOOKUP(F80,#REF!,2, FALSE)</f>
        <v>#REF!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e">
        <f>VLOOKUP(F81,#REF!,2, FALSE)</f>
        <v>#REF!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e">
        <f>VLOOKUP(F82,#REF!,2, FALSE)</f>
        <v>#REF!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e">
        <f>VLOOKUP(F83,#REF!,2, FALSE)</f>
        <v>#REF!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e">
        <f>VLOOKUP(F84,#REF!,2, FALSE)</f>
        <v>#REF!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e">
        <f>VLOOKUP(F85,#REF!,2, FALSE)</f>
        <v>#REF!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e">
        <f>VLOOKUP(F86,#REF!,2, FALSE)</f>
        <v>#REF!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e">
        <f>VLOOKUP(F87,#REF!,2, FALSE)</f>
        <v>#REF!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e">
        <f>VLOOKUP(F88,#REF!,2, FALSE)</f>
        <v>#REF!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e">
        <f>VLOOKUP(F89,#REF!,2, FALSE)</f>
        <v>#REF!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e">
        <f>VLOOKUP(F90,#REF!,2, FALSE)</f>
        <v>#REF!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e">
        <f>VLOOKUP(F91,#REF!,2, FALSE)</f>
        <v>#REF!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e">
        <f>VLOOKUP(F92,#REF!,2, FALSE)</f>
        <v>#REF!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e">
        <f>VLOOKUP(F93,#REF!,2, FALSE)</f>
        <v>#REF!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e">
        <f>VLOOKUP(F94,#REF!,2, FALSE)</f>
        <v>#REF!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e">
        <f>VLOOKUP(F95,#REF!,2, FALSE)</f>
        <v>#REF!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e">
        <f>VLOOKUP(F96,#REF!,2, FALSE)</f>
        <v>#REF!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e">
        <f>VLOOKUP(F97,#REF!,2, FALSE)</f>
        <v>#REF!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e">
        <f>VLOOKUP(F98,#REF!,2, FALSE)</f>
        <v>#REF!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e">
        <f>VLOOKUP(F99,#REF!,2, FALSE)</f>
        <v>#REF!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e">
        <f>VLOOKUP(F100,#REF!,2, FALSE)</f>
        <v>#REF!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e">
        <f>VLOOKUP(F101,#REF!,2, FALSE)</f>
        <v>#REF!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e">
        <f>VLOOKUP(F102,#REF!,2, FALSE)</f>
        <v>#REF!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e">
        <f>VLOOKUP(F103,#REF!,2, FALSE)</f>
        <v>#REF!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e">
        <f>VLOOKUP(F104,#REF!,2, FALSE)</f>
        <v>#REF!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e">
        <f>VLOOKUP(F105,#REF!,2, FALSE)</f>
        <v>#REF!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e">
        <f>VLOOKUP(F106,#REF!,2, FALSE)</f>
        <v>#REF!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e">
        <f>VLOOKUP(F107,#REF!,2, FALSE)</f>
        <v>#REF!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e">
        <f>VLOOKUP(F108,#REF!,2, FALSE)</f>
        <v>#REF!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e">
        <f>VLOOKUP(F109,#REF!,2, FALSE)</f>
        <v>#REF!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e">
        <f>VLOOKUP(F110,#REF!,2, FALSE)</f>
        <v>#REF!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e">
        <f>VLOOKUP(F111,#REF!,2, FALSE)</f>
        <v>#REF!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e">
        <f>VLOOKUP(F112,#REF!,2, FALSE)</f>
        <v>#REF!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e">
        <f>VLOOKUP(F113,#REF!,2, FALSE)</f>
        <v>#REF!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e">
        <f>VLOOKUP(F114,#REF!,2, FALSE)</f>
        <v>#REF!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e">
        <f>VLOOKUP(F115,#REF!,2, FALSE)</f>
        <v>#REF!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e">
        <f>VLOOKUP(F116,#REF!,2, FALSE)</f>
        <v>#REF!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e">
        <f>VLOOKUP(F117,#REF!,2, FALSE)</f>
        <v>#REF!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e">
        <f>VLOOKUP(F118,#REF!,2, FALSE)</f>
        <v>#REF!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e">
        <f>VLOOKUP(F119,#REF!,2, FALSE)</f>
        <v>#REF!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e">
        <f>VLOOKUP(F121,#REF!,2, FALSE)</f>
        <v>#REF!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e">
        <f>VLOOKUP(F122,#REF!,2, FALSE)</f>
        <v>#REF!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e">
        <f>VLOOKUP(F123,#REF!,2, FALSE)</f>
        <v>#REF!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e">
        <f>VLOOKUP(F124,#REF!,2, FALSE)</f>
        <v>#REF!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e">
        <f>VLOOKUP(F125,#REF!,2, FALSE)</f>
        <v>#REF!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e">
        <f>VLOOKUP(F126,#REF!,2, FALSE)</f>
        <v>#REF!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e">
        <f>VLOOKUP(F127,#REF!,2, FALSE)</f>
        <v>#REF!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e">
        <f>VLOOKUP(F128,#REF!,2, FALSE)</f>
        <v>#REF!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e">
        <f>VLOOKUP(F129,#REF!,2, FALSE)</f>
        <v>#REF!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e">
        <f>VLOOKUP(F130,#REF!,2, FALSE)</f>
        <v>#REF!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e">
        <f>VLOOKUP(F131,#REF!,2, FALSE)</f>
        <v>#REF!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e">
        <f>VLOOKUP(F132,#REF!,2, FALSE)</f>
        <v>#REF!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e">
        <f>VLOOKUP(F133,#REF!,2, FALSE)</f>
        <v>#REF!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e">
        <f>VLOOKUP(F134,#REF!,2, FALSE)</f>
        <v>#REF!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e">
        <f>VLOOKUP(F135,#REF!,2, FALSE)</f>
        <v>#REF!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e">
        <f>VLOOKUP(F136,#REF!,2, FALSE)</f>
        <v>#REF!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e">
        <f>VLOOKUP(F137,#REF!,2, FALSE)</f>
        <v>#REF!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e">
        <f>VLOOKUP(F138,#REF!,2, FALSE)</f>
        <v>#REF!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e">
        <f>VLOOKUP(F139,#REF!,2, FALSE)</f>
        <v>#REF!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e">
        <f>VLOOKUP(F140,#REF!,2, FALSE)</f>
        <v>#REF!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e">
        <f>VLOOKUP(F141,#REF!,2, FALSE)</f>
        <v>#REF!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e">
        <f>VLOOKUP(F142,#REF!,2, FALSE)</f>
        <v>#REF!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e">
        <f>VLOOKUP(F143,#REF!,2, FALSE)</f>
        <v>#REF!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e">
        <f>VLOOKUP(F144,#REF!,2, FALSE)</f>
        <v>#REF!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e">
        <f>VLOOKUP(F145,#REF!,2, FALSE)</f>
        <v>#REF!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e">
        <f>VLOOKUP(F146,#REF!,2, FALSE)</f>
        <v>#REF!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e">
        <f>VLOOKUP(F147,#REF!,2, FALSE)</f>
        <v>#REF!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e">
        <f>VLOOKUP(F148,#REF!,2, FALSE)</f>
        <v>#REF!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e">
        <f>VLOOKUP(F149,#REF!,2, FALSE)</f>
        <v>#REF!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e">
        <f>VLOOKUP(F150,#REF!,2, FALSE)</f>
        <v>#REF!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e">
        <f>VLOOKUP(F151,#REF!,2, FALSE)</f>
        <v>#REF!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e">
        <f>VLOOKUP(F152,#REF!,2, FALSE)</f>
        <v>#REF!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e">
        <f>VLOOKUP(F153,#REF!,2, FALSE)</f>
        <v>#REF!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e">
        <f>VLOOKUP(F154,#REF!,2, FALSE)</f>
        <v>#REF!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e">
        <f>VLOOKUP(F155,#REF!,2, FALSE)</f>
        <v>#REF!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e">
        <f>VLOOKUP(F156,#REF!,2, FALSE)</f>
        <v>#REF!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e">
        <f>VLOOKUP(F157,#REF!,2, FALSE)</f>
        <v>#REF!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e">
        <f>VLOOKUP(F158,#REF!,2, FALSE)</f>
        <v>#REF!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e">
        <f>VLOOKUP(F159,#REF!,2, FALSE)</f>
        <v>#REF!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e">
        <f>VLOOKUP(F161,#REF!,2, FALSE)</f>
        <v>#REF!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e">
        <f>VLOOKUP(F162,#REF!,2, FALSE)</f>
        <v>#REF!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e">
        <f>VLOOKUP(F163,#REF!,2, FALSE)</f>
        <v>#REF!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e">
        <f>VLOOKUP(F164,#REF!,2, FALSE)</f>
        <v>#REF!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e">
        <f>VLOOKUP(F165,#REF!,2, FALSE)</f>
        <v>#REF!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e">
        <f>VLOOKUP(F166,#REF!,2, FALSE)</f>
        <v>#REF!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e">
        <f>VLOOKUP(F167,#REF!,2, FALSE)</f>
        <v>#REF!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e">
        <f>VLOOKUP(F168,#REF!,2, FALSE)</f>
        <v>#REF!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e">
        <f>VLOOKUP(F169,#REF!,2, FALSE)</f>
        <v>#REF!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e">
        <f>VLOOKUP(F170,#REF!,2, FALSE)</f>
        <v>#REF!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e">
        <f>VLOOKUP(F171,#REF!,2, FALSE)</f>
        <v>#REF!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e">
        <f>VLOOKUP(F176,#REF!,2, FALSE)</f>
        <v>#REF!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e">
        <f>VLOOKUP(F177,#REF!,2, FALSE)</f>
        <v>#REF!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e">
        <f>VLOOKUP(F178,#REF!,2, FALSE)</f>
        <v>#REF!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e">
        <f>VLOOKUP(F179,#REF!,2, FALSE)</f>
        <v>#REF!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e">
        <f>VLOOKUP(F181,#REF!,2, FALSE)</f>
        <v>#REF!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e">
        <f>VLOOKUP(F182,#REF!,2, FALSE)</f>
        <v>#REF!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e">
        <f>VLOOKUP(F183,#REF!,2, FALSE)</f>
        <v>#REF!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e">
        <f>VLOOKUP(F184,#REF!,2, FALSE)</f>
        <v>#REF!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e">
        <f>VLOOKUP(F185,#REF!,2, FALSE)</f>
        <v>#REF!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e">
        <f>VLOOKUP(F188,#REF!,2, FALSE)</f>
        <v>#REF!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e">
        <f>VLOOKUP(F189,#REF!,2, FALSE)</f>
        <v>#REF!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e">
        <f>VLOOKUP(F190,#REF!,2, FALSE)</f>
        <v>#REF!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e">
        <f>VLOOKUP(F192,#REF!,2, FALSE)</f>
        <v>#REF!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e">
        <f>VLOOKUP(F193,#REF!,2, FALSE)</f>
        <v>#REF!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e">
        <f>VLOOKUP(F198,#REF!,2, FALSE)</f>
        <v>#REF!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e">
        <f>VLOOKUP(F199,#REF!,2, FALSE)</f>
        <v>#REF!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e">
        <f>VLOOKUP(F201,#REF!,2, FALSE)</f>
        <v>#REF!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e">
        <f>VLOOKUP(F202,#REF!,2, FALSE)</f>
        <v>#REF!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e">
        <f>VLOOKUP(F203,#REF!,2, FALSE)</f>
        <v>#REF!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e">
        <f>VLOOKUP(F204,#REF!,2, FALSE)</f>
        <v>#REF!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e">
        <f>VLOOKUP(F205,#REF!,2, FALSE)</f>
        <v>#REF!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e">
        <f>VLOOKUP(F206,#REF!,2, FALSE)</f>
        <v>#REF!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e">
        <f>VLOOKUP(F207,#REF!,2, FALSE)</f>
        <v>#REF!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e">
        <f>VLOOKUP(F208,#REF!,2, FALSE)</f>
        <v>#REF!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e">
        <f>VLOOKUP(F209,#REF!,2, FALSE)</f>
        <v>#REF!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e">
        <f>VLOOKUP(F210,#REF!,2, FALSE)</f>
        <v>#REF!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e">
        <f>VLOOKUP(F211,#REF!,2, FALSE)</f>
        <v>#REF!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e">
        <f>VLOOKUP(F212,#REF!,2, FALSE)</f>
        <v>#REF!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e">
        <f>VLOOKUP(F213,#REF!,2, FALSE)</f>
        <v>#REF!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e">
        <f>VLOOKUP(F214,#REF!,2, FALSE)</f>
        <v>#REF!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e">
        <f>VLOOKUP(F215,#REF!,2, FALSE)</f>
        <v>#REF!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e">
        <f>VLOOKUP(F216,#REF!,2, FALSE)</f>
        <v>#REF!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e">
        <f>VLOOKUP(F217,#REF!,2, FALSE)</f>
        <v>#REF!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e">
        <f>VLOOKUP(F218,#REF!,2, FALSE)</f>
        <v>#REF!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e">
        <f>VLOOKUP(F219,#REF!,2, FALSE)</f>
        <v>#REF!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e">
        <f>VLOOKUP(F220,#REF!,2, FALSE)</f>
        <v>#REF!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e">
        <f>VLOOKUP(F221,#REF!,2, FALSE)</f>
        <v>#REF!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e">
        <f>VLOOKUP(F222,#REF!,2, FALSE)</f>
        <v>#REF!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e">
        <f>VLOOKUP(F223,#REF!,2, FALSE)</f>
        <v>#REF!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e">
        <f>VLOOKUP(F224,#REF!,2, FALSE)</f>
        <v>#REF!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e">
        <f>VLOOKUP(F225,#REF!,2, FALSE)</f>
        <v>#REF!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e">
        <f>VLOOKUP(F226,#REF!,2, FALSE)</f>
        <v>#REF!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e">
        <f>VLOOKUP(F227,#REF!,2, FALSE)</f>
        <v>#REF!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e">
        <f>VLOOKUP(F228,#REF!,2, FALSE)</f>
        <v>#REF!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e">
        <f>VLOOKUP(F229,#REF!,2, FALSE)</f>
        <v>#REF!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e">
        <f>VLOOKUP(F230,#REF!,2, FALSE)</f>
        <v>#REF!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e">
        <f>VLOOKUP(F231,#REF!,2, FALSE)</f>
        <v>#REF!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e">
        <f>VLOOKUP(F232,#REF!,2, FALSE)</f>
        <v>#REF!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e">
        <f>VLOOKUP(F234,#REF!,2, FALSE)</f>
        <v>#REF!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e">
        <f>VLOOKUP(F235,#REF!,2, FALSE)</f>
        <v>#REF!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e">
        <f>VLOOKUP(F236,#REF!,2, FALSE)</f>
        <v>#REF!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e">
        <f>VLOOKUP(F237,#REF!,2, FALSE)</f>
        <v>#REF!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e">
        <f>VLOOKUP(F238,#REF!,2, FALSE)</f>
        <v>#REF!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e">
        <f>VLOOKUP(F239,#REF!,2, FALSE)</f>
        <v>#REF!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e">
        <f>VLOOKUP(F241,#REF!,2, FALSE)</f>
        <v>#REF!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e">
        <f>VLOOKUP(F242,#REF!,2, FALSE)</f>
        <v>#REF!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e">
        <f>VLOOKUP(F243,#REF!,2, FALSE)</f>
        <v>#REF!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e">
        <f>VLOOKUP(F244,#REF!,2, FALSE)</f>
        <v>#REF!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e">
        <f>VLOOKUP(F245,#REF!,2, FALSE)</f>
        <v>#REF!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e">
        <f>VLOOKUP(F246,#REF!,2, FALSE)</f>
        <v>#REF!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e">
        <f>VLOOKUP(F247,#REF!,2, FALSE)</f>
        <v>#REF!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e">
        <f>VLOOKUP(F248,#REF!,2, FALSE)</f>
        <v>#REF!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e">
        <f>VLOOKUP(F249,#REF!,2, FALSE)</f>
        <v>#REF!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e">
        <f>VLOOKUP(F250,#REF!,2, FALSE)</f>
        <v>#REF!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e">
        <f>VLOOKUP(F251,#REF!,2, FALSE)</f>
        <v>#REF!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e">
        <f>VLOOKUP(F252,#REF!,2, FALSE)</f>
        <v>#REF!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e">
        <f>VLOOKUP(F253,#REF!,2, FALSE)</f>
        <v>#REF!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e">
        <f>VLOOKUP(F254,#REF!,2, FALSE)</f>
        <v>#REF!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e">
        <f>VLOOKUP(F255,#REF!,2, FALSE)</f>
        <v>#REF!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e">
        <f>VLOOKUP(F256,#REF!,2, FALSE)</f>
        <v>#REF!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e">
        <f>VLOOKUP(F257,#REF!,2, FALSE)</f>
        <v>#REF!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e">
        <f>VLOOKUP(F258,#REF!,2, FALSE)</f>
        <v>#REF!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e">
        <f>VLOOKUP(F259,#REF!,2, FALSE)</f>
        <v>#REF!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e">
        <f>VLOOKUP(F260,#REF!,2, FALSE)</f>
        <v>#REF!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e">
        <f>VLOOKUP(F261,#REF!,2, FALSE)</f>
        <v>#REF!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e">
        <f>VLOOKUP(F262,#REF!,2, FALSE)</f>
        <v>#REF!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e">
        <f>VLOOKUP(F263,#REF!,2, FALSE)</f>
        <v>#REF!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e">
        <f>VLOOKUP(F264,#REF!,2, FALSE)</f>
        <v>#REF!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e">
        <f>VLOOKUP(F265,#REF!,2, FALSE)</f>
        <v>#REF!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e">
        <f>VLOOKUP(F267,#REF!,2, FALSE)</f>
        <v>#REF!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e">
        <f>VLOOKUP(F268,#REF!,2, FALSE)</f>
        <v>#REF!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e">
        <f>VLOOKUP(F269,#REF!,2, FALSE)</f>
        <v>#REF!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e">
        <f>VLOOKUP(F270,#REF!,2, FALSE)</f>
        <v>#REF!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e">
        <f>VLOOKUP(F271,#REF!,2, FALSE)</f>
        <v>#REF!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e">
        <f>VLOOKUP(F272,#REF!,2, FALSE)</f>
        <v>#REF!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e">
        <f>VLOOKUP(F273,#REF!,2, FALSE)</f>
        <v>#REF!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e">
        <f>VLOOKUP(F274,#REF!,2, FALSE)</f>
        <v>#REF!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e">
        <f>VLOOKUP(F275,#REF!,2, FALSE)</f>
        <v>#REF!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e">
        <f>VLOOKUP(F276,#REF!,2, FALSE)</f>
        <v>#REF!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e">
        <f>VLOOKUP(F277,#REF!,2, FALSE)</f>
        <v>#REF!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e">
        <f>VLOOKUP(F278,#REF!,2, FALSE)</f>
        <v>#REF!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e">
        <f>VLOOKUP(F279,#REF!,2, FALSE)</f>
        <v>#REF!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e">
        <f>VLOOKUP(F280,#REF!,2, FALSE)</f>
        <v>#REF!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e">
        <f>VLOOKUP(F281,#REF!,2, FALSE)</f>
        <v>#REF!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e">
        <f>VLOOKUP(F282,#REF!,2, FALSE)</f>
        <v>#REF!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e">
        <f>VLOOKUP(F283,#REF!,2, FALSE)</f>
        <v>#REF!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e">
        <f>VLOOKUP(F284,#REF!,2, FALSE)</f>
        <v>#REF!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e">
        <f>VLOOKUP(F285,#REF!,2, FALSE)</f>
        <v>#REF!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e">
        <f>VLOOKUP(F286,#REF!,2, FALSE)</f>
        <v>#REF!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e">
        <f>VLOOKUP(F287,#REF!,2, FALSE)</f>
        <v>#REF!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e">
        <f>VLOOKUP(F288,#REF!,2, FALSE)</f>
        <v>#REF!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e">
        <f>VLOOKUP(F289,#REF!,2, FALSE)</f>
        <v>#REF!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e">
        <f>VLOOKUP(F290,#REF!,2, FALSE)</f>
        <v>#REF!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e">
        <f>VLOOKUP(F291,#REF!,2, FALSE)</f>
        <v>#REF!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e">
        <f>VLOOKUP(F292,#REF!,2, FALSE)</f>
        <v>#REF!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e">
        <f>VLOOKUP(F293,#REF!,2, FALSE)</f>
        <v>#REF!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e">
        <f>VLOOKUP(F294,#REF!,2, FALSE)</f>
        <v>#REF!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e">
        <f>VLOOKUP(F295,#REF!,2, FALSE)</f>
        <v>#REF!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e">
        <f>VLOOKUP(F296,#REF!,2, FALSE)</f>
        <v>#REF!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e">
        <f>VLOOKUP(F297,#REF!,2, FALSE)</f>
        <v>#REF!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e">
        <f>VLOOKUP(F298,#REF!,2, FALSE)</f>
        <v>#REF!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e">
        <f>VLOOKUP(F299,#REF!,2, FALSE)</f>
        <v>#REF!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e">
        <f>VLOOKUP(F300,#REF!,2, FALSE)</f>
        <v>#REF!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C963D-31D9-4CED-9D49-CF56C311BF1E}">
  <dimension ref="A1:G126"/>
  <sheetViews>
    <sheetView workbookViewId="0">
      <selection activeCell="D18" sqref="D18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29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32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32" t="s">
        <v>2</v>
      </c>
      <c r="F2" s="37" t="s">
        <v>2</v>
      </c>
      <c r="G2" s="2" t="s">
        <v>2</v>
      </c>
    </row>
    <row r="3" spans="1:7" x14ac:dyDescent="0.3">
      <c r="A3" s="21"/>
      <c r="B3" s="49"/>
      <c r="C3" s="21"/>
      <c r="D3" s="20" t="s">
        <v>1068</v>
      </c>
      <c r="E3" s="69" t="s">
        <v>1070</v>
      </c>
      <c r="F3" s="43"/>
    </row>
    <row r="4" spans="1:7" x14ac:dyDescent="0.3">
      <c r="A4" s="21"/>
      <c r="B4" s="52"/>
      <c r="C4" s="21"/>
      <c r="D4" s="20" t="s">
        <v>1069</v>
      </c>
      <c r="E4" s="69" t="s">
        <v>1071</v>
      </c>
      <c r="F4" s="43"/>
    </row>
    <row r="5" spans="1:7" x14ac:dyDescent="0.3">
      <c r="A5" s="21"/>
      <c r="B5" s="52"/>
      <c r="C5" s="58" t="s">
        <v>1077</v>
      </c>
      <c r="D5" s="20" t="str">
        <f t="shared" ref="D5:D16" si="0">UPPER(C5)&amp;"_NAME"</f>
        <v>LOGIN_NAME</v>
      </c>
      <c r="E5" s="70" t="s">
        <v>1090</v>
      </c>
      <c r="F5" s="43"/>
    </row>
    <row r="6" spans="1:7" x14ac:dyDescent="0.3">
      <c r="A6" s="21"/>
      <c r="B6" s="52"/>
      <c r="C6" s="58" t="s">
        <v>1078</v>
      </c>
      <c r="D6" s="20" t="str">
        <f t="shared" si="0"/>
        <v>ENEMY_KILL_NAME</v>
      </c>
      <c r="E6" s="70" t="s">
        <v>862</v>
      </c>
      <c r="F6" s="43"/>
    </row>
    <row r="7" spans="1:7" x14ac:dyDescent="0.3">
      <c r="A7" s="21"/>
      <c r="B7" s="52"/>
      <c r="C7" s="58" t="s">
        <v>1079</v>
      </c>
      <c r="D7" s="20" t="str">
        <f t="shared" si="0"/>
        <v>TOURNAMENT_PLAY_NAME</v>
      </c>
      <c r="E7" s="70" t="s">
        <v>863</v>
      </c>
      <c r="F7" s="43"/>
    </row>
    <row r="8" spans="1:7" x14ac:dyDescent="0.3">
      <c r="A8" s="21"/>
      <c r="B8" s="52"/>
      <c r="C8" s="58" t="s">
        <v>1080</v>
      </c>
      <c r="D8" s="20" t="str">
        <f t="shared" si="0"/>
        <v>RAID_PLAY_NAME</v>
      </c>
      <c r="E8" s="70" t="s">
        <v>864</v>
      </c>
      <c r="F8" s="43"/>
    </row>
    <row r="9" spans="1:7" x14ac:dyDescent="0.3">
      <c r="A9" s="21"/>
      <c r="B9" s="52"/>
      <c r="C9" s="58" t="s">
        <v>1081</v>
      </c>
      <c r="D9" s="20" t="str">
        <f t="shared" si="0"/>
        <v>GACHA_PROCEED_NAME</v>
      </c>
      <c r="E9" s="70" t="s">
        <v>1091</v>
      </c>
      <c r="F9" s="43"/>
    </row>
    <row r="10" spans="1:7" x14ac:dyDescent="0.3">
      <c r="A10" s="21"/>
      <c r="B10" s="49"/>
      <c r="C10" s="58" t="s">
        <v>1082</v>
      </c>
      <c r="D10" s="20" t="str">
        <f t="shared" si="0"/>
        <v>RICE_CLAIM_NAME</v>
      </c>
      <c r="E10" s="70" t="s">
        <v>866</v>
      </c>
      <c r="F10" s="43"/>
    </row>
    <row r="11" spans="1:7" x14ac:dyDescent="0.3">
      <c r="A11" s="21"/>
      <c r="B11" s="49"/>
      <c r="C11" s="58" t="s">
        <v>1083</v>
      </c>
      <c r="D11" s="20" t="str">
        <f t="shared" si="0"/>
        <v>GOLE_CLAIM_NAME</v>
      </c>
      <c r="E11" s="70" t="s">
        <v>867</v>
      </c>
      <c r="F11" s="43"/>
    </row>
    <row r="12" spans="1:7" x14ac:dyDescent="0.3">
      <c r="A12" s="21"/>
      <c r="B12" s="49"/>
      <c r="C12" s="58" t="s">
        <v>1084</v>
      </c>
      <c r="D12" s="20" t="str">
        <f t="shared" si="0"/>
        <v>OFFICE_DISPATCH_NAME</v>
      </c>
      <c r="E12" s="70" t="s">
        <v>1092</v>
      </c>
      <c r="F12" s="43"/>
    </row>
    <row r="13" spans="1:7" x14ac:dyDescent="0.3">
      <c r="A13" s="21"/>
      <c r="B13" s="49"/>
      <c r="C13" s="58" t="s">
        <v>1085</v>
      </c>
      <c r="D13" s="20" t="str">
        <f t="shared" si="0"/>
        <v>DAILY_DUNGEON_PLAY_NAME</v>
      </c>
      <c r="E13" s="70" t="s">
        <v>1093</v>
      </c>
      <c r="F13" s="43"/>
    </row>
    <row r="14" spans="1:7" x14ac:dyDescent="0.3">
      <c r="A14" s="21"/>
      <c r="B14" s="49"/>
      <c r="C14" s="58" t="s">
        <v>1086</v>
      </c>
      <c r="D14" s="20" t="str">
        <f t="shared" si="0"/>
        <v>STAGE_BOSS_KILL_NAME</v>
      </c>
      <c r="E14" s="70" t="s">
        <v>1094</v>
      </c>
      <c r="F14" s="43"/>
    </row>
    <row r="15" spans="1:7" x14ac:dyDescent="0.3">
      <c r="A15" s="21"/>
      <c r="B15" s="49"/>
      <c r="C15" s="58" t="s">
        <v>1087</v>
      </c>
      <c r="D15" s="20" t="str">
        <f t="shared" si="0"/>
        <v>ADS_WATCH_NAME</v>
      </c>
      <c r="E15" s="70" t="s">
        <v>1095</v>
      </c>
      <c r="F15" s="43"/>
    </row>
    <row r="16" spans="1:7" x14ac:dyDescent="0.3">
      <c r="A16" s="21"/>
      <c r="B16" s="49"/>
      <c r="C16" s="58" t="s">
        <v>1088</v>
      </c>
      <c r="D16" s="20" t="str">
        <f t="shared" si="0"/>
        <v>ITEM_BUY_NAME</v>
      </c>
      <c r="E16" s="70" t="s">
        <v>1096</v>
      </c>
      <c r="F16" s="43"/>
    </row>
    <row r="17" spans="1:6" x14ac:dyDescent="0.3">
      <c r="A17" s="21"/>
      <c r="B17" s="49"/>
      <c r="C17" s="58" t="s">
        <v>1089</v>
      </c>
      <c r="D17" s="20" t="str">
        <f>UPPER(C17)&amp;"_NAME"</f>
        <v>ITEM_USE_NAME</v>
      </c>
      <c r="E17" s="70" t="s">
        <v>1097</v>
      </c>
      <c r="F17" s="43"/>
    </row>
    <row r="18" spans="1:6" x14ac:dyDescent="0.3">
      <c r="A18" s="21"/>
      <c r="B18" s="49"/>
      <c r="C18" s="27"/>
      <c r="D18" s="20" t="s">
        <v>1098</v>
      </c>
      <c r="E18" s="70" t="s">
        <v>1099</v>
      </c>
      <c r="F18" s="43"/>
    </row>
    <row r="19" spans="1:6" x14ac:dyDescent="0.3">
      <c r="A19" s="21"/>
      <c r="B19" s="49"/>
      <c r="C19" s="19"/>
      <c r="D19" s="20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71"/>
      <c r="F40" s="43"/>
    </row>
    <row r="41" spans="1:6" x14ac:dyDescent="0.3">
      <c r="A41" s="21"/>
      <c r="B41" s="49"/>
      <c r="C41" s="19"/>
      <c r="D41" s="41"/>
      <c r="E41" s="71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71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72"/>
      <c r="F95" s="43"/>
    </row>
    <row r="96" spans="1:6" x14ac:dyDescent="0.2">
      <c r="A96" s="21"/>
      <c r="B96" s="25"/>
      <c r="C96" s="26"/>
      <c r="D96" s="41"/>
      <c r="E96" s="72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22" workbookViewId="0">
      <selection activeCell="C52" sqref="C52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55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9"/>
    </row>
    <row r="3" spans="1:5" x14ac:dyDescent="0.3">
      <c r="A3" s="58" t="s">
        <v>929</v>
      </c>
      <c r="B3" s="52" t="str">
        <f t="shared" ref="B3:B26" si="0">UPPER(A3) &amp; "_DESC"</f>
        <v>LEADERSHIP_DESC</v>
      </c>
      <c r="C3" s="58" t="s">
        <v>904</v>
      </c>
      <c r="D3" s="11"/>
      <c r="E3" s="11"/>
    </row>
    <row r="4" spans="1:5" x14ac:dyDescent="0.3">
      <c r="A4" s="58" t="s">
        <v>930</v>
      </c>
      <c r="B4" s="52" t="str">
        <f t="shared" si="0"/>
        <v>STRENGTH_DESC</v>
      </c>
      <c r="C4" s="58" t="s">
        <v>905</v>
      </c>
      <c r="D4" s="11"/>
      <c r="E4" s="11"/>
    </row>
    <row r="5" spans="1:5" x14ac:dyDescent="0.3">
      <c r="A5" s="58" t="s">
        <v>931</v>
      </c>
      <c r="B5" s="52" t="str">
        <f t="shared" si="0"/>
        <v>INTELLECT_DESC</v>
      </c>
      <c r="C5" s="58" t="s">
        <v>906</v>
      </c>
      <c r="D5" s="11"/>
      <c r="E5" s="11"/>
    </row>
    <row r="6" spans="1:5" x14ac:dyDescent="0.3">
      <c r="A6" s="58" t="s">
        <v>932</v>
      </c>
      <c r="B6" s="52" t="str">
        <f t="shared" si="0"/>
        <v>POLITICS_DESC</v>
      </c>
      <c r="C6" s="58" t="s">
        <v>907</v>
      </c>
      <c r="D6" s="11"/>
      <c r="E6" s="11"/>
    </row>
    <row r="7" spans="1:5" x14ac:dyDescent="0.3">
      <c r="A7" s="58" t="s">
        <v>933</v>
      </c>
      <c r="B7" s="52" t="str">
        <f t="shared" si="0"/>
        <v>CHARISMA_DESC</v>
      </c>
      <c r="C7" s="58" t="s">
        <v>908</v>
      </c>
      <c r="D7" s="11"/>
      <c r="E7" s="11"/>
    </row>
    <row r="8" spans="1:5" x14ac:dyDescent="0.2">
      <c r="A8" s="59" t="s">
        <v>934</v>
      </c>
      <c r="B8" s="52" t="str">
        <f t="shared" si="0"/>
        <v>ATTACK_POWER_DESC</v>
      </c>
      <c r="C8" s="59" t="s">
        <v>909</v>
      </c>
      <c r="D8" s="11"/>
      <c r="E8" s="11"/>
    </row>
    <row r="9" spans="1:5" x14ac:dyDescent="0.2">
      <c r="A9" s="59" t="s">
        <v>935</v>
      </c>
      <c r="B9" s="52" t="str">
        <f t="shared" si="0"/>
        <v>DEFENCE_DESC</v>
      </c>
      <c r="C9" s="59" t="s">
        <v>910</v>
      </c>
      <c r="D9" s="11"/>
      <c r="E9" s="11"/>
    </row>
    <row r="10" spans="1:5" x14ac:dyDescent="0.2">
      <c r="A10" s="59" t="s">
        <v>936</v>
      </c>
      <c r="B10" s="52" t="str">
        <f t="shared" si="0"/>
        <v>ATTACK_SPEED_DESC</v>
      </c>
      <c r="C10" s="59" t="s">
        <v>911</v>
      </c>
      <c r="D10" s="11"/>
      <c r="E10" s="11"/>
    </row>
    <row r="11" spans="1:5" x14ac:dyDescent="0.2">
      <c r="A11" s="59" t="s">
        <v>937</v>
      </c>
      <c r="B11" s="52" t="str">
        <f t="shared" si="0"/>
        <v>HEALTH_MAX_DESC</v>
      </c>
      <c r="C11" s="59" t="s">
        <v>912</v>
      </c>
      <c r="D11" s="11"/>
      <c r="E11" s="11"/>
    </row>
    <row r="12" spans="1:5" x14ac:dyDescent="0.2">
      <c r="A12" s="59" t="s">
        <v>938</v>
      </c>
      <c r="B12" s="52" t="str">
        <f t="shared" si="0"/>
        <v>MOVE_SPEED_DESC</v>
      </c>
      <c r="C12" s="59" t="s">
        <v>913</v>
      </c>
      <c r="D12" s="11"/>
      <c r="E12" s="11"/>
    </row>
    <row r="13" spans="1:5" x14ac:dyDescent="0.2">
      <c r="A13" s="59" t="s">
        <v>939</v>
      </c>
      <c r="B13" s="52" t="str">
        <f t="shared" si="0"/>
        <v>LIFE_STEAL_DESC</v>
      </c>
      <c r="C13" s="59" t="s">
        <v>914</v>
      </c>
      <c r="D13" s="11"/>
      <c r="E13" s="11"/>
    </row>
    <row r="14" spans="1:5" x14ac:dyDescent="0.2">
      <c r="A14" s="59" t="s">
        <v>940</v>
      </c>
      <c r="B14" s="52" t="str">
        <f t="shared" si="0"/>
        <v>CRITICAL_RATE_DESC</v>
      </c>
      <c r="C14" s="59" t="s">
        <v>915</v>
      </c>
      <c r="D14" s="11"/>
      <c r="E14" s="11"/>
    </row>
    <row r="15" spans="1:5" x14ac:dyDescent="0.2">
      <c r="A15" s="59" t="s">
        <v>941</v>
      </c>
      <c r="B15" s="52" t="str">
        <f t="shared" si="0"/>
        <v>COOLDOWN_RATE_DESC</v>
      </c>
      <c r="C15" s="59" t="s">
        <v>916</v>
      </c>
      <c r="D15" s="11"/>
      <c r="E15" s="11"/>
    </row>
    <row r="16" spans="1:5" x14ac:dyDescent="0.2">
      <c r="A16" s="59" t="s">
        <v>942</v>
      </c>
      <c r="B16" s="52" t="str">
        <f t="shared" si="0"/>
        <v>CRITICAL_DAMAGE_DESC</v>
      </c>
      <c r="C16" s="59" t="s">
        <v>917</v>
      </c>
      <c r="D16" s="11"/>
      <c r="E16" s="11"/>
    </row>
    <row r="17" spans="1:5" x14ac:dyDescent="0.2">
      <c r="A17" s="59" t="s">
        <v>943</v>
      </c>
      <c r="B17" s="52" t="str">
        <f t="shared" si="0"/>
        <v>BOSS_DAMAGE_DESC</v>
      </c>
      <c r="C17" s="59" t="s">
        <v>918</v>
      </c>
      <c r="D17" s="11"/>
      <c r="E17" s="11"/>
    </row>
    <row r="18" spans="1:5" x14ac:dyDescent="0.2">
      <c r="A18" s="59" t="s">
        <v>944</v>
      </c>
      <c r="B18" s="52" t="str">
        <f t="shared" si="0"/>
        <v>COMBAT_STATUS_BUFF_DESC</v>
      </c>
      <c r="C18" s="59" t="s">
        <v>919</v>
      </c>
      <c r="D18" s="11"/>
      <c r="E18" s="11"/>
    </row>
    <row r="19" spans="1:5" x14ac:dyDescent="0.2">
      <c r="A19" s="59" t="s">
        <v>945</v>
      </c>
      <c r="B19" s="52" t="str">
        <f t="shared" si="0"/>
        <v>ATK_EFFECT_LIGHTNING_DESC</v>
      </c>
      <c r="C19" s="58" t="s">
        <v>920</v>
      </c>
      <c r="D19" s="11"/>
      <c r="E19" s="11"/>
    </row>
    <row r="20" spans="1:5" x14ac:dyDescent="0.2">
      <c r="A20" s="59" t="s">
        <v>946</v>
      </c>
      <c r="B20" s="52" t="str">
        <f t="shared" si="0"/>
        <v>ATK_EFFECT_BLEEDING_DESC</v>
      </c>
      <c r="C20" s="58" t="s">
        <v>921</v>
      </c>
      <c r="D20" s="11"/>
      <c r="E20" s="11"/>
    </row>
    <row r="21" spans="1:5" x14ac:dyDescent="0.2">
      <c r="A21" s="59" t="s">
        <v>947</v>
      </c>
      <c r="B21" s="52" t="str">
        <f t="shared" si="0"/>
        <v>ATK_EFFECT_BURN_DESC</v>
      </c>
      <c r="C21" s="58" t="s">
        <v>922</v>
      </c>
      <c r="D21" s="11"/>
      <c r="E21" s="11"/>
    </row>
    <row r="22" spans="1:5" x14ac:dyDescent="0.2">
      <c r="A22" s="59" t="s">
        <v>948</v>
      </c>
      <c r="B22" s="52" t="str">
        <f t="shared" si="0"/>
        <v>ATK_EFFECT_POISONING_DESC</v>
      </c>
      <c r="C22" s="58" t="s">
        <v>923</v>
      </c>
      <c r="D22" s="11"/>
      <c r="E22" s="11"/>
    </row>
    <row r="23" spans="1:5" x14ac:dyDescent="0.2">
      <c r="A23" s="59" t="s">
        <v>949</v>
      </c>
      <c r="B23" s="52" t="str">
        <f t="shared" si="0"/>
        <v>ATK_EFFECT_STUN_DESC</v>
      </c>
      <c r="C23" s="58" t="s">
        <v>924</v>
      </c>
      <c r="D23" s="11"/>
      <c r="E23" s="11"/>
    </row>
    <row r="24" spans="1:5" x14ac:dyDescent="0.2">
      <c r="A24" s="59" t="s">
        <v>950</v>
      </c>
      <c r="B24" s="52" t="str">
        <f t="shared" si="0"/>
        <v>ATK_EFFECT_SILENCE_DESC</v>
      </c>
      <c r="C24" s="58" t="s">
        <v>925</v>
      </c>
      <c r="D24" s="11"/>
      <c r="E24" s="11"/>
    </row>
    <row r="25" spans="1:5" x14ac:dyDescent="0.2">
      <c r="A25" s="59" t="s">
        <v>951</v>
      </c>
      <c r="B25" s="52" t="str">
        <f t="shared" si="0"/>
        <v>ATK_EFFECT_AOE_DESC</v>
      </c>
      <c r="C25" s="58" t="s">
        <v>926</v>
      </c>
      <c r="D25" s="11"/>
      <c r="E25" s="11"/>
    </row>
    <row r="26" spans="1:5" x14ac:dyDescent="0.2">
      <c r="A26" s="59" t="s">
        <v>952</v>
      </c>
      <c r="B26" s="52" t="str">
        <f t="shared" si="0"/>
        <v>DEF_EFFECT_SHIELD_DESC</v>
      </c>
      <c r="C26" s="58" t="s">
        <v>927</v>
      </c>
      <c r="D26" s="11"/>
      <c r="E26" s="11"/>
    </row>
    <row r="27" spans="1:5" x14ac:dyDescent="0.2">
      <c r="A27" s="59" t="s">
        <v>953</v>
      </c>
      <c r="B27" s="52" t="str">
        <f>UPPER(A27) &amp; "_DESC"</f>
        <v>DEF_EFFECT_DAMAGE_TAKEN_REDUCED_DESC</v>
      </c>
      <c r="C27" s="58" t="s">
        <v>928</v>
      </c>
      <c r="D27" s="11"/>
      <c r="E27" s="11"/>
    </row>
    <row r="28" spans="1:5" x14ac:dyDescent="0.3">
      <c r="A28" s="58" t="s">
        <v>929</v>
      </c>
      <c r="B28" s="52" t="str">
        <f t="shared" ref="B28:B51" si="1">UPPER(A28) &amp; "_TITLE"</f>
        <v>LEADERSHIP_TITLE</v>
      </c>
      <c r="C28" s="58" t="s">
        <v>904</v>
      </c>
      <c r="D28" s="11"/>
      <c r="E28" s="11"/>
    </row>
    <row r="29" spans="1:5" x14ac:dyDescent="0.3">
      <c r="A29" s="58" t="s">
        <v>930</v>
      </c>
      <c r="B29" s="52" t="str">
        <f t="shared" si="1"/>
        <v>STRENGTH_TITLE</v>
      </c>
      <c r="C29" s="58" t="s">
        <v>905</v>
      </c>
      <c r="D29" s="11"/>
      <c r="E29" s="11"/>
    </row>
    <row r="30" spans="1:5" x14ac:dyDescent="0.3">
      <c r="A30" s="58" t="s">
        <v>931</v>
      </c>
      <c r="B30" s="52" t="str">
        <f t="shared" si="1"/>
        <v>INTELLECT_TITLE</v>
      </c>
      <c r="C30" s="58" t="s">
        <v>906</v>
      </c>
      <c r="D30" s="11"/>
      <c r="E30" s="11"/>
    </row>
    <row r="31" spans="1:5" x14ac:dyDescent="0.3">
      <c r="A31" s="58" t="s">
        <v>932</v>
      </c>
      <c r="B31" s="52" t="str">
        <f t="shared" si="1"/>
        <v>POLITICS_TITLE</v>
      </c>
      <c r="C31" s="58" t="s">
        <v>907</v>
      </c>
      <c r="D31" s="11"/>
      <c r="E31" s="11"/>
    </row>
    <row r="32" spans="1:5" x14ac:dyDescent="0.3">
      <c r="A32" s="58" t="s">
        <v>933</v>
      </c>
      <c r="B32" s="52" t="str">
        <f t="shared" si="1"/>
        <v>CHARISMA_TITLE</v>
      </c>
      <c r="C32" s="58" t="s">
        <v>908</v>
      </c>
      <c r="D32" s="11"/>
      <c r="E32" s="11"/>
    </row>
    <row r="33" spans="1:5" x14ac:dyDescent="0.2">
      <c r="A33" s="59" t="s">
        <v>934</v>
      </c>
      <c r="B33" s="52" t="str">
        <f t="shared" si="1"/>
        <v>ATTACK_POWER_TITLE</v>
      </c>
      <c r="C33" s="59" t="s">
        <v>909</v>
      </c>
      <c r="D33" s="11"/>
      <c r="E33" s="11"/>
    </row>
    <row r="34" spans="1:5" x14ac:dyDescent="0.2">
      <c r="A34" s="59" t="s">
        <v>935</v>
      </c>
      <c r="B34" s="52" t="str">
        <f t="shared" si="1"/>
        <v>DEFENCE_TITLE</v>
      </c>
      <c r="C34" s="59" t="s">
        <v>910</v>
      </c>
      <c r="D34" s="11"/>
      <c r="E34" s="11"/>
    </row>
    <row r="35" spans="1:5" x14ac:dyDescent="0.2">
      <c r="A35" s="59" t="s">
        <v>936</v>
      </c>
      <c r="B35" s="52" t="str">
        <f t="shared" si="1"/>
        <v>ATTACK_SPEED_TITLE</v>
      </c>
      <c r="C35" s="59" t="s">
        <v>911</v>
      </c>
      <c r="D35" s="11"/>
      <c r="E35" s="11"/>
    </row>
    <row r="36" spans="1:5" x14ac:dyDescent="0.2">
      <c r="A36" s="59" t="s">
        <v>937</v>
      </c>
      <c r="B36" s="52" t="str">
        <f t="shared" si="1"/>
        <v>HEALTH_MAX_TITLE</v>
      </c>
      <c r="C36" s="59" t="s">
        <v>912</v>
      </c>
      <c r="D36" s="11"/>
      <c r="E36" s="11"/>
    </row>
    <row r="37" spans="1:5" x14ac:dyDescent="0.2">
      <c r="A37" s="59" t="s">
        <v>938</v>
      </c>
      <c r="B37" s="52" t="str">
        <f t="shared" si="1"/>
        <v>MOVE_SPEED_TITLE</v>
      </c>
      <c r="C37" s="59" t="s">
        <v>913</v>
      </c>
      <c r="D37" s="11"/>
      <c r="E37" s="11"/>
    </row>
    <row r="38" spans="1:5" x14ac:dyDescent="0.2">
      <c r="A38" s="59" t="s">
        <v>939</v>
      </c>
      <c r="B38" s="52" t="str">
        <f t="shared" si="1"/>
        <v>LIFE_STEAL_TITLE</v>
      </c>
      <c r="C38" s="59" t="s">
        <v>914</v>
      </c>
      <c r="D38" s="11"/>
      <c r="E38" s="11"/>
    </row>
    <row r="39" spans="1:5" x14ac:dyDescent="0.2">
      <c r="A39" s="59" t="s">
        <v>940</v>
      </c>
      <c r="B39" s="52" t="str">
        <f t="shared" si="1"/>
        <v>CRITICAL_RATE_TITLE</v>
      </c>
      <c r="C39" s="59" t="s">
        <v>915</v>
      </c>
      <c r="D39" s="11"/>
      <c r="E39" s="11"/>
    </row>
    <row r="40" spans="1:5" x14ac:dyDescent="0.2">
      <c r="A40" s="59" t="s">
        <v>941</v>
      </c>
      <c r="B40" s="52" t="str">
        <f t="shared" si="1"/>
        <v>COOLDOWN_RATE_TITLE</v>
      </c>
      <c r="C40" s="59" t="s">
        <v>916</v>
      </c>
      <c r="D40" s="11"/>
      <c r="E40" s="11"/>
    </row>
    <row r="41" spans="1:5" x14ac:dyDescent="0.2">
      <c r="A41" s="59" t="s">
        <v>942</v>
      </c>
      <c r="B41" s="52" t="str">
        <f t="shared" si="1"/>
        <v>CRITICAL_DAMAGE_TITLE</v>
      </c>
      <c r="C41" s="59" t="s">
        <v>917</v>
      </c>
      <c r="D41" s="11"/>
      <c r="E41" s="11"/>
    </row>
    <row r="42" spans="1:5" x14ac:dyDescent="0.2">
      <c r="A42" s="59" t="s">
        <v>943</v>
      </c>
      <c r="B42" s="52" t="str">
        <f t="shared" si="1"/>
        <v>BOSS_DAMAGE_TITLE</v>
      </c>
      <c r="C42" s="59" t="s">
        <v>918</v>
      </c>
      <c r="D42" s="11"/>
      <c r="E42" s="11"/>
    </row>
    <row r="43" spans="1:5" x14ac:dyDescent="0.2">
      <c r="A43" s="59" t="s">
        <v>944</v>
      </c>
      <c r="B43" s="52" t="str">
        <f t="shared" si="1"/>
        <v>COMBAT_STATUS_BUFF_TITLE</v>
      </c>
      <c r="C43" s="59" t="s">
        <v>962</v>
      </c>
      <c r="D43" s="11"/>
      <c r="E43" s="11"/>
    </row>
    <row r="44" spans="1:5" x14ac:dyDescent="0.2">
      <c r="A44" s="59" t="s">
        <v>945</v>
      </c>
      <c r="B44" s="52" t="str">
        <f t="shared" si="1"/>
        <v>ATK_EFFECT_LIGHTNING_TITLE</v>
      </c>
      <c r="C44" s="60" t="s">
        <v>969</v>
      </c>
      <c r="D44" s="11"/>
      <c r="E44" s="11"/>
    </row>
    <row r="45" spans="1:5" x14ac:dyDescent="0.2">
      <c r="A45" s="59" t="s">
        <v>946</v>
      </c>
      <c r="B45" s="52" t="str">
        <f t="shared" si="1"/>
        <v>ATK_EFFECT_BLEEDING_TITLE</v>
      </c>
      <c r="C45" s="60" t="s">
        <v>963</v>
      </c>
      <c r="D45" s="11"/>
      <c r="E45" s="11"/>
    </row>
    <row r="46" spans="1:5" x14ac:dyDescent="0.2">
      <c r="A46" s="59" t="s">
        <v>947</v>
      </c>
      <c r="B46" s="52" t="str">
        <f t="shared" si="1"/>
        <v>ATK_EFFECT_BURN_TITLE</v>
      </c>
      <c r="C46" s="60" t="s">
        <v>964</v>
      </c>
      <c r="D46" s="11"/>
      <c r="E46" s="11"/>
    </row>
    <row r="47" spans="1:5" x14ac:dyDescent="0.2">
      <c r="A47" s="59" t="s">
        <v>948</v>
      </c>
      <c r="B47" s="52" t="str">
        <f t="shared" si="1"/>
        <v>ATK_EFFECT_POISONING_TITLE</v>
      </c>
      <c r="C47" s="60" t="s">
        <v>965</v>
      </c>
      <c r="D47" s="11"/>
      <c r="E47" s="11"/>
    </row>
    <row r="48" spans="1:5" x14ac:dyDescent="0.2">
      <c r="A48" s="59" t="s">
        <v>949</v>
      </c>
      <c r="B48" s="52" t="str">
        <f t="shared" si="1"/>
        <v>ATK_EFFECT_STUN_TITLE</v>
      </c>
      <c r="C48" s="60" t="s">
        <v>966</v>
      </c>
    </row>
    <row r="49" spans="1:3" x14ac:dyDescent="0.2">
      <c r="A49" s="59" t="s">
        <v>950</v>
      </c>
      <c r="B49" s="52" t="str">
        <f t="shared" si="1"/>
        <v>ATK_EFFECT_SILENCE_TITLE</v>
      </c>
      <c r="C49" s="61" t="s">
        <v>967</v>
      </c>
    </row>
    <row r="50" spans="1:3" x14ac:dyDescent="0.2">
      <c r="A50" s="59" t="s">
        <v>951</v>
      </c>
      <c r="B50" s="52" t="str">
        <f t="shared" si="1"/>
        <v>ATK_EFFECT_AOE_TITLE</v>
      </c>
      <c r="C50" s="62" t="s">
        <v>968</v>
      </c>
    </row>
    <row r="51" spans="1:3" x14ac:dyDescent="0.2">
      <c r="A51" s="59" t="s">
        <v>952</v>
      </c>
      <c r="B51" s="52" t="str">
        <f t="shared" si="1"/>
        <v>DEF_EFFECT_SHIELD_TITLE</v>
      </c>
      <c r="C51" s="62" t="s">
        <v>970</v>
      </c>
    </row>
    <row r="52" spans="1:3" x14ac:dyDescent="0.2">
      <c r="A52" s="59" t="s">
        <v>953</v>
      </c>
      <c r="B52" s="52" t="str">
        <f>UPPER(A52) &amp; "_TITLE"</f>
        <v>DEF_EFFECT_DAMAGE_TAKEN_REDUCED_TITLE</v>
      </c>
      <c r="C52" s="62" t="s">
        <v>971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2026-09-09T02:35:18Z</dcterms:modified>
</cp:coreProperties>
</file>