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586F95D3-ABEC-4705-8665-F5C0FA953406}" xr6:coauthVersionLast="47" xr6:coauthVersionMax="47" xr10:uidLastSave="{00000000-0000-0000-0000-000000000000}"/>
  <bookViews>
    <workbookView xWindow="-28920" yWindow="1395" windowWidth="29040" windowHeight="16440" activeTab="5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5" i="5" l="1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B124" i="5"/>
  <c r="C124" i="5" s="1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B222" i="5"/>
  <c r="B223" i="5" s="1"/>
  <c r="E221" i="5"/>
  <c r="C221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B180" i="5"/>
  <c r="C180" i="5" s="1"/>
  <c r="E179" i="5"/>
  <c r="C179" i="5"/>
  <c r="E177" i="5"/>
  <c r="E175" i="5"/>
  <c r="E173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B158" i="5"/>
  <c r="B159" i="5" s="1"/>
  <c r="E157" i="5"/>
  <c r="C157" i="5"/>
  <c r="E123" i="5"/>
  <c r="E122" i="5"/>
  <c r="B122" i="5"/>
  <c r="B123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B125" i="5" l="1"/>
  <c r="C223" i="5"/>
  <c r="B224" i="5"/>
  <c r="C159" i="5"/>
  <c r="B160" i="5"/>
  <c r="C123" i="5"/>
  <c r="C222" i="5"/>
  <c r="C122" i="5"/>
  <c r="C158" i="5"/>
  <c r="B181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E119" i="8"/>
  <c r="D120" i="8"/>
  <c r="E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C125" i="5" l="1"/>
  <c r="B126" i="5"/>
  <c r="B182" i="5"/>
  <c r="C181" i="5"/>
  <c r="B161" i="5"/>
  <c r="C160" i="5"/>
  <c r="B225" i="5"/>
  <c r="C224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1" i="4"/>
  <c r="B50" i="4"/>
  <c r="B49" i="4"/>
  <c r="B48" i="4"/>
  <c r="B52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127" i="5" l="1"/>
  <c r="C126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225" i="5"/>
  <c r="B226" i="5"/>
  <c r="C161" i="5"/>
  <c r="B162" i="5"/>
  <c r="B183" i="5"/>
  <c r="C182" i="5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C127" i="5" l="1"/>
  <c r="B128" i="5"/>
  <c r="B184" i="5"/>
  <c r="C183" i="5"/>
  <c r="B163" i="5"/>
  <c r="C162" i="5"/>
  <c r="C226" i="5"/>
  <c r="B227" i="5"/>
  <c r="A57" i="5"/>
  <c r="A58" i="5" s="1"/>
  <c r="A5" i="5"/>
  <c r="B129" i="5" l="1"/>
  <c r="C128" i="5"/>
  <c r="C57" i="5"/>
  <c r="B164" i="5"/>
  <c r="C163" i="5"/>
  <c r="B228" i="5"/>
  <c r="C227" i="5"/>
  <c r="B185" i="5"/>
  <c r="C184" i="5"/>
  <c r="C58" i="5"/>
  <c r="A59" i="5"/>
  <c r="A6" i="5"/>
  <c r="C129" i="5" l="1"/>
  <c r="B130" i="5"/>
  <c r="C228" i="5"/>
  <c r="B229" i="5"/>
  <c r="B186" i="5"/>
  <c r="C185" i="5"/>
  <c r="B165" i="5"/>
  <c r="C164" i="5"/>
  <c r="C59" i="5"/>
  <c r="A60" i="5"/>
  <c r="A7" i="5"/>
  <c r="B131" i="5" l="1"/>
  <c r="C130" i="5"/>
  <c r="B230" i="5"/>
  <c r="C229" i="5"/>
  <c r="B166" i="5"/>
  <c r="C165" i="5"/>
  <c r="B187" i="5"/>
  <c r="C186" i="5"/>
  <c r="C60" i="5"/>
  <c r="A61" i="5"/>
  <c r="A8" i="5"/>
  <c r="B132" i="5" l="1"/>
  <c r="C131" i="5"/>
  <c r="B167" i="5"/>
  <c r="C166" i="5"/>
  <c r="B188" i="5"/>
  <c r="C187" i="5"/>
  <c r="C230" i="5"/>
  <c r="B231" i="5"/>
  <c r="A62" i="5"/>
  <c r="C61" i="5"/>
  <c r="A9" i="5"/>
  <c r="C132" i="5" l="1"/>
  <c r="B133" i="5"/>
  <c r="C231" i="5"/>
  <c r="B232" i="5"/>
  <c r="B189" i="5"/>
  <c r="C188" i="5"/>
  <c r="B168" i="5"/>
  <c r="C167" i="5"/>
  <c r="A63" i="5"/>
  <c r="C62" i="5"/>
  <c r="A10" i="5"/>
  <c r="B134" i="5" l="1"/>
  <c r="C133" i="5"/>
  <c r="B190" i="5"/>
  <c r="C189" i="5"/>
  <c r="B233" i="5"/>
  <c r="C232" i="5"/>
  <c r="B169" i="5"/>
  <c r="C168" i="5"/>
  <c r="C63" i="5"/>
  <c r="A64" i="5"/>
  <c r="A11" i="5"/>
  <c r="B135" i="5" l="1"/>
  <c r="C134" i="5"/>
  <c r="C169" i="5"/>
  <c r="B170" i="5"/>
  <c r="C233" i="5"/>
  <c r="B234" i="5"/>
  <c r="C190" i="5"/>
  <c r="B191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B136" i="5" l="1"/>
  <c r="C135" i="5"/>
  <c r="B235" i="5"/>
  <c r="C234" i="5"/>
  <c r="B171" i="5"/>
  <c r="C170" i="5"/>
  <c r="B192" i="5"/>
  <c r="C191" i="5"/>
  <c r="B7" i="5"/>
  <c r="C7" i="5" s="1"/>
  <c r="C6" i="5"/>
  <c r="C5" i="5"/>
  <c r="C65" i="5"/>
  <c r="A66" i="5"/>
  <c r="B8" i="5"/>
  <c r="A30" i="5"/>
  <c r="B137" i="5" l="1"/>
  <c r="C136" i="5"/>
  <c r="B172" i="5"/>
  <c r="C171" i="5"/>
  <c r="B193" i="5"/>
  <c r="C192" i="5"/>
  <c r="B236" i="5"/>
  <c r="C235" i="5"/>
  <c r="C66" i="5"/>
  <c r="A67" i="5"/>
  <c r="C8" i="5"/>
  <c r="B9" i="5"/>
  <c r="A31" i="5"/>
  <c r="C137" i="5" l="1"/>
  <c r="B138" i="5"/>
  <c r="B173" i="5"/>
  <c r="C172" i="5"/>
  <c r="B237" i="5"/>
  <c r="C236" i="5"/>
  <c r="B194" i="5"/>
  <c r="C193" i="5"/>
  <c r="C67" i="5"/>
  <c r="A68" i="5"/>
  <c r="C9" i="5"/>
  <c r="B10" i="5"/>
  <c r="A32" i="5"/>
  <c r="B139" i="5" l="1"/>
  <c r="C138" i="5"/>
  <c r="B238" i="5"/>
  <c r="C237" i="5"/>
  <c r="C194" i="5"/>
  <c r="B195" i="5"/>
  <c r="C173" i="5"/>
  <c r="B174" i="5"/>
  <c r="C68" i="5"/>
  <c r="A69" i="5"/>
  <c r="C10" i="5"/>
  <c r="B11" i="5"/>
  <c r="A33" i="5"/>
  <c r="B140" i="5" l="1"/>
  <c r="C139" i="5"/>
  <c r="B239" i="5"/>
  <c r="C238" i="5"/>
  <c r="C174" i="5"/>
  <c r="B175" i="5"/>
  <c r="B196" i="5"/>
  <c r="C195" i="5"/>
  <c r="A70" i="5"/>
  <c r="C69" i="5"/>
  <c r="C11" i="5"/>
  <c r="B12" i="5"/>
  <c r="A34" i="5"/>
  <c r="B141" i="5" l="1"/>
  <c r="C140" i="5"/>
  <c r="B176" i="5"/>
  <c r="C175" i="5"/>
  <c r="B197" i="5"/>
  <c r="C196" i="5"/>
  <c r="B240" i="5"/>
  <c r="C239" i="5"/>
  <c r="C70" i="5"/>
  <c r="A71" i="5"/>
  <c r="B13" i="5"/>
  <c r="C12" i="5"/>
  <c r="A35" i="5"/>
  <c r="B142" i="5" l="1"/>
  <c r="C141" i="5"/>
  <c r="B241" i="5"/>
  <c r="C240" i="5"/>
  <c r="B198" i="5"/>
  <c r="C197" i="5"/>
  <c r="B177" i="5"/>
  <c r="C177" i="5" s="1"/>
  <c r="C176" i="5"/>
  <c r="C71" i="5"/>
  <c r="A72" i="5"/>
  <c r="B14" i="5"/>
  <c r="C13" i="5"/>
  <c r="A36" i="5"/>
  <c r="B143" i="5" l="1"/>
  <c r="C142" i="5"/>
  <c r="B199" i="5"/>
  <c r="C198" i="5"/>
  <c r="C241" i="5"/>
  <c r="B242" i="5"/>
  <c r="A73" i="5"/>
  <c r="C72" i="5"/>
  <c r="C14" i="5"/>
  <c r="B15" i="5"/>
  <c r="A37" i="5"/>
  <c r="B144" i="5" l="1"/>
  <c r="C143" i="5"/>
  <c r="C199" i="5"/>
  <c r="B200" i="5"/>
  <c r="C242" i="5"/>
  <c r="B243" i="5"/>
  <c r="C73" i="5"/>
  <c r="A74" i="5"/>
  <c r="A75" i="5" s="1"/>
  <c r="B16" i="5"/>
  <c r="C15" i="5"/>
  <c r="A38" i="5"/>
  <c r="B145" i="5" l="1"/>
  <c r="C144" i="5"/>
  <c r="B244" i="5"/>
  <c r="C243" i="5"/>
  <c r="B201" i="5"/>
  <c r="C200" i="5"/>
  <c r="C75" i="5"/>
  <c r="A76" i="5"/>
  <c r="C74" i="5"/>
  <c r="C16" i="5"/>
  <c r="B17" i="5"/>
  <c r="A39" i="5"/>
  <c r="B146" i="5" l="1"/>
  <c r="C145" i="5"/>
  <c r="C201" i="5"/>
  <c r="B202" i="5"/>
  <c r="B245" i="5"/>
  <c r="C244" i="5"/>
  <c r="C76" i="5"/>
  <c r="A77" i="5"/>
  <c r="B18" i="5"/>
  <c r="C17" i="5"/>
  <c r="A40" i="5"/>
  <c r="C146" i="5" l="1"/>
  <c r="B147" i="5"/>
  <c r="C245" i="5"/>
  <c r="B246" i="5"/>
  <c r="C202" i="5"/>
  <c r="B203" i="5"/>
  <c r="C77" i="5"/>
  <c r="A78" i="5"/>
  <c r="A79" i="5" s="1"/>
  <c r="C18" i="5"/>
  <c r="B19" i="5"/>
  <c r="A41" i="5"/>
  <c r="B148" i="5" l="1"/>
  <c r="C147" i="5"/>
  <c r="A80" i="5"/>
  <c r="C79" i="5"/>
  <c r="B204" i="5"/>
  <c r="C203" i="5"/>
  <c r="B247" i="5"/>
  <c r="C246" i="5"/>
  <c r="C78" i="5"/>
  <c r="B20" i="5"/>
  <c r="C19" i="5"/>
  <c r="A42" i="5"/>
  <c r="C148" i="5" l="1"/>
  <c r="B149" i="5"/>
  <c r="A81" i="5"/>
  <c r="C80" i="5"/>
  <c r="C247" i="5"/>
  <c r="B248" i="5"/>
  <c r="B205" i="5"/>
  <c r="C204" i="5"/>
  <c r="B21" i="5"/>
  <c r="C20" i="5"/>
  <c r="A43" i="5"/>
  <c r="C149" i="5" l="1"/>
  <c r="B150" i="5"/>
  <c r="A82" i="5"/>
  <c r="C81" i="5"/>
  <c r="B249" i="5"/>
  <c r="C248" i="5"/>
  <c r="C205" i="5"/>
  <c r="B206" i="5"/>
  <c r="C21" i="5"/>
  <c r="B22" i="5"/>
  <c r="A44" i="5"/>
  <c r="B151" i="5" l="1"/>
  <c r="C150" i="5"/>
  <c r="A83" i="5"/>
  <c r="C82" i="5"/>
  <c r="B207" i="5"/>
  <c r="C206" i="5"/>
  <c r="C249" i="5"/>
  <c r="B250" i="5"/>
  <c r="C22" i="5"/>
  <c r="B23" i="5"/>
  <c r="A45" i="5"/>
  <c r="B152" i="5" l="1"/>
  <c r="C151" i="5"/>
  <c r="A84" i="5"/>
  <c r="C83" i="5"/>
  <c r="B251" i="5"/>
  <c r="C250" i="5"/>
  <c r="C207" i="5"/>
  <c r="B208" i="5"/>
  <c r="C23" i="5"/>
  <c r="B24" i="5"/>
  <c r="A46" i="5"/>
  <c r="C152" i="5" l="1"/>
  <c r="B153" i="5"/>
  <c r="A85" i="5"/>
  <c r="C84" i="5"/>
  <c r="C208" i="5"/>
  <c r="B209" i="5"/>
  <c r="C251" i="5"/>
  <c r="B252" i="5"/>
  <c r="B25" i="5"/>
  <c r="C24" i="5"/>
  <c r="A47" i="5"/>
  <c r="C153" i="5" l="1"/>
  <c r="B154" i="5"/>
  <c r="C85" i="5"/>
  <c r="A86" i="5"/>
  <c r="B210" i="5"/>
  <c r="C209" i="5"/>
  <c r="B253" i="5"/>
  <c r="C252" i="5"/>
  <c r="B26" i="5"/>
  <c r="C26" i="5" s="1"/>
  <c r="C25" i="5"/>
  <c r="A48" i="5"/>
  <c r="B155" i="5" l="1"/>
  <c r="C155" i="5" s="1"/>
  <c r="C154" i="5"/>
  <c r="C86" i="5"/>
  <c r="A87" i="5"/>
  <c r="B254" i="5"/>
  <c r="C253" i="5"/>
  <c r="C210" i="5"/>
  <c r="B211" i="5"/>
  <c r="A49" i="5"/>
  <c r="C87" i="5" l="1"/>
  <c r="A88" i="5"/>
  <c r="C211" i="5"/>
  <c r="B212" i="5"/>
  <c r="B255" i="5"/>
  <c r="C254" i="5"/>
  <c r="A50" i="5"/>
  <c r="A89" i="5" l="1"/>
  <c r="C88" i="5"/>
  <c r="C255" i="5"/>
  <c r="B256" i="5"/>
  <c r="C212" i="5"/>
  <c r="B213" i="5"/>
  <c r="A51" i="5"/>
  <c r="C89" i="5" l="1"/>
  <c r="A90" i="5"/>
  <c r="C213" i="5"/>
  <c r="B214" i="5"/>
  <c r="C256" i="5"/>
  <c r="B257" i="5"/>
  <c r="A52" i="5"/>
  <c r="B29" i="5"/>
  <c r="B30" i="5"/>
  <c r="C30" i="5" s="1"/>
  <c r="C29" i="5"/>
  <c r="A91" i="5" l="1"/>
  <c r="C90" i="5"/>
  <c r="B258" i="5"/>
  <c r="C258" i="5" s="1"/>
  <c r="C257" i="5"/>
  <c r="B215" i="5"/>
  <c r="C214" i="5"/>
  <c r="B31" i="5"/>
  <c r="A92" i="5" l="1"/>
  <c r="C91" i="5"/>
  <c r="B216" i="5"/>
  <c r="C215" i="5"/>
  <c r="C31" i="5"/>
  <c r="B32" i="5"/>
  <c r="A93" i="5" l="1"/>
  <c r="C92" i="5"/>
  <c r="B217" i="5"/>
  <c r="C216" i="5"/>
  <c r="C32" i="5"/>
  <c r="B33" i="5"/>
  <c r="C93" i="5" l="1"/>
  <c r="A94" i="5"/>
  <c r="C217" i="5"/>
  <c r="B218" i="5"/>
  <c r="C33" i="5"/>
  <c r="B34" i="5"/>
  <c r="C94" i="5" l="1"/>
  <c r="A95" i="5"/>
  <c r="B219" i="5"/>
  <c r="C219" i="5" s="1"/>
  <c r="C218" i="5"/>
  <c r="B35" i="5"/>
  <c r="C34" i="5"/>
  <c r="A96" i="5" l="1"/>
  <c r="C95" i="5"/>
  <c r="B36" i="5"/>
  <c r="C35" i="5"/>
  <c r="C96" i="5" l="1"/>
  <c r="A97" i="5"/>
  <c r="B37" i="5"/>
  <c r="C36" i="5"/>
  <c r="C97" i="5" l="1"/>
  <c r="A98" i="5"/>
  <c r="C37" i="5"/>
  <c r="B38" i="5"/>
  <c r="A99" i="5" l="1"/>
  <c r="C98" i="5"/>
  <c r="C38" i="5"/>
  <c r="B39" i="5"/>
  <c r="C99" i="5" l="1"/>
  <c r="A100" i="5"/>
  <c r="B40" i="5"/>
  <c r="C39" i="5"/>
  <c r="A101" i="5" l="1"/>
  <c r="C100" i="5"/>
  <c r="C40" i="5"/>
  <c r="B41" i="5"/>
  <c r="A102" i="5" l="1"/>
  <c r="C101" i="5"/>
  <c r="B42" i="5"/>
  <c r="C41" i="5"/>
  <c r="C102" i="5" l="1"/>
  <c r="A103" i="5"/>
  <c r="C42" i="5"/>
  <c r="B43" i="5"/>
  <c r="C103" i="5" l="1"/>
  <c r="A104" i="5"/>
  <c r="C43" i="5"/>
  <c r="B44" i="5"/>
  <c r="C104" i="5" l="1"/>
  <c r="A105" i="5"/>
  <c r="C44" i="5"/>
  <c r="B45" i="5"/>
  <c r="A106" i="5" l="1"/>
  <c r="C105" i="5"/>
  <c r="C45" i="5"/>
  <c r="B46" i="5"/>
  <c r="C106" i="5" l="1"/>
  <c r="A107" i="5"/>
  <c r="B47" i="5"/>
  <c r="C46" i="5"/>
  <c r="C107" i="5" l="1"/>
  <c r="A108" i="5"/>
  <c r="C47" i="5"/>
  <c r="B48" i="5"/>
  <c r="C108" i="5" l="1"/>
  <c r="A109" i="5"/>
  <c r="C48" i="5"/>
  <c r="B49" i="5"/>
  <c r="A110" i="5" l="1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<sst xmlns="http://schemas.openxmlformats.org/spreadsheetml/2006/main" count="1675" uniqueCount="811">
  <si>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</si>
  <si>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</si>
  <si>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</si>
  <si>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</si>
  <si>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</si>
  <si>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</si>
  <si>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</si>
  <si>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</si>
  <si>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</si>
  <si>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</si>
  <si>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</si>
  <si>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</si>
  <si>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</si>
  <si>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</si>
  <si>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</si>
  <si>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</si>
  <si>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</si>
  <si>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</si>
  <si>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</si>
  <si>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</si>
  <si>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</si>
  <si>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</si>
  <si>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</si>
  <si>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</si>
  <si>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</si>
  <si>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</si>
  <si>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</si>
  <si>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</si>
  <si>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</si>
  <si>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</si>
  <si>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</si>
  <si>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</si>
  <si>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</si>
  <si>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</si>
  <si>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</si>
  <si>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</si>
  <si>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</si>
  <si>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</si>
  <si>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</si>
  <si>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</si>
  <si>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</si>
  <si>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</si>
  <si>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</si>
  <si>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</si>
  <si>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</si>
  <si>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</si>
  <si>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</si>
  <si>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</si>
  <si>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</si>
  <si>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</si>
  <si>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</si>
  <si>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</si>
  <si>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</si>
  <si>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</si>
  <si>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</si>
  <si>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</si>
  <si>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</si>
  <si>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</si>
  <si>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</si>
  <si>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</si>
  <si>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</si>
  <si>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</si>
  <si>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</si>
  <si>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</si>
  <si>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</si>
  <si>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</si>
  <si>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</si>
  <si>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</si>
  <si>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</si>
  <si>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</si>
  <si>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</si>
  <si>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</si>
  <si>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</si>
  <si>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</si>
  <si>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</si>
  <si>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</si>
  <si>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</si>
  <si>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</si>
  <si>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</si>
  <si>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</si>
  <si>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</si>
  <si>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</si>
  <si>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</si>
  <si>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</si>
  <si>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</si>
  <si>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</si>
  <si>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</si>
  <si>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</si>
  <si>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</si>
  <si>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</si>
  <si>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</si>
  <si>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</si>
  <si>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</si>
  <si>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</si>
  <si>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</si>
  <si>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</si>
  <si>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</si>
  <si>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</si>
  <si>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</si>
  <si>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</si>
  <si>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</si>
  <si>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</si>
  <si>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</si>
  <si>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</si>
  <si>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</si>
  <si>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</si>
  <si>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</si>
  <si>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</si>
  <si>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</si>
  <si>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</si>
  <si>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</si>
  <si>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</si>
  <si>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</si>
  <si>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</si>
  <si>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</si>
  <si>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</si>
  <si>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</si>
  <si>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</si>
  <si>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</si>
  <si>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</si>
  <si>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</si>
  <si>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</si>
  <si>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</si>
  <si>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</si>
  <si>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</si>
  <si>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</si>
  <si>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</si>
  <si>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</si>
  <si>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</si>
  <si>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</si>
  <si>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</si>
  <si>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</si>
  <si>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</si>
  <si>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</si>
  <si>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</si>
  <si>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</si>
  <si>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</si>
  <si>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</si>
  <si>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</si>
  <si>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</si>
  <si>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</si>
  <si>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</si>
  <si>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</si>
  <si>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</si>
  <si>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</si>
  <si>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</si>
  <si>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</si>
  <si>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</si>
  <si>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</si>
  <si>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</si>
  <si>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</si>
  <si>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</si>
  <si>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</si>
  <si>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</si>
  <si>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</si>
  <si>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</si>
  <si>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</si>
  <si>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</si>
  <si>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</si>
  <si>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</si>
  <si>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</si>
  <si>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</si>
  <si>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</si>
  <si>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</si>
  <si>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</si>
  <si>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</si>
  <si>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</si>
  <si>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</si>
  <si>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</si>
  <si>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</si>
  <si>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</si>
  <si>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</si>
  <si>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</si>
  <si>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</si>
  <si>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</si>
  <si>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</si>
  <si>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</si>
  <si>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</si>
  <si>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</si>
  <si>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</si>
  <si>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</si>
  <si>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</si>
  <si>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</si>
  <si>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</si>
  <si>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</si>
  <si>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</si>
  <si>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</si>
  <si>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</si>
  <si>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</si>
  <si>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</si>
  <si>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</si>
  <si>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</si>
  <si>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</si>
  <si>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</si>
  <si>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</si>
  <si>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</si>
  <si>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</si>
  <si>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</si>
  <si>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</si>
  <si>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</si>
  <si>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</si>
  <si>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</si>
  <si>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</si>
  <si>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</si>
  <si>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</si>
  <si>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</si>
  <si>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</si>
  <si>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</si>
  <si>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</si>
  <si>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</si>
  <si>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</si>
  <si>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</si>
  <si>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</si>
  <si>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</si>
  <si>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</si>
  <si>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</si>
  <si>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</si>
  <si>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</si>
  <si>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</si>
  <si>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</si>
  <si>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</si>
  <si>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</si>
  <si>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</si>
  <si>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</si>
  <si>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</si>
  <si>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</si>
  <si>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</si>
  <si>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</si>
  <si>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</si>
  <si>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</si>
  <si>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</si>
  <si>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</si>
  <si>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</si>
  <si>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</si>
  <si>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</si>
  <si>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</si>
  <si>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</si>
  <si>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</si>
  <si>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</si>
  <si>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</si>
  <si>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</si>
  <si>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</si>
  <si>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</si>
  <si>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</si>
  <si>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</si>
  <si>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</si>
  <si>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</si>
  <si>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</si>
  <si>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</si>
  <si>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</si>
  <si>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</si>
  <si>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</si>
  <si>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</si>
  <si>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</si>
  <si>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</si>
  <si>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</si>
  <si>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</si>
  <si>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</si>
  <si>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</si>
  <si>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</si>
  <si>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</si>
  <si>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</si>
  <si>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</si>
  <si>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</si>
  <si>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</si>
  <si>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</si>
  <si>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</si>
  <si>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</si>
  <si>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</si>
  <si>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</si>
  <si>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</si>
  <si>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</si>
  <si>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</si>
  <si>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</si>
  <si>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</si>
  <si>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</si>
  <si>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</si>
  <si>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</si>
  <si>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</si>
  <si>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</si>
  <si>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</si>
  <si>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</si>
  <si>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</si>
  <si>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</si>
  <si>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</si>
  <si>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</si>
  <si>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</si>
  <si>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</si>
  <si>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</si>
  <si>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</si>
  <si>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</si>
  <si>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</si>
  <si>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</si>
  <si>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</si>
  <si>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</si>
  <si>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</si>
  <si>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</si>
  <si>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</si>
  <si>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</si>
  <si>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</si>
  <si>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</si>
  <si>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</si>
  <si>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</si>
  <si>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</si>
  <si>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</si>
  <si>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</si>
  <si>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</si>
  <si>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</si>
  <si>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</si>
  <si>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</si>
  <si>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</si>
  <si>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</si>
  <si>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</si>
  <si>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</si>
  <si>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</si>
  <si>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</si>
  <si>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</si>
  <si>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</si>
  <si>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</si>
  <si>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</si>
  <si>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</si>
  <si>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</si>
  <si>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</si>
  <si>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</si>
  <si>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</si>
  <si>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</si>
  <si>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</si>
  <si>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</si>
  <si>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</si>
  <si>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</si>
  <si>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</si>
  <si>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</si>
  <si>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</si>
  <si>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</si>
  <si>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</si>
  <si>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</si>
  <si>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</si>
  <si>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</si>
  <si>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</si>
  <si>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</si>
  <si>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</si>
  <si>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</si>
  <si>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</si>
  <si>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</si>
  <si>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</si>
  <si>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</si>
  <si>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</si>
  <si>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</si>
  <si>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</si>
  <si>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</si>
  <si>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</si>
  <si>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</si>
  <si>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</si>
  <si>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</si>
  <si>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</si>
  <si>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</si>
  <si>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</si>
  <si>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</si>
  <si>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</si>
  <si>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</si>
  <si>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</si>
  <si>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</si>
  <si>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</si>
  <si>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</si>
  <si>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</si>
  <si>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</si>
  <si>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</si>
  <si>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</si>
  <si>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</si>
  <si>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</si>
  <si>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</si>
  <si>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</si>
  <si>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</si>
  <si>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</si>
  <si>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</si>
  <si>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</si>
  <si>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</si>
  <si>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</si>
  <si>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</si>
  <si>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</si>
  <si>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</si>
  <si>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</si>
  <si>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</si>
  <si>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</si>
  <si>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</si>
  <si>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</si>
  <si>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</si>
  <si>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</si>
  <si>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</si>
  <si>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</si>
  <si>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</si>
  <si>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</si>
  <si>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</si>
  <si>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</si>
  <si>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</si>
  <si>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</si>
  <si>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</si>
  <si>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</si>
  <si>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</si>
  <si>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</si>
  <si>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</si>
  <si>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</si>
  <si>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</si>
  <si>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</si>
  <si>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</si>
  <si>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</si>
  <si>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</si>
  <si>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</si>
  <si>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</si>
  <si>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</si>
  <si>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</si>
  <si>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</si>
  <si>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</si>
  <si>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</si>
  <si>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</si>
  <si>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</si>
  <si>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</si>
  <si>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</si>
  <si>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</si>
  <si>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</si>
  <si>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</si>
  <si>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</si>
  <si>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</si>
  <si>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</si>
  <si>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</si>
  <si>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</si>
  <si>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</si>
  <si>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</si>
  <si>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</si>
  <si>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</si>
  <si>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</si>
  <si>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</si>
  <si>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</si>
  <si>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</si>
  <si>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</si>
  <si>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</si>
  <si>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</si>
  <si>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</si>
  <si>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</si>
  <si>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</si>
  <si>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</si>
  <si>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</si>
  <si>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</si>
  <si>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</si>
  <si>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</si>
  <si>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</si>
  <si>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</si>
  <si>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</si>
  <si>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</si>
  <si>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</si>
  <si>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</si>
  <si>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</si>
  <si>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</si>
  <si>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</si>
  <si>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</si>
  <si>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</si>
  <si>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</si>
  <si>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</si>
  <si>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</si>
  <si>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</si>
  <si>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</si>
  <si>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</si>
  <si>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</si>
  <si>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</si>
  <si>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</si>
  <si>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</si>
  <si>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</si>
  <si>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</si>
  <si>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</si>
  <si>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</si>
  <si>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</si>
  <si>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</si>
  <si>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</si>
  <si>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</si>
  <si>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</si>
  <si>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</si>
  <si>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</si>
  <si>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</si>
  <si>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</si>
  <si>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</si>
  <si>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</si>
  <si>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</si>
  <si>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</si>
  <si>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</si>
  <si>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</si>
  <si>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</si>
  <si>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</si>
  <si>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</si>
  <si>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</si>
  <si>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</si>
  <si>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</si>
  <si>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</si>
  <si>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</si>
  <si>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</si>
  <si>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</si>
  <si>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</si>
  <si>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</si>
  <si>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</si>
  <si>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</si>
  <si>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</si>
  <si>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</si>
  <si>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</si>
  <si>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</si>
  <si>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</si>
  <si>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</si>
  <si>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</si>
  <si>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</si>
  <si>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</si>
  <si>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</si>
  <si>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</si>
  <si>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</si>
  <si>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</si>
  <si>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</si>
  <si>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</si>
  <si>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</si>
  <si>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</si>
  <si>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</si>
  <si>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</si>
  <si>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</si>
  <si>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</si>
  <si>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</si>
  <si>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</si>
  <si>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</si>
  <si>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</si>
  <si>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</si>
  <si>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</si>
  <si>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</si>
  <si>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</si>
  <si>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</si>
  <si>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</si>
  <si>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</si>
  <si>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</si>
  <si>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</si>
  <si>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</si>
  <si>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</si>
  <si>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</si>
  <si>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</si>
  <si>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</si>
  <si>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</si>
  <si>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</si>
  <si>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</si>
  <si>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</si>
  <si>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</si>
  <si>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</si>
  <si>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</si>
  <si>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</si>
  <si>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</si>
  <si>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</si>
  <si>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</si>
  <si>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</si>
  <si>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</si>
  <si>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</si>
  <si>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</si>
  <si>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</si>
  <si>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</si>
  <si>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</si>
  <si>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</si>
  <si>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</si>
  <si>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</si>
  <si>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</si>
  <si>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</si>
  <si>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</si>
  <si>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</si>
  <si>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</si>
  <si>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</si>
  <si>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</si>
  <si>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</si>
  <si>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</si>
  <si>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</si>
  <si>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</si>
  <si>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</si>
  <si>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</si>
  <si>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</si>
  <si>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</si>
  <si>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</si>
  <si>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</si>
  <si>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</si>
  <si>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</si>
  <si>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</si>
  <si>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</si>
  <si>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</si>
  <si>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</si>
  <si>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</si>
  <si>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</si>
  <si>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</si>
  <si>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</si>
  <si>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</si>
  <si>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</si>
  <si>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</si>
  <si>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</si>
  <si>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</si>
  <si>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곤란하신 일이 있으신가봅니다, 조공.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</si>
  <si>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</si>
  <si>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</si>
  <si>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</si>
  <si>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</si>
  <si>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</si>
  <si>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</si>
  <si>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</si>
  <si>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</si>
  <si>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</si>
  <si>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</si>
  <si>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</si>
  <si>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흥! 대체 안량이 어떻게..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</si>
  <si>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</si>
  <si>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</si>
  <si>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</si>
  <si>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</si>
  <si>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</si>
  <si>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명공! 조조는 원래 저를 시기하여
명공의 손을 빌려 저를 죽이려는 것입니다.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</si>
  <si>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</si>
  <si>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</si>
  <si>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</si>
  <si>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</si>
  <si>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</si>
  <si>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</si>
  <si>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</si>
  <si>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</si>
  <si>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</si>
  <si>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유비.. 네 놈 때문에 내가 제일 아끼는
장수 두명을 잃었다.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</si>
  <si>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</si>
  <si>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</si>
  <si>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안량, 문추를 잃은 것은 
안타까운..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</si>
  <si>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</si>
  <si>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</si>
  <si>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</si>
  <si>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</si>
  <si>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</si>
  <si>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</si>
  <si>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</si>
  <si>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</si>
  <si>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</si>
  <si>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</si>
  <si>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</si>
  <si>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</si>
  <si>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</si>
  <si>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</si>
  <si>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</si>
  <si>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</si>
  <si>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</si>
  <si>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</si>
  <si>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</si>
  <si>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</si>
  <si>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</si>
  <si>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응? 수염? 현덕공이
말한 자가 저자인가?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</si>
  <si>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</si>
  <si>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</si>
  <si>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</si>
  <si>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주군, 제가 관장군과 함께
급습해 보겠습니다.</t>
    <phoneticPr fontId="1" type="noConversion"/>
  </si>
  <si>
    <t>이보시오, 당신이 관운장이오?
우리 진영에 지금..</t>
    <phoneticPr fontId="1" type="noConversion"/>
  </si>
  <si>
    <t>와주셨군요, 관장군!</t>
    <phoneticPr fontId="1" type="noConversion"/>
  </si>
  <si>
    <t>역시 그대답소ㅋ 좋다!
관공과 장료는 바로 출진하시오!</t>
    <phoneticPr fontId="1" type="noConversion"/>
  </si>
  <si>
    <t>캬캬캬 애꾸놈 우라통 터지는게
여기까지 느껴지는구나ㅋㅋ</t>
    <phoneticPr fontId="1" type="noConversion"/>
  </si>
  <si>
    <t>하하하! 역시 그대는
하늘이 내린 신장이오!</t>
    <phoneticPr fontId="1" type="noConversion"/>
  </si>
  <si>
    <t>안량을 벤 자가 누구더냐!
분명 무슨 암수를 썻을테지!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</si>
  <si>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</si>
  <si>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</si>
  <si>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</si>
  <si>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</si>
  <si>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이이!! 저 자는 분명 관우지 않소!
어떻게 된것이오 현덕공!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</si>
  <si>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</si>
  <si>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</si>
  <si>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으윽..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</si>
  <si>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</si>
  <si>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</si>
  <si>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</si>
  <si>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원소군에 의탁해 있던 현덕공이
원소의 의해 처형당했다 합니다.</t>
    <phoneticPr fontId="1" type="noConversion"/>
  </si>
  <si>
    <t>관공!!</t>
    <phoneticPr fontId="1" type="noConversion"/>
  </si>
  <si>
    <t>어찌 이리 어리석은!</t>
    <phoneticPr fontId="1" type="noConversion"/>
  </si>
  <si>
    <t>조공. 그대에겐 이미 공을 세워
빚을 다 갚았다 생각하오.</t>
    <phoneticPr fontId="1" type="noConversion"/>
  </si>
  <si>
    <t>어찌 그런 소리를 하시는거요?</t>
    <phoneticPr fontId="1" type="noConversion"/>
  </si>
  <si>
    <t>관장군! 말씀이 너무 지나치시오!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</si>
  <si>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</si>
  <si>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</si>
  <si>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</si>
  <si>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</si>
  <si>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</si>
  <si>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</si>
  <si>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</si>
  <si>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</si>
  <si>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</si>
  <si>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</si>
  <si>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>관공과 하늘 앞에
맹세하겠소.</t>
    <phoneticPr fontId="1" type="noConversion"/>
  </si>
  <si>
    <t>조공, 마지막으로 부탁이 있소.
내게 병력을 내어주시오.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</si>
  <si>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</si>
  <si>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</si>
  <si>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</si>
  <si>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과연 대단하십니다, 관장군.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</si>
  <si>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</si>
  <si>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</si>
  <si>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하하하. 역시 관장군이오.
대단하십니다!</t>
    <phoneticPr fontId="1" type="noConversion"/>
  </si>
  <si>
    <t>하하;;</t>
    <phoneticPr fontId="1" type="noConversion"/>
  </si>
  <si>
    <t>장군! 그 자는 군인이 아니오!</t>
    <phoneticPr fontId="1" type="noConversion"/>
  </si>
  <si>
    <t>자..장군.. 어찌하여..</t>
    <phoneticPr fontId="1" type="noConversion"/>
  </si>
  <si>
    <t>어차피 나중에 적이 되어 돌아올테지..</t>
    <phoneticPr fontId="1" type="noConversion"/>
  </si>
  <si>
    <t>왜 그러시오. 서주가 떠올라 흥분되오?
나 역시 그렇군ㅋㅋ</t>
    <phoneticPr fontId="1" type="noConversion"/>
  </si>
  <si>
    <t>장군!!</t>
    <phoneticPr fontId="1" type="noConversion"/>
  </si>
  <si>
    <t>??</t>
    <phoneticPr fontId="1" type="noConversion"/>
  </si>
  <si>
    <t>못봐주겠군ㅋ</t>
    <phoneticPr fontId="1" type="noConversion"/>
  </si>
  <si>
    <t>지금도 상당히 볼만한데,
어디까지 망가지려는게요?ㅋㅋ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</si>
  <si>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</si>
  <si>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</si>
  <si>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</si>
  <si>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아무래도 미움을
단단히 산 모양이군.</t>
    <phoneticPr fontId="1" type="noConversion"/>
  </si>
  <si>
    <t>NODE_29</t>
    <phoneticPr fontId="1" type="noConversion"/>
  </si>
  <si>
    <t>하하하! 수성의 달인이라더니
1년을 못버티는군ㅋㅋ</t>
    <phoneticPr fontId="1" type="noConversion"/>
  </si>
  <si>
    <t>.. - -+</t>
    <phoneticPr fontId="1" type="noConversion"/>
  </si>
  <si>
    <t>ㅋㅋ 언제까지 내탓을 할꺼요?ㅋ
유비가 그렇게 된건 사실은..</t>
    <phoneticPr fontId="1" type="noConversion"/>
  </si>
  <si>
    <t>음? 누구냐!?</t>
    <phoneticPr fontId="1" type="noConversion"/>
  </si>
  <si>
    <t>역시 관장군이오!! 허도로 귀환해서
얼른 술에 취해 버립시다ㅋ</t>
    <phoneticPr fontId="1" type="noConversion"/>
  </si>
  <si>
    <t>안녕하십니까, 관우님.</t>
    <phoneticPr fontId="1" type="noConversion"/>
  </si>
  <si>
    <t>기억해주시는군요.</t>
    <phoneticPr fontId="1" type="noConversion"/>
  </si>
  <si>
    <t>자룡?</t>
    <phoneticPr fontId="1" type="noConversion"/>
  </si>
  <si>
    <t>기척도 없이? 누구지?</t>
    <phoneticPr fontId="1" type="noConversion"/>
  </si>
  <si>
    <t>긴히 드릴 말씀이 있습니다.
시간을 좀 내주시지요.</t>
    <phoneticPr fontId="1" type="noConversion"/>
  </si>
  <si>
    <t>흥! 그대가 그 유명한 창술의 달인,
상산 조자룡이로군.</t>
    <phoneticPr fontId="1" type="noConversion"/>
  </si>
  <si>
    <t>다들 먼저 귀환들 하시오.</t>
    <phoneticPr fontId="1" type="noConversion"/>
  </si>
  <si>
    <t>.. 이보시오, 관장군.</t>
    <phoneticPr fontId="1" type="noConversion"/>
  </si>
  <si>
    <t>형님, 저희 먼저 가십시다.</t>
    <phoneticPr fontId="1" type="noConversion"/>
  </si>
  <si>
    <t>이게 뭐하는 짓인가?</t>
    <phoneticPr fontId="1" type="noConversion"/>
  </si>
  <si>
    <t>.. 어쩐 일인가?</t>
    <phoneticPr fontId="1" type="noConversion"/>
  </si>
  <si>
    <t>그냥 얌전히 목을 내어
주실 순 없으십니까?</t>
    <phoneticPr fontId="1" type="noConversion"/>
  </si>
  <si>
    <t>이대로 가다가는..</t>
    <phoneticPr fontId="1" type="noConversion"/>
  </si>
  <si>
    <t>그냥 지나가 주시게. 자룡.</t>
    <phoneticPr fontId="1" type="noConversion"/>
  </si>
  <si>
    <t>안됩니다.</t>
    <phoneticPr fontId="1" type="noConversion"/>
  </si>
  <si>
    <t>그렇군요. 알겠습니다.
그 때 동안 화기를 잘 다루십시오.</t>
    <phoneticPr fontId="1" type="noConversion"/>
  </si>
  <si>
    <t>나도 알고 있네.</t>
    <phoneticPr fontId="1" type="noConversion"/>
  </si>
  <si>
    <t>그럼 전 이만..</t>
    <phoneticPr fontId="1" type="noConversion"/>
  </si>
  <si>
    <t>장군, 큰일났습니다.
조승상께서 위험하십니다!</t>
    <phoneticPr fontId="1" type="noConversion"/>
  </si>
  <si>
    <t>음? 무슨 일인겐가?</t>
    <phoneticPr fontId="1" type="noConversion"/>
  </si>
  <si>
    <t>지금 허도에 악귀가 나타나
도륙을 내고 있습니다!</t>
    <phoneticPr fontId="1" type="noConversion"/>
  </si>
  <si>
    <t>악귀라고?? 어찌..</t>
    <phoneticPr fontId="1" type="noConversion"/>
  </si>
  <si>
    <t>모두가 공포에 질려 꿈적도 못합니다.
승상을 구할 사람은 장군 밖에 없습니다.</t>
    <phoneticPr fontId="1" type="noConversion"/>
  </si>
  <si>
    <t>.. 앞장 서시게..</t>
    <phoneticPr fontId="1" type="noConversion"/>
  </si>
  <si>
    <t>후훗, 기대가 되는군.</t>
    <phoneticPr fontId="1" type="noConversion"/>
  </si>
  <si>
    <t>아무래도 신선술을 익힌 모양이네만
나의 상대가 될 순 없네.</t>
    <phoneticPr fontId="1" type="noConversion"/>
  </si>
  <si>
    <t>곧 마무리가 될테니..</t>
    <phoneticPr fontId="1" type="noConversion"/>
  </si>
  <si>
    <t>도륙치고는.. 급소는 모두 피해
생명에는 지장이 없지 않은가..</t>
    <phoneticPr fontId="1" type="noConversion"/>
  </si>
  <si>
    <t>잘 지냈느냐, 막내야.</t>
    <phoneticPr fontId="1" type="noConversion"/>
  </si>
  <si>
    <t>ㅎㅎㅎ</t>
    <phoneticPr fontId="1" type="noConversion"/>
  </si>
  <si>
    <t>.. 배불뚝이.. 짐승같은 눈매..
아름답지 못한 턱수염.. 그리고..</t>
    <phoneticPr fontId="1" type="noConversion"/>
  </si>
  <si>
    <t>시끄럽다!! 첫째 형님을 죽음으로 몰고,
역적 조조에게 붙어버린 배신자놈!!</t>
    <phoneticPr fontId="1" type="noConversion"/>
  </si>
  <si>
    <t>ㅋㅋㅋ</t>
    <phoneticPr fontId="1" type="noConversion"/>
  </si>
  <si>
    <t>뭐냐!? 어찌하여 공격을
하지 않는 것이냐!?</t>
    <phoneticPr fontId="1" type="noConversion"/>
  </si>
  <si>
    <t>크읔..ㅋㅋ 무엇을 
망설이는 것이냐?ㅋ</t>
    <phoneticPr fontId="1" type="noConversion"/>
  </si>
  <si>
    <t>3년동안 제삿밥만 먹더니
애꾸놈만도 못해진것이냐?ㅋ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</si>
  <si>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</si>
  <si>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</si>
  <si>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</si>
  <si>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흑흑.. 형님ㅜㅜ</t>
    <phoneticPr fontId="1" type="noConversion"/>
  </si>
  <si>
    <t>백성들에게는 그런 신의 존재가 필요하다.
그러니 네가..</t>
    <phoneticPr fontId="1" type="noConversion"/>
  </si>
  <si>
    <t>하하.. 잡았다..</t>
    <phoneticPr fontId="1" type="noConversion"/>
  </si>
  <si>
    <t>내가 이 악귀의 심장을 뚫었다!!</t>
    <phoneticPr fontId="1" type="noConversion"/>
  </si>
  <si>
    <t>크윽.. 형님..</t>
    <phoneticPr fontId="1" type="noConversion"/>
  </si>
  <si>
    <t>.. 막내야??</t>
    <phoneticPr fontId="1" type="noConversion"/>
  </si>
  <si>
    <t>이..이런!!</t>
    <phoneticPr fontId="1" type="noConversion"/>
  </si>
  <si>
    <t>이제 이 세계는 끝이야.. 으으..</t>
    <phoneticPr fontId="1" type="noConversion"/>
  </si>
  <si>
    <t>아으.. 바쁘다 바빠!!</t>
    <phoneticPr fontId="1" type="noConversion"/>
  </si>
  <si>
    <t>신선이 되자마자
무르게 생겼네..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</si>
  <si>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</si>
  <si>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</si>
  <si>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</si>
  <si>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</si>
  <si>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뭐야!! 어떻게 알아챈 거냐!!</t>
    <phoneticPr fontId="1" type="noConversion"/>
  </si>
  <si>
    <t>역시 난 똑똑해 캬캬캬..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</si>
  <si>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</si>
  <si>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</si>
  <si>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</si>
  <si>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</si>
  <si>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</si>
  <si>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</si>
  <si>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</si>
  <si>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</si>
  <si>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"진정 무신은 아수라가 되려하는가"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</si>
  <si>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</si>
  <si>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</si>
  <si>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</si>
  <si>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</si>
  <si>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</si>
  <si>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</si>
  <si>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</si>
  <si>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</si>
  <si>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나와 한 번 자웅을..</t>
    <phoneticPr fontId="1" type="noConversion"/>
  </si>
  <si>
    <t>네 놈의 목을 쳐그들의
원한을 풀어주겠다.</t>
    <phoneticPr fontId="1" type="noConversion"/>
  </si>
  <si>
    <t>가서 안량과 문추에게
안부나 전해주시게. 에잇!</t>
    <phoneticPr fontId="1" type="noConversion"/>
  </si>
  <si>
    <t>나를 도와 한왕실을 부흥을 시키고,
천하를 안정토록 하면 될 것 아니오?</t>
  </si>
  <si>
    <t>조공, 그대에게 한왕실은
그저 도구일 뿐이지 않소.</t>
  </si>
  <si>
    <t>만약 한왕실의 녹을 받으면서
한치라도 그런 마음을 먹는다면
천벌을 받아 마땅할 것이오!!</t>
  </si>
  <si>
    <t>조공.. 그대는 진심으로 한왕실을 위하고,
백성을 먼저 생각하는 길을 갈 수 있겠소?</t>
  </si>
  <si>
    <t>한왕실의 재건을 위해 그대들을 
맞이하는 것이니 그런 소리 마시오.</t>
  </si>
  <si>
    <t>악귀가 되려는겐가?
흥! 아직은 때가 아님을 감사히 여기쇼.</t>
    <phoneticPr fontId="1" type="noConversion"/>
  </si>
  <si>
    <t>관우님도 느끼시고 있으실 겁니다.
악귀의 기운을..</t>
    <phoneticPr fontId="1" type="noConversion"/>
  </si>
  <si>
    <t>어서 오거라, 안귀놈.
피 냄새가 진동을 하는군.</t>
    <phoneticPr fontId="1" type="noConversion"/>
  </si>
  <si>
    <t>조조를 죽인다고 하니 달려오는군.
내가 네놈을 찾으러 다닐 필요가 없지ㅋ</t>
    <phoneticPr fontId="1" type="noConversion"/>
  </si>
  <si>
    <t>잘 지내긴!! 3년상을 치르느라
내가 얼마나.. 응?</t>
    <phoneticPr fontId="1" type="noConversion"/>
  </si>
  <si>
    <t>큭.. 이제 마지막인데,
끝까지 반말이냐, 막내야?ㅋ</t>
    <phoneticPr fontId="1" type="noConversion"/>
  </si>
  <si>
    <t>난 형님을 죽이고 천하를
공포로 떨어트린 악귀..</t>
    <phoneticPr fontId="1" type="noConversion"/>
  </si>
  <si>
    <t>너는.. 그 악귀를 물리친
영웅이 되거라ㅋ</t>
    <phoneticPr fontId="1" type="noConversion"/>
  </si>
  <si>
    <t>형님이 이루고자 했던 세상에서
너는 백성들이 기댈 수 있는 무결의
신이 되어야 하느니라.</t>
    <phoneticPr fontId="1" type="noConversion"/>
  </si>
  <si>
    <t>크..큰일났다!!
악귀가 현생으로 소환된다</t>
    <phoneticPr fontId="1" type="noConversion"/>
  </si>
  <si>
    <t>자 그럼, 다음에 또 보자고~</t>
    <phoneticPr fontId="1" type="noConversion"/>
  </si>
  <si>
    <t>일단 악귀가 소환되는
것은 막아야지..</t>
    <phoneticPr fontId="1" type="noConversion"/>
  </si>
  <si>
    <t>그대는 그대의 일을 하시오.</t>
    <phoneticPr fontId="1" type="noConversion"/>
  </si>
  <si>
    <t>유비 형님이 안계신 이상
한왕실의 운명도 여기까지요.</t>
    <phoneticPr fontId="1" type="noConversion"/>
  </si>
  <si>
    <t>.. 저기..</t>
    <phoneticPr fontId="1" type="noConversion"/>
  </si>
  <si>
    <t xml:space="preserve"> - -+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</si>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</sst>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opLeftCell="A40" workbookViewId="0">
      <selection activeCell="D58" sqref="D5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1:4" x14ac:dyDescent="0.3">
      <c r="B33" t="s">
        <v>61</v>
      </c>
      <c r="C33" s="3" t="s">
        <v>62</v>
      </c>
    </row>
    <row r="34" spans="1:4" x14ac:dyDescent="0.3">
      <c r="B34" t="s">
        <v>151</v>
      </c>
      <c r="C34" t="s">
        <v>77</v>
      </c>
    </row>
    <row r="35" spans="1:4" x14ac:dyDescent="0.3">
      <c r="B35" t="s">
        <v>74</v>
      </c>
      <c r="C35" t="s">
        <v>75</v>
      </c>
    </row>
    <row r="36" spans="1:4" x14ac:dyDescent="0.3">
      <c r="B36" t="s">
        <v>150</v>
      </c>
      <c r="C36" t="s">
        <v>79</v>
      </c>
    </row>
    <row r="37" spans="1:4" x14ac:dyDescent="0.3">
      <c r="B37" t="s">
        <v>80</v>
      </c>
      <c r="C37" t="s">
        <v>76</v>
      </c>
    </row>
    <row r="38" spans="1:4" x14ac:dyDescent="0.3">
      <c r="B38" t="s">
        <v>152</v>
      </c>
      <c r="C38" t="s">
        <v>78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164</v>
      </c>
      <c r="C40" t="s">
        <v>165</v>
      </c>
    </row>
    <row r="41" spans="1:4" x14ac:dyDescent="0.3">
      <c r="B41" t="s">
        <v>267</v>
      </c>
      <c r="C41" t="s">
        <v>263</v>
      </c>
    </row>
    <row r="42" spans="1:4" x14ac:dyDescent="0.3">
      <c r="B42" t="s">
        <v>265</v>
      </c>
      <c r="C42" t="s">
        <v>261</v>
      </c>
    </row>
    <row r="43" spans="1:4" x14ac:dyDescent="0.3">
      <c r="B43" t="s">
        <v>264</v>
      </c>
      <c r="C43" t="s">
        <v>260</v>
      </c>
    </row>
    <row r="44" spans="1:4" x14ac:dyDescent="0.3">
      <c r="B44" t="s">
        <v>266</v>
      </c>
      <c r="C44" t="s">
        <v>262</v>
      </c>
    </row>
    <row r="45" spans="1:4" x14ac:dyDescent="0.3">
      <c r="B45" t="s">
        <v>163</v>
      </c>
      <c r="C45" t="s">
        <v>159</v>
      </c>
    </row>
    <row r="46" spans="1:4" x14ac:dyDescent="0.3">
      <c r="B46" t="s">
        <v>161</v>
      </c>
      <c r="C46" t="s">
        <v>158</v>
      </c>
    </row>
    <row r="47" spans="1:4" x14ac:dyDescent="0.3">
      <c r="B47" t="s">
        <v>162</v>
      </c>
      <c r="C47" t="s">
        <v>160</v>
      </c>
    </row>
    <row r="48" spans="1:4" x14ac:dyDescent="0.3">
      <c r="A48" t="s">
        <v>543</v>
      </c>
      <c r="B48" t="str">
        <f>"SORTTYPE_"&amp;A48</f>
        <v>SORTTYPE_CLASS</v>
      </c>
      <c r="C48" t="s">
        <v>548</v>
      </c>
    </row>
    <row r="49" spans="1:4" x14ac:dyDescent="0.3">
      <c r="A49" t="s">
        <v>544</v>
      </c>
      <c r="B49" t="str">
        <f>"SORTTYPE_"&amp;A49</f>
        <v>SORTTYPE_GRADE</v>
      </c>
      <c r="C49" t="s">
        <v>549</v>
      </c>
    </row>
    <row r="50" spans="1:4" x14ac:dyDescent="0.3">
      <c r="A50" t="s">
        <v>545</v>
      </c>
      <c r="B50" t="str">
        <f>"SORTTYPE_"&amp;A50</f>
        <v>SORTTYPE_LEVEL</v>
      </c>
      <c r="C50" t="s">
        <v>550</v>
      </c>
    </row>
    <row r="51" spans="1:4" x14ac:dyDescent="0.3">
      <c r="A51" t="s">
        <v>546</v>
      </c>
      <c r="B51" t="str">
        <f>"SORTTYPE_"&amp;A51</f>
        <v>SORTTYPE_POWER</v>
      </c>
      <c r="C51" t="s">
        <v>551</v>
      </c>
    </row>
    <row r="52" spans="1:4" x14ac:dyDescent="0.3">
      <c r="A52" t="s">
        <v>542</v>
      </c>
      <c r="B52" t="str">
        <f>"SORTTYPE_"&amp;A52</f>
        <v>SORTTYPE_REGION</v>
      </c>
      <c r="C52" t="s">
        <v>547</v>
      </c>
    </row>
    <row r="53" spans="1:4" x14ac:dyDescent="0.3">
      <c r="B53" t="s">
        <v>552</v>
      </c>
      <c r="C53" t="s">
        <v>368</v>
      </c>
    </row>
    <row r="54" spans="1:4" x14ac:dyDescent="0.3">
      <c r="B54" t="s">
        <v>520</v>
      </c>
      <c r="C54" t="s">
        <v>529</v>
      </c>
    </row>
    <row r="55" spans="1:4" x14ac:dyDescent="0.3">
      <c r="B55" t="s">
        <v>516</v>
      </c>
      <c r="C55" t="s">
        <v>523</v>
      </c>
    </row>
    <row r="56" spans="1:4" x14ac:dyDescent="0.3">
      <c r="B56" t="s">
        <v>521</v>
      </c>
      <c r="C56" t="s">
        <v>528</v>
      </c>
    </row>
    <row r="57" spans="1:4" x14ac:dyDescent="0.3">
      <c r="B57" t="s">
        <v>517</v>
      </c>
      <c r="C57" t="s">
        <v>524</v>
      </c>
    </row>
    <row r="58" spans="1:4" x14ac:dyDescent="0.3">
      <c r="B58" t="s">
        <v>519</v>
      </c>
      <c r="C58" t="s">
        <v>526</v>
      </c>
    </row>
    <row r="59" spans="1:4" x14ac:dyDescent="0.3">
      <c r="B59" t="s">
        <v>515</v>
      </c>
      <c r="C59" t="s">
        <v>553</v>
      </c>
    </row>
    <row r="60" spans="1:4" x14ac:dyDescent="0.3">
      <c r="B60" t="s">
        <v>522</v>
      </c>
      <c r="C60" t="s">
        <v>527</v>
      </c>
    </row>
    <row r="61" spans="1:4" x14ac:dyDescent="0.3">
      <c r="B61" t="s">
        <v>518</v>
      </c>
      <c r="C61" t="s">
        <v>525</v>
      </c>
    </row>
    <row r="62" spans="1:4" x14ac:dyDescent="0.3">
      <c r="B62" t="s">
        <v>286</v>
      </c>
      <c r="C62" t="s">
        <v>292</v>
      </c>
      <c r="D62" t="s">
        <v>299</v>
      </c>
    </row>
    <row r="63" spans="1:4" x14ac:dyDescent="0.3">
      <c r="B63" t="s">
        <v>282</v>
      </c>
      <c r="C63" t="s">
        <v>281</v>
      </c>
      <c r="D63" t="s">
        <v>295</v>
      </c>
    </row>
    <row r="64" spans="1:4" x14ac:dyDescent="0.3">
      <c r="B64" t="s">
        <v>287</v>
      </c>
      <c r="C64" t="s">
        <v>293</v>
      </c>
      <c r="D64" t="s">
        <v>300</v>
      </c>
    </row>
    <row r="65" spans="2:4" x14ac:dyDescent="0.3">
      <c r="B65" t="s">
        <v>288</v>
      </c>
      <c r="C65" t="s">
        <v>294</v>
      </c>
      <c r="D65" t="s">
        <v>301</v>
      </c>
    </row>
    <row r="66" spans="2:4" x14ac:dyDescent="0.3">
      <c r="B66" t="s">
        <v>285</v>
      </c>
      <c r="C66" t="s">
        <v>291</v>
      </c>
      <c r="D66" t="s">
        <v>298</v>
      </c>
    </row>
    <row r="67" spans="2:4" x14ac:dyDescent="0.3">
      <c r="B67" t="s">
        <v>283</v>
      </c>
      <c r="C67" t="s">
        <v>289</v>
      </c>
      <c r="D67" t="s">
        <v>296</v>
      </c>
    </row>
    <row r="68" spans="2:4" x14ac:dyDescent="0.3">
      <c r="B68" t="s">
        <v>284</v>
      </c>
      <c r="C68" t="s">
        <v>290</v>
      </c>
      <c r="D68" t="s">
        <v>297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2"/>
  <sheetViews>
    <sheetView topLeftCell="A82" workbookViewId="0">
      <selection activeCell="D105" sqref="D105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 x14ac:dyDescent="0.3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 x14ac:dyDescent="0.3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 x14ac:dyDescent="0.3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 x14ac:dyDescent="0.3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 x14ac:dyDescent="0.3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 x14ac:dyDescent="0.3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 x14ac:dyDescent="0.3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 x14ac:dyDescent="0.3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 x14ac:dyDescent="0.3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 x14ac:dyDescent="0.3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 x14ac:dyDescent="0.3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 x14ac:dyDescent="0.3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 x14ac:dyDescent="0.3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 x14ac:dyDescent="0.3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 x14ac:dyDescent="0.3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 x14ac:dyDescent="0.3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 x14ac:dyDescent="0.3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 x14ac:dyDescent="0.3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 x14ac:dyDescent="0.3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626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601</v>
      </c>
      <c r="F87" s="38"/>
    </row>
    <row r="88" spans="1:6" x14ac:dyDescent="0.3">
      <c r="A88" s="27" t="s">
        <v>451</v>
      </c>
      <c r="B88" s="27" t="s">
        <v>627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 x14ac:dyDescent="0.3">
      <c r="A89" s="27" t="s">
        <v>451</v>
      </c>
      <c r="B89" s="27" t="s">
        <v>628</v>
      </c>
      <c r="C89" s="27" t="s">
        <v>449</v>
      </c>
      <c r="D89" s="27" t="str">
        <f t="shared" si="2"/>
        <v>NAME_ETC_WENCHOU</v>
      </c>
      <c r="E89" s="27" t="s">
        <v>600</v>
      </c>
      <c r="F89" s="38"/>
    </row>
    <row r="90" spans="1:6" x14ac:dyDescent="0.3">
      <c r="A90" s="27" t="s">
        <v>451</v>
      </c>
      <c r="B90" s="27" t="s">
        <v>630</v>
      </c>
      <c r="C90" s="27" t="s">
        <v>449</v>
      </c>
      <c r="D90" s="27" t="str">
        <f t="shared" si="2"/>
        <v>NAME_ETC_SONGXIAN</v>
      </c>
      <c r="E90" s="27" t="s">
        <v>629</v>
      </c>
      <c r="F90" s="38"/>
    </row>
    <row r="91" spans="1:6" x14ac:dyDescent="0.3">
      <c r="A91" s="27" t="s">
        <v>451</v>
      </c>
      <c r="B91" s="27" t="s">
        <v>632</v>
      </c>
      <c r="C91" s="27" t="s">
        <v>449</v>
      </c>
      <c r="D91" s="27" t="str">
        <f t="shared" si="2"/>
        <v>NAME_ETC_WEIXU</v>
      </c>
      <c r="E91" s="27" t="s">
        <v>631</v>
      </c>
      <c r="F91" s="38"/>
    </row>
    <row r="92" spans="1:6" x14ac:dyDescent="0.3">
      <c r="A92" s="27" t="s">
        <v>451</v>
      </c>
      <c r="B92" s="27" t="s">
        <v>634</v>
      </c>
      <c r="C92" s="27" t="s">
        <v>447</v>
      </c>
      <c r="D92" s="27" t="str">
        <f t="shared" si="2"/>
        <v>NAME_WEI_XUHUANG</v>
      </c>
      <c r="E92" s="27" t="s">
        <v>633</v>
      </c>
      <c r="F92" s="38"/>
    </row>
    <row r="93" spans="1:6" x14ac:dyDescent="0.3">
      <c r="A93" s="27" t="s">
        <v>451</v>
      </c>
      <c r="B93" s="27" t="s">
        <v>775</v>
      </c>
      <c r="C93" s="27" t="s">
        <v>449</v>
      </c>
      <c r="D93" s="27" t="str">
        <f t="shared" si="2"/>
        <v>NAME_ETC_FANJIANG</v>
      </c>
      <c r="E93" s="38" t="s">
        <v>761</v>
      </c>
      <c r="F93" s="38"/>
    </row>
    <row r="94" spans="1:6" x14ac:dyDescent="0.3">
      <c r="A94" s="27" t="s">
        <v>451</v>
      </c>
      <c r="B94" s="27" t="s">
        <v>776</v>
      </c>
      <c r="C94" s="27" t="s">
        <v>449</v>
      </c>
      <c r="D94" s="27" t="str">
        <f t="shared" si="2"/>
        <v>NAME_ETC_ZHANGDA</v>
      </c>
      <c r="E94" s="38" t="s">
        <v>762</v>
      </c>
      <c r="F94" s="38"/>
    </row>
    <row r="95" spans="1:6" x14ac:dyDescent="0.3">
      <c r="A95" s="27" t="s">
        <v>479</v>
      </c>
      <c r="B95" s="27" t="s">
        <v>626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635</v>
      </c>
      <c r="F95" s="38"/>
    </row>
    <row r="96" spans="1:6" x14ac:dyDescent="0.3">
      <c r="A96" s="27" t="s">
        <v>479</v>
      </c>
      <c r="B96" s="27" t="s">
        <v>627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479</v>
      </c>
      <c r="B97" s="27" t="s">
        <v>628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479</v>
      </c>
      <c r="B98" s="27" t="s">
        <v>634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626</v>
      </c>
      <c r="C99" s="27" t="s">
        <v>449</v>
      </c>
      <c r="D99" s="27" t="str">
        <f t="shared" si="2"/>
        <v>DESC_TALK_ETC_YUANSHAO</v>
      </c>
      <c r="E99" s="38" t="s">
        <v>636</v>
      </c>
      <c r="F99" s="38"/>
    </row>
    <row r="100" spans="1:6" ht="33" x14ac:dyDescent="0.3">
      <c r="A100" s="27" t="s">
        <v>464</v>
      </c>
      <c r="B100" s="27" t="s">
        <v>627</v>
      </c>
      <c r="C100" s="27" t="s">
        <v>449</v>
      </c>
      <c r="D100" s="27" t="str">
        <f t="shared" si="2"/>
        <v>DESC_TALK_ETC_YANLIANG</v>
      </c>
      <c r="E100" s="38" t="s">
        <v>637</v>
      </c>
      <c r="F100" s="38"/>
    </row>
    <row r="101" spans="1:6" ht="33" x14ac:dyDescent="0.3">
      <c r="A101" s="27" t="s">
        <v>464</v>
      </c>
      <c r="B101" s="27" t="s">
        <v>628</v>
      </c>
      <c r="C101" s="27" t="s">
        <v>449</v>
      </c>
      <c r="D101" s="27" t="str">
        <f t="shared" si="2"/>
        <v>DESC_TALK_ETC_WENCHOU</v>
      </c>
      <c r="E101" s="38" t="s">
        <v>638</v>
      </c>
      <c r="F101" s="38"/>
    </row>
    <row r="102" spans="1:6" ht="33" x14ac:dyDescent="0.3">
      <c r="A102" s="27" t="s">
        <v>464</v>
      </c>
      <c r="B102" s="27" t="s">
        <v>634</v>
      </c>
      <c r="C102" s="27" t="s">
        <v>447</v>
      </c>
      <c r="D102" s="27" t="str">
        <f t="shared" si="2"/>
        <v>DESC_TALK_WEI_XUHUANG</v>
      </c>
      <c r="E102" s="38" t="s">
        <v>639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topLeftCell="A25" workbookViewId="0">
      <selection activeCell="B26" sqref="B26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58"/>
  <sheetViews>
    <sheetView tabSelected="1" topLeftCell="A112" workbookViewId="0">
      <selection activeCell="A122" sqref="A12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624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625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677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789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665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 x14ac:dyDescent="0.3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595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641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661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678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642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643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646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591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592</v>
      </c>
      <c r="G64" s="3" t="s">
        <v>650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592</v>
      </c>
      <c r="G65" s="3" t="s">
        <v>648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593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647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594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645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651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652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644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592</v>
      </c>
      <c r="G73" s="3" t="s">
        <v>660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649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595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592</v>
      </c>
      <c r="G76" s="3" t="s">
        <v>664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653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596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640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597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598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592</v>
      </c>
      <c r="G82" s="3" t="s">
        <v>599</v>
      </c>
    </row>
    <row r="83" spans="1:7" ht="33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600</v>
      </c>
      <c r="G83" s="3" t="s">
        <v>654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598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655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601</v>
      </c>
      <c r="G86" s="3" t="s">
        <v>602</v>
      </c>
    </row>
    <row r="87" spans="1:7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600</v>
      </c>
      <c r="G87" s="3" t="s">
        <v>603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600</v>
      </c>
      <c r="G88" s="3" t="s">
        <v>604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600</v>
      </c>
      <c r="G89" s="3" t="s">
        <v>605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598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600</v>
      </c>
      <c r="G91" s="3" t="s">
        <v>778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600</v>
      </c>
      <c r="G92" s="3" t="s">
        <v>606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607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600</v>
      </c>
      <c r="G94" s="3" t="s">
        <v>608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601</v>
      </c>
      <c r="G95" s="3" t="s">
        <v>659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609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601</v>
      </c>
      <c r="G97" s="3" t="s">
        <v>610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611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612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613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658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657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601</v>
      </c>
      <c r="G103" s="3" t="s">
        <v>598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656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614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601</v>
      </c>
      <c r="G106" s="3" t="s">
        <v>615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601</v>
      </c>
      <c r="G107" s="3" t="s">
        <v>616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617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601</v>
      </c>
      <c r="G109" s="3" t="s">
        <v>598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618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601</v>
      </c>
      <c r="G111" s="3" t="s">
        <v>619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620</v>
      </c>
    </row>
    <row r="113" spans="1:7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601</v>
      </c>
      <c r="G113" s="3" t="s">
        <v>621</v>
      </c>
    </row>
    <row r="114" spans="1:7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622</v>
      </c>
    </row>
    <row r="115" spans="1:7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601</v>
      </c>
      <c r="G115" s="3" t="s">
        <v>783</v>
      </c>
    </row>
    <row r="116" spans="1:7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623</v>
      </c>
    </row>
    <row r="117" spans="1:7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601</v>
      </c>
      <c r="G117" s="3" t="s">
        <v>784</v>
      </c>
    </row>
    <row r="118" spans="1:7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779</v>
      </c>
    </row>
    <row r="119" spans="1:7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663</v>
      </c>
    </row>
    <row r="121" spans="1:7" x14ac:dyDescent="0.3">
      <c r="A121" t="s">
        <v>681</v>
      </c>
      <c r="B121">
        <v>0</v>
      </c>
      <c r="C121" t="str">
        <f t="shared" ref="C121:C129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780</v>
      </c>
    </row>
    <row r="122" spans="1:7" ht="33" x14ac:dyDescent="0.3">
      <c r="A122" t="s">
        <v>681</v>
      </c>
      <c r="B122">
        <f t="shared" ref="B122:B155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592</v>
      </c>
      <c r="G122" s="3" t="s">
        <v>666</v>
      </c>
    </row>
    <row r="123" spans="1:7" ht="33" x14ac:dyDescent="0.3">
      <c r="A123" t="s">
        <v>681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777</v>
      </c>
    </row>
    <row r="124" spans="1:7" x14ac:dyDescent="0.3">
      <c r="A124" t="s">
        <v>681</v>
      </c>
      <c r="B124">
        <f t="shared" si="13"/>
        <v>3</v>
      </c>
      <c r="C124" t="str">
        <f t="shared" ref="C124:C15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809</v>
      </c>
    </row>
    <row r="125" spans="1:7" ht="33" x14ac:dyDescent="0.3">
      <c r="A125" t="s">
        <v>681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810</v>
      </c>
    </row>
    <row r="126" spans="1:7" x14ac:dyDescent="0.3">
      <c r="A126" t="s">
        <v>681</v>
      </c>
      <c r="B126">
        <f t="shared" si="13"/>
        <v>5</v>
      </c>
      <c r="C126" t="str">
        <f t="shared" si="14"/>
        <v>NODE_27_5</v>
      </c>
      <c r="E126" t="str">
        <f>VLOOKUP(F126,[1]HeroData!$A$3:$B$118,2, FALSE)</f>
        <v>CaoCao</v>
      </c>
      <c r="F126" t="s">
        <v>51</v>
      </c>
      <c r="G126" s="3" t="s">
        <v>667</v>
      </c>
    </row>
    <row r="127" spans="1:7" x14ac:dyDescent="0.3">
      <c r="A127" t="s">
        <v>681</v>
      </c>
      <c r="B127">
        <f t="shared" si="13"/>
        <v>6</v>
      </c>
      <c r="C127" t="str">
        <f t="shared" si="14"/>
        <v>NODE_27_6</v>
      </c>
      <c r="E127" t="str">
        <f>VLOOKUP(F127,[1]HeroData!$A$3:$B$118,2, FALSE)</f>
        <v>CaoCao</v>
      </c>
      <c r="F127" t="s">
        <v>51</v>
      </c>
      <c r="G127" s="3" t="s">
        <v>668</v>
      </c>
    </row>
    <row r="128" spans="1:7" ht="33" x14ac:dyDescent="0.3">
      <c r="A128" t="s">
        <v>681</v>
      </c>
      <c r="B128">
        <f t="shared" si="13"/>
        <v>7</v>
      </c>
      <c r="C128" t="str">
        <f t="shared" si="14"/>
        <v>NODE_27_7</v>
      </c>
      <c r="E128" t="str">
        <f>VLOOKUP(F128,[1]HeroData!$A$3:$B$118,2, FALSE)</f>
        <v>GuanYu</v>
      </c>
      <c r="F128" t="s">
        <v>7</v>
      </c>
      <c r="G128" s="3" t="s">
        <v>669</v>
      </c>
    </row>
    <row r="129" spans="1:7" x14ac:dyDescent="0.3">
      <c r="A129" t="s">
        <v>681</v>
      </c>
      <c r="B129">
        <f t="shared" si="13"/>
        <v>8</v>
      </c>
      <c r="C129" t="str">
        <f t="shared" si="14"/>
        <v>NODE_27_8</v>
      </c>
      <c r="E129" t="str">
        <f>VLOOKUP(F129,[1]HeroData!$A$3:$B$118,2, FALSE)</f>
        <v>GuanYu</v>
      </c>
      <c r="F129" t="s">
        <v>7</v>
      </c>
      <c r="G129" s="3" t="s">
        <v>802</v>
      </c>
    </row>
    <row r="130" spans="1:7" x14ac:dyDescent="0.3">
      <c r="A130" t="s">
        <v>681</v>
      </c>
      <c r="B130">
        <f t="shared" si="13"/>
        <v>9</v>
      </c>
      <c r="C130" t="str">
        <f t="shared" si="14"/>
        <v>NODE_27_9</v>
      </c>
      <c r="E130" t="str">
        <f>VLOOKUP(F130,[1]HeroData!$A$3:$B$118,2, FALSE)</f>
        <v>CaoCao</v>
      </c>
      <c r="F130" t="s">
        <v>51</v>
      </c>
      <c r="G130" s="3" t="s">
        <v>670</v>
      </c>
    </row>
    <row r="131" spans="1:7" ht="33" x14ac:dyDescent="0.3">
      <c r="A131" t="s">
        <v>681</v>
      </c>
      <c r="B131">
        <f t="shared" si="13"/>
        <v>10</v>
      </c>
      <c r="C131" t="str">
        <f t="shared" si="14"/>
        <v>NODE_27_10</v>
      </c>
      <c r="E131" t="str">
        <f>VLOOKUP(F131,[1]HeroData!$A$3:$B$118,2, FALSE)</f>
        <v>GuanYu</v>
      </c>
      <c r="F131" t="s">
        <v>7</v>
      </c>
      <c r="G131" s="3" t="s">
        <v>803</v>
      </c>
    </row>
    <row r="132" spans="1:7" ht="33" x14ac:dyDescent="0.3">
      <c r="A132" t="s">
        <v>681</v>
      </c>
      <c r="B132">
        <f t="shared" si="13"/>
        <v>11</v>
      </c>
      <c r="C132" t="str">
        <f t="shared" si="14"/>
        <v>NODE_27_11</v>
      </c>
      <c r="E132" t="str">
        <f>VLOOKUP(F132,[1]HeroData!$A$3:$B$118,2, FALSE)</f>
        <v>CaoCao</v>
      </c>
      <c r="F132" t="s">
        <v>51</v>
      </c>
      <c r="G132" s="3" t="s">
        <v>785</v>
      </c>
    </row>
    <row r="133" spans="1:7" ht="33" x14ac:dyDescent="0.3">
      <c r="A133" t="s">
        <v>681</v>
      </c>
      <c r="B133">
        <f t="shared" si="13"/>
        <v>12</v>
      </c>
      <c r="C133" t="str">
        <f t="shared" si="14"/>
        <v>NODE_27_12</v>
      </c>
      <c r="E133" t="str">
        <f>VLOOKUP(F133,[1]HeroData!$A$3:$B$118,2, FALSE)</f>
        <v>GuanYu</v>
      </c>
      <c r="F133" t="s">
        <v>7</v>
      </c>
      <c r="G133" s="3" t="s">
        <v>786</v>
      </c>
    </row>
    <row r="134" spans="1:7" x14ac:dyDescent="0.3">
      <c r="A134" t="s">
        <v>681</v>
      </c>
      <c r="B134">
        <f t="shared" si="13"/>
        <v>13</v>
      </c>
      <c r="C134" t="str">
        <f t="shared" si="14"/>
        <v>NODE_27_13</v>
      </c>
      <c r="E134" t="str">
        <f>VLOOKUP(F134,[1]HeroData!$A$3:$B$118,2, FALSE)</f>
        <v>CaoCao</v>
      </c>
      <c r="F134" t="s">
        <v>51</v>
      </c>
      <c r="G134" s="3" t="s">
        <v>673</v>
      </c>
    </row>
    <row r="135" spans="1:7" x14ac:dyDescent="0.3">
      <c r="A135" t="s">
        <v>681</v>
      </c>
      <c r="B135">
        <f t="shared" si="13"/>
        <v>14</v>
      </c>
      <c r="C135" t="str">
        <f t="shared" si="14"/>
        <v>NODE_27_14</v>
      </c>
      <c r="E135" t="str">
        <f>VLOOKUP(F135,[1]HeroData!$A$3:$B$118,2, FALSE)</f>
        <v>XunYu</v>
      </c>
      <c r="F135" t="s">
        <v>672</v>
      </c>
      <c r="G135" s="3" t="s">
        <v>671</v>
      </c>
    </row>
    <row r="136" spans="1:7" ht="33" x14ac:dyDescent="0.3">
      <c r="A136" t="s">
        <v>681</v>
      </c>
      <c r="B136">
        <f t="shared" si="13"/>
        <v>15</v>
      </c>
      <c r="C136" t="str">
        <f t="shared" si="14"/>
        <v>NODE_27_15</v>
      </c>
      <c r="E136" t="str">
        <f>VLOOKUP(F136,[1]HeroData!$A$3:$B$118,2, FALSE)</f>
        <v>XunYu</v>
      </c>
      <c r="F136" t="s">
        <v>672</v>
      </c>
      <c r="G136" s="3" t="s">
        <v>781</v>
      </c>
    </row>
    <row r="137" spans="1:7" x14ac:dyDescent="0.3">
      <c r="A137" t="s">
        <v>681</v>
      </c>
      <c r="B137">
        <f t="shared" si="13"/>
        <v>16</v>
      </c>
      <c r="C137" t="str">
        <f t="shared" si="14"/>
        <v>NODE_27_16</v>
      </c>
      <c r="E137" t="str">
        <f>VLOOKUP(F137,[1]HeroData!$A$3:$B$118,2, FALSE)</f>
        <v>CaoCao</v>
      </c>
      <c r="F137" t="s">
        <v>51</v>
      </c>
      <c r="G137" s="3" t="s">
        <v>804</v>
      </c>
    </row>
    <row r="138" spans="1:7" ht="49.5" x14ac:dyDescent="0.3">
      <c r="A138" t="s">
        <v>681</v>
      </c>
      <c r="B138">
        <f t="shared" si="13"/>
        <v>17</v>
      </c>
      <c r="C138" t="str">
        <f t="shared" si="14"/>
        <v>NODE_27_17</v>
      </c>
      <c r="E138" t="str">
        <f>VLOOKUP(F138,[1]HeroData!$A$3:$B$118,2, FALSE)</f>
        <v>XunYu</v>
      </c>
      <c r="F138" t="s">
        <v>672</v>
      </c>
      <c r="G138" s="3" t="s">
        <v>787</v>
      </c>
    </row>
    <row r="139" spans="1:7" x14ac:dyDescent="0.3">
      <c r="A139" t="s">
        <v>681</v>
      </c>
      <c r="B139">
        <f t="shared" si="13"/>
        <v>18</v>
      </c>
      <c r="C139" t="str">
        <f t="shared" si="14"/>
        <v>NODE_27_18</v>
      </c>
      <c r="E139" t="str">
        <f>VLOOKUP(F139,[1]HeroData!$A$3:$B$118,2, FALSE)</f>
        <v>XunYu</v>
      </c>
      <c r="F139" t="s">
        <v>672</v>
      </c>
      <c r="G139" s="3" t="s">
        <v>674</v>
      </c>
    </row>
    <row r="140" spans="1:7" x14ac:dyDescent="0.3">
      <c r="A140" t="s">
        <v>681</v>
      </c>
      <c r="B140">
        <f t="shared" si="13"/>
        <v>19</v>
      </c>
      <c r="C140" t="str">
        <f t="shared" si="14"/>
        <v>NODE_27_19</v>
      </c>
      <c r="E140" t="str">
        <f>VLOOKUP(F140,[1]HeroData!$A$3:$B$118,2, FALSE)</f>
        <v>CaoCao</v>
      </c>
      <c r="F140" t="s">
        <v>51</v>
      </c>
      <c r="G140" s="3" t="s">
        <v>805</v>
      </c>
    </row>
    <row r="141" spans="1:7" x14ac:dyDescent="0.3">
      <c r="A141" t="s">
        <v>681</v>
      </c>
      <c r="B141">
        <f t="shared" si="13"/>
        <v>20</v>
      </c>
      <c r="C141" t="str">
        <f t="shared" si="14"/>
        <v>NODE_27_20</v>
      </c>
      <c r="E141" t="str">
        <f>VLOOKUP(F141,[1]HeroData!$A$3:$B$118,2, FALSE)</f>
        <v>XunYu</v>
      </c>
      <c r="F141" t="s">
        <v>672</v>
      </c>
      <c r="G141" s="3" t="s">
        <v>806</v>
      </c>
    </row>
    <row r="142" spans="1:7" ht="33" x14ac:dyDescent="0.3">
      <c r="A142" t="s">
        <v>681</v>
      </c>
      <c r="B142">
        <f t="shared" si="13"/>
        <v>21</v>
      </c>
      <c r="C142" t="str">
        <f t="shared" si="14"/>
        <v>NODE_27_21</v>
      </c>
      <c r="E142" t="str">
        <f>VLOOKUP(F142,[1]HeroData!$A$3:$B$118,2, FALSE)</f>
        <v>CaoCao</v>
      </c>
      <c r="F142" t="s">
        <v>51</v>
      </c>
      <c r="G142" s="3" t="s">
        <v>676</v>
      </c>
    </row>
    <row r="143" spans="1:7" x14ac:dyDescent="0.3">
      <c r="A143" t="s">
        <v>681</v>
      </c>
      <c r="B143">
        <f t="shared" si="13"/>
        <v>22</v>
      </c>
      <c r="C143" t="str">
        <f t="shared" si="14"/>
        <v>NODE_27_22</v>
      </c>
      <c r="E143" t="str">
        <f>VLOOKUP(F143,[1]HeroData!$A$3:$B$118,2, FALSE)</f>
        <v>GuanYu</v>
      </c>
      <c r="F143" t="s">
        <v>7</v>
      </c>
      <c r="G143" s="3" t="s">
        <v>598</v>
      </c>
    </row>
    <row r="144" spans="1:7" ht="33" x14ac:dyDescent="0.3">
      <c r="A144" t="s">
        <v>681</v>
      </c>
      <c r="B144">
        <f t="shared" si="13"/>
        <v>23</v>
      </c>
      <c r="C144" t="str">
        <f t="shared" si="14"/>
        <v>NODE_27_23</v>
      </c>
      <c r="E144" t="str">
        <f>VLOOKUP(F144,[1]HeroData!$A$3:$B$118,2, FALSE)</f>
        <v>CaoCao</v>
      </c>
      <c r="F144" t="s">
        <v>51</v>
      </c>
      <c r="G144" s="3" t="s">
        <v>675</v>
      </c>
    </row>
    <row r="145" spans="1:7" ht="33" x14ac:dyDescent="0.3">
      <c r="A145" t="s">
        <v>681</v>
      </c>
      <c r="B145">
        <f t="shared" si="13"/>
        <v>24</v>
      </c>
      <c r="C145" t="str">
        <f t="shared" si="14"/>
        <v>NODE_27_24</v>
      </c>
      <c r="E145" t="str">
        <f>VLOOKUP(F145,[1]HeroData!$A$3:$B$118,2, FALSE)</f>
        <v>GuanYu</v>
      </c>
      <c r="F145" t="s">
        <v>7</v>
      </c>
      <c r="G145" s="3" t="s">
        <v>788</v>
      </c>
    </row>
    <row r="146" spans="1:7" x14ac:dyDescent="0.3">
      <c r="A146" t="s">
        <v>681</v>
      </c>
      <c r="B146">
        <f t="shared" si="13"/>
        <v>25</v>
      </c>
      <c r="C146" t="str">
        <f t="shared" si="14"/>
        <v>NODE_27_25</v>
      </c>
      <c r="E146" t="str">
        <f>VLOOKUP(F146,[1]HeroData!$A$3:$B$118,2, FALSE)</f>
        <v>CaoCao</v>
      </c>
      <c r="F146" t="s">
        <v>51</v>
      </c>
      <c r="G146" s="3" t="s">
        <v>673</v>
      </c>
    </row>
    <row r="147" spans="1:7" ht="33" x14ac:dyDescent="0.3">
      <c r="A147" t="s">
        <v>681</v>
      </c>
      <c r="B147">
        <f t="shared" si="13"/>
        <v>26</v>
      </c>
      <c r="C147" t="str">
        <f t="shared" si="14"/>
        <v>NODE_27_26</v>
      </c>
      <c r="E147" t="str">
        <f>VLOOKUP(F147,[1]HeroData!$A$3:$B$118,2, FALSE)</f>
        <v>GuanYu</v>
      </c>
      <c r="F147" t="s">
        <v>7</v>
      </c>
      <c r="G147" s="3" t="s">
        <v>679</v>
      </c>
    </row>
    <row r="148" spans="1:7" ht="33" x14ac:dyDescent="0.3">
      <c r="A148" t="s">
        <v>681</v>
      </c>
      <c r="B148">
        <f t="shared" si="13"/>
        <v>27</v>
      </c>
      <c r="C148" t="str">
        <f t="shared" si="14"/>
        <v>NODE_27_27</v>
      </c>
      <c r="E148" t="str">
        <f>VLOOKUP(F148,[1]HeroData!$A$3:$B$118,2, FALSE)</f>
        <v>GuanYu</v>
      </c>
      <c r="F148" t="s">
        <v>7</v>
      </c>
      <c r="G148" s="3" t="s">
        <v>680</v>
      </c>
    </row>
    <row r="149" spans="1:7" ht="33" x14ac:dyDescent="0.3">
      <c r="A149" t="s">
        <v>681</v>
      </c>
      <c r="B149">
        <f t="shared" si="13"/>
        <v>28</v>
      </c>
      <c r="C149" t="str">
        <f t="shared" si="14"/>
        <v>NODE_27_28</v>
      </c>
      <c r="E149" t="str">
        <f>VLOOKUP(F149,[1]HeroData!$A$3:$B$118,2, FALSE)</f>
        <v>CaoCao</v>
      </c>
      <c r="F149" t="s">
        <v>51</v>
      </c>
      <c r="G149" s="3" t="s">
        <v>682</v>
      </c>
    </row>
    <row r="150" spans="1:7" x14ac:dyDescent="0.3">
      <c r="A150" t="s">
        <v>681</v>
      </c>
      <c r="B150">
        <f t="shared" si="13"/>
        <v>29</v>
      </c>
      <c r="C150" t="str">
        <f t="shared" si="14"/>
        <v>NODE_27_29</v>
      </c>
      <c r="E150" t="str">
        <f>VLOOKUP(F150,[1]HeroData!$A$3:$B$118,2, FALSE)</f>
        <v>XunYu</v>
      </c>
      <c r="F150" t="s">
        <v>672</v>
      </c>
      <c r="G150" s="3" t="s">
        <v>807</v>
      </c>
    </row>
    <row r="151" spans="1:7" ht="33" x14ac:dyDescent="0.3">
      <c r="A151" t="s">
        <v>681</v>
      </c>
      <c r="B151">
        <f t="shared" si="13"/>
        <v>30</v>
      </c>
      <c r="C151" t="str">
        <f t="shared" si="14"/>
        <v>NODE_27_30</v>
      </c>
      <c r="E151" t="str">
        <f>VLOOKUP(F151,[1]HeroData!$A$3:$B$118,2, FALSE)</f>
        <v>GuanYu</v>
      </c>
      <c r="F151" t="s">
        <v>7</v>
      </c>
      <c r="G151" s="3" t="s">
        <v>683</v>
      </c>
    </row>
    <row r="152" spans="1:7" x14ac:dyDescent="0.3">
      <c r="A152" t="s">
        <v>681</v>
      </c>
      <c r="B152">
        <f t="shared" si="13"/>
        <v>31</v>
      </c>
      <c r="C152" t="str">
        <f t="shared" si="14"/>
        <v>NODE_27_31</v>
      </c>
      <c r="E152" t="str">
        <f>VLOOKUP(F152,[1]HeroData!$A$3:$B$118,2, FALSE)</f>
        <v>CaoCao</v>
      </c>
      <c r="F152" t="s">
        <v>51</v>
      </c>
      <c r="G152" s="3" t="s">
        <v>684</v>
      </c>
    </row>
    <row r="153" spans="1:7" ht="33" x14ac:dyDescent="0.3">
      <c r="A153" t="s">
        <v>681</v>
      </c>
      <c r="B153">
        <f t="shared" si="13"/>
        <v>32</v>
      </c>
      <c r="C153" t="str">
        <f t="shared" si="14"/>
        <v>NODE_27_32</v>
      </c>
      <c r="E153" t="str">
        <f>VLOOKUP(F153,[1]HeroData!$A$3:$B$118,2, FALSE)</f>
        <v>GuanYu</v>
      </c>
      <c r="F153" t="s">
        <v>7</v>
      </c>
      <c r="G153" s="3" t="s">
        <v>808</v>
      </c>
    </row>
    <row r="154" spans="1:7" x14ac:dyDescent="0.3">
      <c r="A154" t="s">
        <v>681</v>
      </c>
      <c r="B154">
        <f t="shared" si="13"/>
        <v>33</v>
      </c>
      <c r="C154" t="str">
        <f t="shared" si="14"/>
        <v>NODE_27_33</v>
      </c>
      <c r="E154" t="str">
        <f>VLOOKUP(F154,[1]HeroData!$A$3:$B$118,2, FALSE)</f>
        <v>ZhangLiao</v>
      </c>
      <c r="F154" t="s">
        <v>592</v>
      </c>
      <c r="G154" s="3" t="s">
        <v>685</v>
      </c>
    </row>
    <row r="155" spans="1:7" x14ac:dyDescent="0.3">
      <c r="A155" t="s">
        <v>681</v>
      </c>
      <c r="B155">
        <f t="shared" si="13"/>
        <v>34</v>
      </c>
      <c r="C155" t="str">
        <f t="shared" si="14"/>
        <v>NODE_27_34</v>
      </c>
      <c r="E155" t="str">
        <f>VLOOKUP(F155,[1]HeroData!$A$3:$B$118,2, FALSE)</f>
        <v>CaoCao</v>
      </c>
      <c r="F155" t="s">
        <v>51</v>
      </c>
      <c r="G155" s="3" t="s">
        <v>686</v>
      </c>
    </row>
    <row r="157" spans="1:7" x14ac:dyDescent="0.3">
      <c r="A157" t="s">
        <v>701</v>
      </c>
      <c r="B157">
        <v>0</v>
      </c>
      <c r="C157" t="str">
        <f>CONCATENATE(A157, "_", B157, IF(D157&lt;&gt;"", "_"&amp;D157, ""))</f>
        <v>NODE_28_0</v>
      </c>
      <c r="E157" t="str">
        <f>VLOOKUP(F157,[1]HeroData!$A$3:$B$118,2, FALSE)</f>
        <v>ZhangLiao</v>
      </c>
      <c r="F157" t="s">
        <v>592</v>
      </c>
      <c r="G157" s="3" t="s">
        <v>687</v>
      </c>
    </row>
    <row r="158" spans="1:7" ht="33" x14ac:dyDescent="0.3">
      <c r="A158" t="s">
        <v>701</v>
      </c>
      <c r="B158">
        <f t="shared" ref="B158:B177" si="15">B157+1</f>
        <v>1</v>
      </c>
      <c r="C158" t="str">
        <f>CONCATENATE(A158, "_", B158, IF(D158&lt;&gt;"", "_"&amp;D158, ""))</f>
        <v>NODE_28_1</v>
      </c>
      <c r="E158" t="str">
        <f>VLOOKUP(F158,[1]HeroData!$A$3:$B$118,2, FALSE)</f>
        <v>ZhangLiao</v>
      </c>
      <c r="F158" t="s">
        <v>592</v>
      </c>
      <c r="G158" s="3" t="s">
        <v>688</v>
      </c>
    </row>
    <row r="159" spans="1:7" ht="33" x14ac:dyDescent="0.3">
      <c r="A159" t="s">
        <v>701</v>
      </c>
      <c r="B159">
        <f t="shared" si="15"/>
        <v>2</v>
      </c>
      <c r="C159" t="str">
        <f t="shared" ref="C159:C173" si="16">CONCATENATE(A159, "_", B159, IF(D159&lt;&gt;"", "_"&amp;D159, ""))</f>
        <v>NODE_28_2</v>
      </c>
      <c r="E159" t="str">
        <f>VLOOKUP(F159,[1]HeroData!$A$3:$B$118,2, FALSE)</f>
        <v>GuanYu</v>
      </c>
      <c r="F159" t="s">
        <v>7</v>
      </c>
      <c r="G159" s="3" t="s">
        <v>689</v>
      </c>
    </row>
    <row r="160" spans="1:7" ht="33" x14ac:dyDescent="0.3">
      <c r="A160" t="s">
        <v>701</v>
      </c>
      <c r="B160">
        <f t="shared" si="15"/>
        <v>3</v>
      </c>
      <c r="C160" t="str">
        <f t="shared" si="16"/>
        <v>NODE_28_3</v>
      </c>
      <c r="E160" t="str">
        <f>VLOOKUP(F160,[1]HeroData!$A$3:$B$118,2, FALSE)</f>
        <v>XiahouDun</v>
      </c>
      <c r="F160" t="s">
        <v>406</v>
      </c>
      <c r="G160" s="3" t="s">
        <v>690</v>
      </c>
    </row>
    <row r="161" spans="1:7" x14ac:dyDescent="0.3">
      <c r="A161" t="s">
        <v>701</v>
      </c>
      <c r="B161">
        <f t="shared" si="15"/>
        <v>4</v>
      </c>
      <c r="C161" t="str">
        <f t="shared" si="16"/>
        <v>NODE_28_4</v>
      </c>
      <c r="E161" t="str">
        <f>VLOOKUP(F161,[1]HeroData!$A$3:$B$118,2, FALSE)</f>
        <v>GuanYu</v>
      </c>
      <c r="F161" t="s">
        <v>7</v>
      </c>
      <c r="G161" s="3" t="s">
        <v>598</v>
      </c>
    </row>
    <row r="162" spans="1:7" x14ac:dyDescent="0.3">
      <c r="A162" t="s">
        <v>701</v>
      </c>
      <c r="B162">
        <f t="shared" si="15"/>
        <v>5</v>
      </c>
      <c r="C162" t="str">
        <f t="shared" si="16"/>
        <v>NODE_28_5</v>
      </c>
      <c r="E162" t="str">
        <f>VLOOKUP(F162,[1]HeroData!$A$3:$B$118,2, FALSE)</f>
        <v>XiahouDun</v>
      </c>
      <c r="F162" t="s">
        <v>406</v>
      </c>
      <c r="G162" s="3" t="s">
        <v>691</v>
      </c>
    </row>
    <row r="163" spans="1:7" ht="33" x14ac:dyDescent="0.3">
      <c r="A163" t="s">
        <v>701</v>
      </c>
      <c r="B163">
        <f t="shared" si="15"/>
        <v>6</v>
      </c>
      <c r="C163" t="str">
        <f t="shared" si="16"/>
        <v>NODE_28_6</v>
      </c>
      <c r="E163" t="str">
        <f>VLOOKUP(F163,[1]HeroData!$A$3:$B$118,2, FALSE)</f>
        <v>XiahouYuan</v>
      </c>
      <c r="F163" t="s">
        <v>407</v>
      </c>
      <c r="G163" s="3" t="s">
        <v>703</v>
      </c>
    </row>
    <row r="164" spans="1:7" ht="33" x14ac:dyDescent="0.3">
      <c r="A164" t="s">
        <v>701</v>
      </c>
      <c r="B164">
        <f t="shared" si="15"/>
        <v>7</v>
      </c>
      <c r="C164" t="str">
        <f t="shared" si="16"/>
        <v>NODE_28_7</v>
      </c>
      <c r="E164" t="str">
        <f>VLOOKUP(F164,[1]HeroData!$A$3:$B$118,2, FALSE)</f>
        <v>GuanYu</v>
      </c>
      <c r="F164" t="s">
        <v>7</v>
      </c>
      <c r="G164" s="3" t="s">
        <v>702</v>
      </c>
    </row>
    <row r="165" spans="1:7" x14ac:dyDescent="0.3">
      <c r="A165" t="s">
        <v>701</v>
      </c>
      <c r="B165">
        <f t="shared" si="15"/>
        <v>8</v>
      </c>
      <c r="C165" t="str">
        <f t="shared" si="16"/>
        <v>NODE_28_8</v>
      </c>
      <c r="E165" t="str">
        <f>VLOOKUP(F165,[1]HeroData!$A$3:$B$118,2, FALSE)</f>
        <v>ZhangLiao</v>
      </c>
      <c r="F165" t="s">
        <v>592</v>
      </c>
      <c r="G165" s="3" t="s">
        <v>692</v>
      </c>
    </row>
    <row r="166" spans="1:7" x14ac:dyDescent="0.3">
      <c r="A166" t="s">
        <v>701</v>
      </c>
      <c r="B166">
        <f t="shared" si="15"/>
        <v>9</v>
      </c>
      <c r="C166" t="str">
        <f t="shared" si="16"/>
        <v>NODE_28_9</v>
      </c>
      <c r="E166" t="str">
        <f>VLOOKUP(F166,[1]HeroData!$A$3:$B$118,2, FALSE)</f>
        <v>ZhangLiao</v>
      </c>
      <c r="F166" t="s">
        <v>592</v>
      </c>
      <c r="G166" s="3" t="s">
        <v>693</v>
      </c>
    </row>
    <row r="167" spans="1:7" x14ac:dyDescent="0.3">
      <c r="A167" t="s">
        <v>701</v>
      </c>
      <c r="B167">
        <f t="shared" si="15"/>
        <v>10</v>
      </c>
      <c r="C167" t="str">
        <f t="shared" si="16"/>
        <v>NODE_28_10</v>
      </c>
      <c r="E167" t="str">
        <f>VLOOKUP(F167,[1]HeroData!$A$3:$B$118,2, FALSE)</f>
        <v>GuanYu</v>
      </c>
      <c r="F167" t="s">
        <v>7</v>
      </c>
      <c r="G167" s="3" t="s">
        <v>694</v>
      </c>
    </row>
    <row r="168" spans="1:7" x14ac:dyDescent="0.3">
      <c r="A168" t="s">
        <v>701</v>
      </c>
      <c r="B168">
        <f t="shared" si="15"/>
        <v>11</v>
      </c>
      <c r="C168" t="str">
        <f t="shared" si="16"/>
        <v>NODE_28_11</v>
      </c>
      <c r="E168" t="str">
        <f>VLOOKUP(F168,[1]HeroData!$A$3:$B$118,2, FALSE)</f>
        <v>XiahouDun</v>
      </c>
      <c r="F168" t="s">
        <v>406</v>
      </c>
      <c r="G168" s="3" t="s">
        <v>598</v>
      </c>
    </row>
    <row r="169" spans="1:7" ht="33" x14ac:dyDescent="0.3">
      <c r="A169" t="s">
        <v>701</v>
      </c>
      <c r="B169">
        <f t="shared" si="15"/>
        <v>12</v>
      </c>
      <c r="C169" t="str">
        <f t="shared" si="16"/>
        <v>NODE_28_12</v>
      </c>
      <c r="E169" t="str">
        <f>VLOOKUP(F169,[1]HeroData!$A$3:$B$118,2, FALSE)</f>
        <v>GuanYu</v>
      </c>
      <c r="F169" t="s">
        <v>7</v>
      </c>
      <c r="G169" s="3" t="s">
        <v>695</v>
      </c>
    </row>
    <row r="170" spans="1:7" x14ac:dyDescent="0.3">
      <c r="A170" t="s">
        <v>701</v>
      </c>
      <c r="B170">
        <f t="shared" si="15"/>
        <v>13</v>
      </c>
      <c r="C170" t="str">
        <f t="shared" si="16"/>
        <v>NODE_28_13</v>
      </c>
      <c r="E170" t="str">
        <f>VLOOKUP(F170,[1]HeroData!$A$3:$B$118,2, FALSE)</f>
        <v>ZhangLiao</v>
      </c>
      <c r="F170" t="s">
        <v>592</v>
      </c>
      <c r="G170" s="3" t="s">
        <v>696</v>
      </c>
    </row>
    <row r="171" spans="1:7" x14ac:dyDescent="0.3">
      <c r="A171" t="s">
        <v>701</v>
      </c>
      <c r="B171">
        <f t="shared" si="15"/>
        <v>14</v>
      </c>
      <c r="C171" t="str">
        <f t="shared" si="16"/>
        <v>NODE_28_14</v>
      </c>
      <c r="E171" t="str">
        <f>VLOOKUP(F171,[1]HeroData!$A$3:$B$118,2, FALSE)</f>
        <v>GuanYu</v>
      </c>
      <c r="F171" t="s">
        <v>7</v>
      </c>
      <c r="G171" s="3" t="s">
        <v>414</v>
      </c>
    </row>
    <row r="172" spans="1:7" x14ac:dyDescent="0.3">
      <c r="A172" t="s">
        <v>701</v>
      </c>
      <c r="B172">
        <f t="shared" si="15"/>
        <v>15</v>
      </c>
      <c r="C172" t="str">
        <f t="shared" si="16"/>
        <v>NODE_28_15</v>
      </c>
      <c r="E172" t="s">
        <v>697</v>
      </c>
      <c r="F172" t="s">
        <v>697</v>
      </c>
      <c r="G172" s="3" t="s">
        <v>698</v>
      </c>
    </row>
    <row r="173" spans="1:7" x14ac:dyDescent="0.3">
      <c r="A173" t="s">
        <v>701</v>
      </c>
      <c r="B173">
        <f t="shared" si="15"/>
        <v>16</v>
      </c>
      <c r="C173" t="str">
        <f t="shared" si="16"/>
        <v>NODE_28_16</v>
      </c>
      <c r="E173" t="str">
        <f>VLOOKUP(F173,[1]HeroData!$A$3:$B$118,2, FALSE)</f>
        <v>GuanYu</v>
      </c>
      <c r="F173" t="s">
        <v>7</v>
      </c>
      <c r="G173" s="3" t="s">
        <v>595</v>
      </c>
    </row>
    <row r="174" spans="1:7" ht="33" x14ac:dyDescent="0.3">
      <c r="A174" t="s">
        <v>701</v>
      </c>
      <c r="B174">
        <f t="shared" si="15"/>
        <v>17</v>
      </c>
      <c r="C174" t="str">
        <f t="shared" ref="C174:C177" si="17">CONCATENATE(A174, "_", B174, IF(D174&lt;&gt;"", "_"&amp;D174, ""))</f>
        <v>NODE_28_17</v>
      </c>
      <c r="E174" t="s">
        <v>697</v>
      </c>
      <c r="F174" t="s">
        <v>697</v>
      </c>
      <c r="G174" s="3" t="s">
        <v>699</v>
      </c>
    </row>
    <row r="175" spans="1:7" x14ac:dyDescent="0.3">
      <c r="A175" t="s">
        <v>701</v>
      </c>
      <c r="B175">
        <f t="shared" si="15"/>
        <v>18</v>
      </c>
      <c r="C175" t="str">
        <f t="shared" si="17"/>
        <v>NODE_28_18</v>
      </c>
      <c r="E175" t="str">
        <f>VLOOKUP(F175,[1]HeroData!$A$3:$B$118,2, FALSE)</f>
        <v>XiahouDun</v>
      </c>
      <c r="F175" t="s">
        <v>406</v>
      </c>
      <c r="G175" s="3" t="s">
        <v>700</v>
      </c>
    </row>
    <row r="176" spans="1:7" ht="33" x14ac:dyDescent="0.3">
      <c r="A176" t="s">
        <v>701</v>
      </c>
      <c r="B176">
        <f t="shared" si="15"/>
        <v>19</v>
      </c>
      <c r="C176" t="str">
        <f t="shared" si="17"/>
        <v>NODE_28_19</v>
      </c>
      <c r="E176" t="s">
        <v>697</v>
      </c>
      <c r="F176" t="s">
        <v>697</v>
      </c>
      <c r="G176" s="3" t="s">
        <v>790</v>
      </c>
    </row>
    <row r="177" spans="1:7" x14ac:dyDescent="0.3">
      <c r="A177" t="s">
        <v>701</v>
      </c>
      <c r="B177">
        <f t="shared" si="15"/>
        <v>20</v>
      </c>
      <c r="C177" t="str">
        <f t="shared" si="17"/>
        <v>NODE_28_20</v>
      </c>
      <c r="E177" t="str">
        <f>VLOOKUP(F177,[1]HeroData!$A$3:$B$118,2, FALSE)</f>
        <v>GuanYu</v>
      </c>
      <c r="F177" t="s">
        <v>7</v>
      </c>
      <c r="G177" s="3" t="s">
        <v>598</v>
      </c>
    </row>
    <row r="179" spans="1:7" x14ac:dyDescent="0.3">
      <c r="A179" t="s">
        <v>704</v>
      </c>
      <c r="B179">
        <v>0</v>
      </c>
      <c r="C179" t="str">
        <f t="shared" ref="C179:C180" si="18">CONCATENATE(A179, "_", B179, IF(D179&lt;&gt;"", "_"&amp;D179, ""))</f>
        <v>NODE_29_0</v>
      </c>
      <c r="E179" t="str">
        <f>VLOOKUP(F179,[1]HeroData!$A$3:$B$118,2, FALSE)</f>
        <v>ZhangLiao</v>
      </c>
      <c r="F179" t="s">
        <v>592</v>
      </c>
      <c r="G179" s="3" t="s">
        <v>687</v>
      </c>
    </row>
    <row r="180" spans="1:7" ht="33" x14ac:dyDescent="0.3">
      <c r="A180" t="s">
        <v>704</v>
      </c>
      <c r="B180">
        <f>B179+1</f>
        <v>1</v>
      </c>
      <c r="C180" t="str">
        <f t="shared" si="18"/>
        <v>NODE_29_1</v>
      </c>
      <c r="E180" t="str">
        <f>VLOOKUP(F180,[1]HeroData!$A$3:$B$118,2, FALSE)</f>
        <v>XiahouDun</v>
      </c>
      <c r="F180" t="s">
        <v>406</v>
      </c>
      <c r="G180" s="3" t="s">
        <v>705</v>
      </c>
    </row>
    <row r="181" spans="1:7" ht="33" x14ac:dyDescent="0.3">
      <c r="A181" t="s">
        <v>704</v>
      </c>
      <c r="B181">
        <f t="shared" ref="B181:B219" si="19">B180+1</f>
        <v>2</v>
      </c>
      <c r="C181" t="str">
        <f t="shared" ref="C181:C219" si="20">CONCATENATE(A181, "_", B181, IF(D181&lt;&gt;"", "_"&amp;D181, ""))</f>
        <v>NODE_29_2</v>
      </c>
      <c r="E181" t="str">
        <f>VLOOKUP(F181,[1]HeroData!$A$3:$B$118,2, FALSE)</f>
        <v>XiahouDun</v>
      </c>
      <c r="F181" t="s">
        <v>406</v>
      </c>
      <c r="G181" s="3" t="s">
        <v>709</v>
      </c>
    </row>
    <row r="182" spans="1:7" x14ac:dyDescent="0.3">
      <c r="A182" t="s">
        <v>704</v>
      </c>
      <c r="B182">
        <f t="shared" si="19"/>
        <v>3</v>
      </c>
      <c r="C182" t="str">
        <f t="shared" si="20"/>
        <v>NODE_29_3</v>
      </c>
      <c r="E182" t="str">
        <f>VLOOKUP(F182,[1]HeroData!$A$3:$B$118,2, FALSE)</f>
        <v>GuanYu</v>
      </c>
      <c r="F182" t="s">
        <v>7</v>
      </c>
      <c r="G182" s="3" t="s">
        <v>706</v>
      </c>
    </row>
    <row r="183" spans="1:7" ht="33" x14ac:dyDescent="0.3">
      <c r="A183" t="s">
        <v>704</v>
      </c>
      <c r="B183">
        <f t="shared" si="19"/>
        <v>4</v>
      </c>
      <c r="C183" t="str">
        <f t="shared" si="20"/>
        <v>NODE_29_4</v>
      </c>
      <c r="E183" t="str">
        <f>VLOOKUP(F183,[1]HeroData!$A$3:$B$118,2, FALSE)</f>
        <v>XiahouDun</v>
      </c>
      <c r="F183" t="s">
        <v>406</v>
      </c>
      <c r="G183" s="3" t="s">
        <v>707</v>
      </c>
    </row>
    <row r="184" spans="1:7" x14ac:dyDescent="0.3">
      <c r="A184" t="s">
        <v>704</v>
      </c>
      <c r="B184">
        <f t="shared" si="19"/>
        <v>5</v>
      </c>
      <c r="C184" t="str">
        <f t="shared" si="20"/>
        <v>NODE_29_5</v>
      </c>
      <c r="E184" t="str">
        <f>VLOOKUP(F184,[1]HeroData!$A$3:$B$118,2, FALSE)</f>
        <v>ZhangLiao</v>
      </c>
      <c r="F184" t="s">
        <v>592</v>
      </c>
      <c r="G184" s="3" t="s">
        <v>708</v>
      </c>
    </row>
    <row r="185" spans="1:7" x14ac:dyDescent="0.3">
      <c r="A185" t="s">
        <v>704</v>
      </c>
      <c r="B185">
        <f t="shared" si="19"/>
        <v>6</v>
      </c>
      <c r="C185" t="str">
        <f t="shared" si="20"/>
        <v>NODE_29_6</v>
      </c>
      <c r="E185" t="str">
        <f>VLOOKUP(F185,[1]HeroData!$A$3:$B$118,2, FALSE)</f>
        <v>ZhaoYun</v>
      </c>
      <c r="F185" t="s">
        <v>11</v>
      </c>
      <c r="G185" s="3" t="s">
        <v>710</v>
      </c>
    </row>
    <row r="186" spans="1:7" x14ac:dyDescent="0.3">
      <c r="A186" t="s">
        <v>704</v>
      </c>
      <c r="B186">
        <f t="shared" si="19"/>
        <v>7</v>
      </c>
      <c r="C186" t="str">
        <f t="shared" si="20"/>
        <v>NODE_29_7</v>
      </c>
      <c r="E186" t="str">
        <f>VLOOKUP(F186,[1]HeroData!$A$3:$B$118,2, FALSE)</f>
        <v>XiahouYuan</v>
      </c>
      <c r="F186" t="s">
        <v>407</v>
      </c>
      <c r="G186" s="3" t="s">
        <v>713</v>
      </c>
    </row>
    <row r="187" spans="1:7" x14ac:dyDescent="0.3">
      <c r="A187" t="s">
        <v>704</v>
      </c>
      <c r="B187">
        <f t="shared" si="19"/>
        <v>8</v>
      </c>
      <c r="C187" t="str">
        <f t="shared" si="20"/>
        <v>NODE_29_8</v>
      </c>
      <c r="E187" t="str">
        <f>VLOOKUP(F187,[1]HeroData!$A$3:$B$118,2, FALSE)</f>
        <v>GuanYu</v>
      </c>
      <c r="F187" t="s">
        <v>7</v>
      </c>
      <c r="G187" s="3" t="s">
        <v>712</v>
      </c>
    </row>
    <row r="188" spans="1:7" x14ac:dyDescent="0.3">
      <c r="A188" t="s">
        <v>704</v>
      </c>
      <c r="B188">
        <f t="shared" si="19"/>
        <v>9</v>
      </c>
      <c r="C188" t="str">
        <f t="shared" si="20"/>
        <v>NODE_29_9</v>
      </c>
      <c r="E188" t="str">
        <f>VLOOKUP(F188,[1]HeroData!$A$3:$B$118,2, FALSE)</f>
        <v>ZhaoYun</v>
      </c>
      <c r="F188" t="s">
        <v>11</v>
      </c>
      <c r="G188" s="3" t="s">
        <v>711</v>
      </c>
    </row>
    <row r="189" spans="1:7" x14ac:dyDescent="0.3">
      <c r="A189" t="s">
        <v>704</v>
      </c>
      <c r="B189">
        <f t="shared" si="19"/>
        <v>10</v>
      </c>
      <c r="C189" t="str">
        <f t="shared" si="20"/>
        <v>NODE_29_10</v>
      </c>
      <c r="E189" t="str">
        <f>VLOOKUP(F189,[1]HeroData!$A$3:$B$118,2, FALSE)</f>
        <v>GuanYu</v>
      </c>
      <c r="F189" t="s">
        <v>7</v>
      </c>
      <c r="G189" s="3" t="s">
        <v>720</v>
      </c>
    </row>
    <row r="190" spans="1:7" ht="33" x14ac:dyDescent="0.3">
      <c r="A190" t="s">
        <v>704</v>
      </c>
      <c r="B190">
        <f t="shared" si="19"/>
        <v>11</v>
      </c>
      <c r="C190" t="str">
        <f t="shared" si="20"/>
        <v>NODE_29_11</v>
      </c>
      <c r="E190" t="str">
        <f>VLOOKUP(F190,[1]HeroData!$A$3:$B$118,2, FALSE)</f>
        <v>ZhaoYun</v>
      </c>
      <c r="F190" t="s">
        <v>11</v>
      </c>
      <c r="G190" s="3" t="s">
        <v>714</v>
      </c>
    </row>
    <row r="191" spans="1:7" ht="33" x14ac:dyDescent="0.3">
      <c r="A191" t="s">
        <v>704</v>
      </c>
      <c r="B191">
        <f t="shared" si="19"/>
        <v>12</v>
      </c>
      <c r="C191" t="str">
        <f t="shared" si="20"/>
        <v>NODE_29_12</v>
      </c>
      <c r="E191" t="str">
        <f>VLOOKUP(F191,[1]HeroData!$A$3:$B$118,2, FALSE)</f>
        <v>XiahouDun</v>
      </c>
      <c r="F191" t="s">
        <v>406</v>
      </c>
      <c r="G191" s="3" t="s">
        <v>715</v>
      </c>
    </row>
    <row r="192" spans="1:7" x14ac:dyDescent="0.3">
      <c r="A192" t="s">
        <v>704</v>
      </c>
      <c r="B192">
        <f t="shared" si="19"/>
        <v>13</v>
      </c>
      <c r="C192" t="str">
        <f t="shared" si="20"/>
        <v>NODE_29_13</v>
      </c>
      <c r="E192" t="str">
        <f>VLOOKUP(F192,[1]HeroData!$A$3:$B$118,2, FALSE)</f>
        <v>XiahouDun</v>
      </c>
      <c r="F192" t="s">
        <v>406</v>
      </c>
      <c r="G192" s="3" t="s">
        <v>782</v>
      </c>
    </row>
    <row r="193" spans="1:7" x14ac:dyDescent="0.3">
      <c r="A193" t="s">
        <v>704</v>
      </c>
      <c r="B193">
        <f t="shared" si="19"/>
        <v>14</v>
      </c>
      <c r="C193" t="str">
        <f t="shared" si="20"/>
        <v>NODE_29_14</v>
      </c>
      <c r="E193" t="str">
        <f>VLOOKUP(F193,[1]HeroData!$A$3:$B$118,2, FALSE)</f>
        <v>GuanYu</v>
      </c>
      <c r="F193" t="s">
        <v>7</v>
      </c>
      <c r="G193" s="3" t="s">
        <v>716</v>
      </c>
    </row>
    <row r="194" spans="1:7" x14ac:dyDescent="0.3">
      <c r="A194" t="s">
        <v>704</v>
      </c>
      <c r="B194">
        <f t="shared" si="19"/>
        <v>15</v>
      </c>
      <c r="C194" t="str">
        <f t="shared" si="20"/>
        <v>NODE_29_15</v>
      </c>
      <c r="E194" t="str">
        <f>VLOOKUP(F194,[1]HeroData!$A$3:$B$118,2, FALSE)</f>
        <v>XiahouDun</v>
      </c>
      <c r="F194" t="s">
        <v>406</v>
      </c>
      <c r="G194" s="3" t="s">
        <v>717</v>
      </c>
    </row>
    <row r="195" spans="1:7" x14ac:dyDescent="0.3">
      <c r="A195" t="s">
        <v>704</v>
      </c>
      <c r="B195">
        <f t="shared" si="19"/>
        <v>16</v>
      </c>
      <c r="C195" t="str">
        <f t="shared" si="20"/>
        <v>NODE_29_16</v>
      </c>
      <c r="E195" t="str">
        <f>VLOOKUP(F195,[1]HeroData!$A$3:$B$118,2, FALSE)</f>
        <v>XiahouYuan</v>
      </c>
      <c r="F195" t="s">
        <v>407</v>
      </c>
      <c r="G195" s="3" t="s">
        <v>718</v>
      </c>
    </row>
    <row r="196" spans="1:7" x14ac:dyDescent="0.3">
      <c r="A196" t="s">
        <v>704</v>
      </c>
      <c r="B196">
        <f t="shared" si="19"/>
        <v>17</v>
      </c>
      <c r="C196" t="str">
        <f t="shared" si="20"/>
        <v>NODE_29_17</v>
      </c>
      <c r="E196" t="str">
        <f>VLOOKUP(F196,[1]HeroData!$A$3:$B$118,2, FALSE)</f>
        <v>XiahouDun</v>
      </c>
      <c r="F196" t="s">
        <v>406</v>
      </c>
      <c r="G196" s="3" t="s">
        <v>598</v>
      </c>
    </row>
    <row r="197" spans="1:7" x14ac:dyDescent="0.3">
      <c r="A197" t="s">
        <v>704</v>
      </c>
      <c r="B197">
        <f t="shared" si="19"/>
        <v>18</v>
      </c>
      <c r="C197" t="str">
        <f t="shared" si="20"/>
        <v>NODE_29_18</v>
      </c>
      <c r="E197" t="str">
        <f>VLOOKUP(F197,[1]HeroData!$A$3:$B$118,2, FALSE)</f>
        <v>GuanYu</v>
      </c>
      <c r="F197" t="s">
        <v>7</v>
      </c>
      <c r="G197" s="3" t="s">
        <v>719</v>
      </c>
    </row>
    <row r="198" spans="1:7" ht="33" x14ac:dyDescent="0.3">
      <c r="A198" t="s">
        <v>704</v>
      </c>
      <c r="B198">
        <f t="shared" si="19"/>
        <v>19</v>
      </c>
      <c r="C198" t="str">
        <f t="shared" si="20"/>
        <v>NODE_29_19</v>
      </c>
      <c r="E198" t="str">
        <f>VLOOKUP(F198,[1]HeroData!$A$3:$B$118,2, FALSE)</f>
        <v>ZhaoYun</v>
      </c>
      <c r="F198" t="s">
        <v>11</v>
      </c>
      <c r="G198" s="3" t="s">
        <v>721</v>
      </c>
    </row>
    <row r="199" spans="1:7" x14ac:dyDescent="0.3">
      <c r="A199" t="s">
        <v>704</v>
      </c>
      <c r="B199">
        <f t="shared" si="19"/>
        <v>20</v>
      </c>
      <c r="C199" t="str">
        <f t="shared" si="20"/>
        <v>NODE_29_20</v>
      </c>
      <c r="E199" t="str">
        <f>VLOOKUP(F199,[1]HeroData!$A$3:$B$118,2, FALSE)</f>
        <v>GuanYu</v>
      </c>
      <c r="F199" t="s">
        <v>7</v>
      </c>
      <c r="G199" s="3" t="s">
        <v>598</v>
      </c>
    </row>
    <row r="200" spans="1:7" ht="33" x14ac:dyDescent="0.3">
      <c r="A200" t="s">
        <v>704</v>
      </c>
      <c r="B200">
        <f t="shared" si="19"/>
        <v>21</v>
      </c>
      <c r="C200" t="str">
        <f t="shared" si="20"/>
        <v>NODE_29_21</v>
      </c>
      <c r="E200" t="str">
        <f>VLOOKUP(F200,[1]HeroData!$A$3:$B$118,2, FALSE)</f>
        <v>ZhaoYun</v>
      </c>
      <c r="F200" t="s">
        <v>11</v>
      </c>
      <c r="G200" s="3" t="s">
        <v>791</v>
      </c>
    </row>
    <row r="201" spans="1:7" x14ac:dyDescent="0.3">
      <c r="A201" t="s">
        <v>704</v>
      </c>
      <c r="B201">
        <f t="shared" si="19"/>
        <v>22</v>
      </c>
      <c r="C201" t="str">
        <f t="shared" si="20"/>
        <v>NODE_29_22</v>
      </c>
      <c r="E201" t="str">
        <f>VLOOKUP(F201,[1]HeroData!$A$3:$B$118,2, FALSE)</f>
        <v>ZhaoYun</v>
      </c>
      <c r="F201" t="s">
        <v>11</v>
      </c>
      <c r="G201" s="3" t="s">
        <v>722</v>
      </c>
    </row>
    <row r="202" spans="1:7" x14ac:dyDescent="0.3">
      <c r="A202" t="s">
        <v>704</v>
      </c>
      <c r="B202">
        <f t="shared" si="19"/>
        <v>23</v>
      </c>
      <c r="C202" t="str">
        <f t="shared" si="20"/>
        <v>NODE_29_23</v>
      </c>
      <c r="E202" t="str">
        <f>VLOOKUP(F202,[1]HeroData!$A$3:$B$118,2, FALSE)</f>
        <v>GuanYu</v>
      </c>
      <c r="F202" t="s">
        <v>7</v>
      </c>
      <c r="G202" s="3" t="s">
        <v>723</v>
      </c>
    </row>
    <row r="203" spans="1:7" x14ac:dyDescent="0.3">
      <c r="A203" t="s">
        <v>704</v>
      </c>
      <c r="B203">
        <f t="shared" si="19"/>
        <v>24</v>
      </c>
      <c r="C203" t="str">
        <f t="shared" si="20"/>
        <v>NODE_29_24</v>
      </c>
      <c r="E203" t="str">
        <f>VLOOKUP(F203,[1]HeroData!$A$3:$B$118,2, FALSE)</f>
        <v>ZhaoYun</v>
      </c>
      <c r="F203" t="s">
        <v>11</v>
      </c>
      <c r="G203" s="3" t="s">
        <v>724</v>
      </c>
    </row>
    <row r="204" spans="1:7" ht="33" x14ac:dyDescent="0.3">
      <c r="A204" t="s">
        <v>704</v>
      </c>
      <c r="B204">
        <f t="shared" si="19"/>
        <v>25</v>
      </c>
      <c r="C204" t="str">
        <f t="shared" si="20"/>
        <v>NODE_29_25</v>
      </c>
      <c r="E204" t="str">
        <f>VLOOKUP(F204,[1]HeroData!$A$3:$B$118,2, FALSE)</f>
        <v>GuanYu</v>
      </c>
      <c r="F204" t="s">
        <v>7</v>
      </c>
      <c r="G204" s="3" t="s">
        <v>735</v>
      </c>
    </row>
    <row r="205" spans="1:7" x14ac:dyDescent="0.3">
      <c r="A205" t="s">
        <v>704</v>
      </c>
      <c r="B205">
        <f t="shared" si="19"/>
        <v>26</v>
      </c>
      <c r="C205" t="str">
        <f t="shared" si="20"/>
        <v>NODE_29_26</v>
      </c>
      <c r="E205" t="str">
        <f>VLOOKUP(F205,[1]HeroData!$A$3:$B$118,2, FALSE)</f>
        <v>ZhaoYun</v>
      </c>
      <c r="F205" t="s">
        <v>11</v>
      </c>
      <c r="G205" s="3" t="s">
        <v>598</v>
      </c>
    </row>
    <row r="206" spans="1:7" x14ac:dyDescent="0.3">
      <c r="A206" t="s">
        <v>704</v>
      </c>
      <c r="B206">
        <f t="shared" si="19"/>
        <v>27</v>
      </c>
      <c r="C206" t="str">
        <f t="shared" si="20"/>
        <v>NODE_29_27</v>
      </c>
      <c r="E206" t="str">
        <f>VLOOKUP(F206,[1]HeroData!$A$3:$B$118,2, FALSE)</f>
        <v>GuanYu</v>
      </c>
      <c r="F206" t="s">
        <v>7</v>
      </c>
      <c r="G206" s="3" t="s">
        <v>736</v>
      </c>
    </row>
    <row r="207" spans="1:7" x14ac:dyDescent="0.3">
      <c r="A207" t="s">
        <v>704</v>
      </c>
      <c r="B207">
        <f t="shared" si="19"/>
        <v>28</v>
      </c>
      <c r="C207" t="str">
        <f t="shared" si="20"/>
        <v>NODE_29_28</v>
      </c>
      <c r="E207" t="str">
        <f>VLOOKUP(F207,[1]HeroData!$A$3:$B$118,2, FALSE)</f>
        <v>ZhaoYun</v>
      </c>
      <c r="F207" t="s">
        <v>11</v>
      </c>
      <c r="G207" s="3" t="s">
        <v>598</v>
      </c>
    </row>
    <row r="208" spans="1:7" ht="33" x14ac:dyDescent="0.3">
      <c r="A208" t="s">
        <v>704</v>
      </c>
      <c r="B208">
        <f t="shared" si="19"/>
        <v>29</v>
      </c>
      <c r="C208" t="str">
        <f t="shared" si="20"/>
        <v>NODE_29_29</v>
      </c>
      <c r="E208" t="str">
        <f>VLOOKUP(F208,[1]HeroData!$A$3:$B$118,2, FALSE)</f>
        <v>ZhaoYun</v>
      </c>
      <c r="F208" t="s">
        <v>11</v>
      </c>
      <c r="G208" s="3" t="s">
        <v>725</v>
      </c>
    </row>
    <row r="209" spans="1:7" x14ac:dyDescent="0.3">
      <c r="A209" t="s">
        <v>704</v>
      </c>
      <c r="B209">
        <f t="shared" si="19"/>
        <v>30</v>
      </c>
      <c r="C209" t="str">
        <f t="shared" si="20"/>
        <v>NODE_29_30</v>
      </c>
      <c r="E209" t="str">
        <f>VLOOKUP(F209,[1]HeroData!$A$3:$B$118,2, FALSE)</f>
        <v>GuanYu</v>
      </c>
      <c r="F209" t="s">
        <v>7</v>
      </c>
      <c r="G209" s="3" t="s">
        <v>726</v>
      </c>
    </row>
    <row r="210" spans="1:7" x14ac:dyDescent="0.3">
      <c r="A210" t="s">
        <v>704</v>
      </c>
      <c r="B210">
        <f t="shared" si="19"/>
        <v>31</v>
      </c>
      <c r="C210" t="str">
        <f t="shared" si="20"/>
        <v>NODE_29_31</v>
      </c>
      <c r="E210" t="str">
        <f>VLOOKUP(F210,[1]HeroData!$A$3:$B$118,2, FALSE)</f>
        <v>XiahouDun</v>
      </c>
      <c r="F210" t="s">
        <v>406</v>
      </c>
      <c r="G210" s="3" t="s">
        <v>696</v>
      </c>
    </row>
    <row r="211" spans="1:7" x14ac:dyDescent="0.3">
      <c r="A211" t="s">
        <v>704</v>
      </c>
      <c r="B211">
        <f t="shared" si="19"/>
        <v>32</v>
      </c>
      <c r="C211" t="str">
        <f t="shared" si="20"/>
        <v>NODE_29_32</v>
      </c>
      <c r="E211" t="str">
        <f>VLOOKUP(F211,[1]HeroData!$A$3:$B$118,2, FALSE)</f>
        <v>ZhaoYun</v>
      </c>
      <c r="F211" t="s">
        <v>11</v>
      </c>
      <c r="G211" s="3" t="s">
        <v>727</v>
      </c>
    </row>
    <row r="212" spans="1:7" ht="33" x14ac:dyDescent="0.3">
      <c r="A212" t="s">
        <v>704</v>
      </c>
      <c r="B212">
        <f t="shared" si="19"/>
        <v>33</v>
      </c>
      <c r="C212" t="str">
        <f t="shared" si="20"/>
        <v>NODE_29_33</v>
      </c>
      <c r="E212" t="str">
        <f>VLOOKUP(F212,[1]HeroData!$A$3:$B$118,2, FALSE)</f>
        <v>XiahouDun</v>
      </c>
      <c r="F212" t="s">
        <v>406</v>
      </c>
      <c r="G212" s="3" t="s">
        <v>728</v>
      </c>
    </row>
    <row r="213" spans="1:7" x14ac:dyDescent="0.3">
      <c r="A213" t="s">
        <v>704</v>
      </c>
      <c r="B213">
        <f t="shared" si="19"/>
        <v>34</v>
      </c>
      <c r="C213" t="str">
        <f t="shared" si="20"/>
        <v>NODE_29_34</v>
      </c>
      <c r="E213" t="str">
        <f>VLOOKUP(F213,[1]HeroData!$A$3:$B$118,2, FALSE)</f>
        <v>GuanYu</v>
      </c>
      <c r="F213" t="s">
        <v>7</v>
      </c>
      <c r="G213" s="3" t="s">
        <v>729</v>
      </c>
    </row>
    <row r="214" spans="1:7" ht="33" x14ac:dyDescent="0.3">
      <c r="A214" t="s">
        <v>704</v>
      </c>
      <c r="B214">
        <f t="shared" si="19"/>
        <v>35</v>
      </c>
      <c r="C214" t="str">
        <f t="shared" si="20"/>
        <v>NODE_29_35</v>
      </c>
      <c r="E214" t="str">
        <f>VLOOKUP(F214,[1]HeroData!$A$3:$B$118,2, FALSE)</f>
        <v>XiahouDun</v>
      </c>
      <c r="F214" t="s">
        <v>406</v>
      </c>
      <c r="G214" s="3" t="s">
        <v>730</v>
      </c>
    </row>
    <row r="215" spans="1:7" x14ac:dyDescent="0.3">
      <c r="A215" t="s">
        <v>704</v>
      </c>
      <c r="B215">
        <f t="shared" si="19"/>
        <v>36</v>
      </c>
      <c r="C215" t="str">
        <f t="shared" si="20"/>
        <v>NODE_29_36</v>
      </c>
      <c r="E215" t="str">
        <f>VLOOKUP(F215,[1]HeroData!$A$3:$B$118,2, FALSE)</f>
        <v>GuanYu</v>
      </c>
      <c r="F215" t="s">
        <v>7</v>
      </c>
      <c r="G215" s="3" t="s">
        <v>731</v>
      </c>
    </row>
    <row r="216" spans="1:7" ht="33" x14ac:dyDescent="0.3">
      <c r="A216" t="s">
        <v>704</v>
      </c>
      <c r="B216">
        <f t="shared" si="19"/>
        <v>37</v>
      </c>
      <c r="C216" t="str">
        <f t="shared" si="20"/>
        <v>NODE_29_37</v>
      </c>
      <c r="E216" t="str">
        <f>VLOOKUP(F216,[1]HeroData!$A$3:$B$118,2, FALSE)</f>
        <v>XiahouDun</v>
      </c>
      <c r="F216" t="s">
        <v>406</v>
      </c>
      <c r="G216" s="3" t="s">
        <v>732</v>
      </c>
    </row>
    <row r="217" spans="1:7" x14ac:dyDescent="0.3">
      <c r="A217" t="s">
        <v>704</v>
      </c>
      <c r="B217">
        <f t="shared" si="19"/>
        <v>38</v>
      </c>
      <c r="C217" t="str">
        <f t="shared" si="20"/>
        <v>NODE_29_38</v>
      </c>
      <c r="E217" t="str">
        <f>VLOOKUP(F217,[1]HeroData!$A$3:$B$118,2, FALSE)</f>
        <v>GuanYu</v>
      </c>
      <c r="F217" t="s">
        <v>7</v>
      </c>
      <c r="G217" s="3" t="s">
        <v>733</v>
      </c>
    </row>
    <row r="218" spans="1:7" ht="33" x14ac:dyDescent="0.3">
      <c r="A218" t="s">
        <v>704</v>
      </c>
      <c r="B218">
        <f t="shared" si="19"/>
        <v>39</v>
      </c>
      <c r="C218" t="str">
        <f t="shared" si="20"/>
        <v>NODE_29_39</v>
      </c>
      <c r="E218" t="str">
        <f>VLOOKUP(F218,[1]HeroData!$A$3:$B$118,2, FALSE)</f>
        <v>GuanYu</v>
      </c>
      <c r="F218" t="s">
        <v>7</v>
      </c>
      <c r="G218" s="3" t="s">
        <v>737</v>
      </c>
    </row>
    <row r="219" spans="1:7" x14ac:dyDescent="0.3">
      <c r="A219" t="s">
        <v>704</v>
      </c>
      <c r="B219">
        <f t="shared" si="19"/>
        <v>40</v>
      </c>
      <c r="C219" t="str">
        <f t="shared" si="20"/>
        <v>NODE_29_40</v>
      </c>
      <c r="E219" t="str">
        <f>VLOOKUP(F219,[1]HeroData!$A$3:$B$118,2, FALSE)</f>
        <v>GuanYu</v>
      </c>
      <c r="F219" t="s">
        <v>7</v>
      </c>
      <c r="G219" s="3" t="s">
        <v>734</v>
      </c>
    </row>
    <row r="221" spans="1:7" x14ac:dyDescent="0.3">
      <c r="A221" t="s">
        <v>765</v>
      </c>
      <c r="B221">
        <v>0</v>
      </c>
      <c r="C221" t="str">
        <f>CONCATENATE(A221, "_", B221, IF(D221&lt;&gt;"", "_"&amp;D221, ""))</f>
        <v>NODE_31_0</v>
      </c>
      <c r="E221" t="str">
        <f>VLOOKUP(F221,[1]HeroData!$A$3:$B$118,2, FALSE)</f>
        <v>ZhangFei</v>
      </c>
      <c r="F221" t="s">
        <v>9</v>
      </c>
      <c r="G221" s="3" t="s">
        <v>739</v>
      </c>
    </row>
    <row r="222" spans="1:7" ht="33" x14ac:dyDescent="0.3">
      <c r="A222" t="s">
        <v>765</v>
      </c>
      <c r="B222">
        <f t="shared" ref="B222:B258" si="21">B221+1</f>
        <v>1</v>
      </c>
      <c r="C222" t="str">
        <f t="shared" ref="C222:C258" si="22">CONCATENATE(A222, "_", B222, IF(D222&lt;&gt;"", "_"&amp;D222, ""))</f>
        <v>NODE_31_1</v>
      </c>
      <c r="E222" t="str">
        <f>VLOOKUP(F222,[1]HeroData!$A$3:$B$118,2, FALSE)</f>
        <v>ZhangFei</v>
      </c>
      <c r="F222" t="s">
        <v>9</v>
      </c>
      <c r="G222" s="3" t="s">
        <v>792</v>
      </c>
    </row>
    <row r="223" spans="1:7" x14ac:dyDescent="0.3">
      <c r="A223" t="s">
        <v>765</v>
      </c>
      <c r="B223">
        <f t="shared" si="21"/>
        <v>2</v>
      </c>
      <c r="C223" t="str">
        <f t="shared" si="22"/>
        <v>NODE_31_2</v>
      </c>
      <c r="E223" t="str">
        <f>VLOOKUP(F223,[1]HeroData!$A$3:$B$118,2, FALSE)</f>
        <v>GuanYu</v>
      </c>
      <c r="F223" t="s">
        <v>7</v>
      </c>
      <c r="G223" s="3" t="s">
        <v>598</v>
      </c>
    </row>
    <row r="224" spans="1:7" ht="33" x14ac:dyDescent="0.3">
      <c r="A224" t="s">
        <v>765</v>
      </c>
      <c r="B224">
        <f t="shared" si="21"/>
        <v>3</v>
      </c>
      <c r="C224" t="str">
        <f t="shared" si="22"/>
        <v>NODE_31_3</v>
      </c>
      <c r="E224" t="str">
        <f>VLOOKUP(F224,[1]HeroData!$A$3:$B$118,2, FALSE)</f>
        <v>ZhangFei</v>
      </c>
      <c r="F224" t="s">
        <v>9</v>
      </c>
      <c r="G224" s="3" t="s">
        <v>793</v>
      </c>
    </row>
    <row r="225" spans="1:7" x14ac:dyDescent="0.3">
      <c r="A225" t="s">
        <v>765</v>
      </c>
      <c r="B225">
        <f t="shared" si="21"/>
        <v>4</v>
      </c>
      <c r="C225" t="str">
        <f t="shared" si="22"/>
        <v>NODE_31_4</v>
      </c>
      <c r="E225" t="str">
        <f>VLOOKUP(F225,[1]HeroData!$A$3:$B$118,2, FALSE)</f>
        <v>ZhangFei</v>
      </c>
      <c r="F225" t="s">
        <v>9</v>
      </c>
      <c r="G225" s="3" t="s">
        <v>764</v>
      </c>
    </row>
    <row r="226" spans="1:7" x14ac:dyDescent="0.3">
      <c r="A226" t="s">
        <v>765</v>
      </c>
      <c r="B226">
        <f t="shared" si="21"/>
        <v>5</v>
      </c>
      <c r="C226" t="str">
        <f t="shared" si="22"/>
        <v>NODE_31_5</v>
      </c>
      <c r="E226" t="str">
        <f>VLOOKUP(F226,[1]HeroData!$A$3:$B$118,2, FALSE)</f>
        <v>GuanYu</v>
      </c>
      <c r="F226" t="s">
        <v>7</v>
      </c>
      <c r="G226" s="3" t="s">
        <v>738</v>
      </c>
    </row>
    <row r="227" spans="1:7" ht="33" x14ac:dyDescent="0.3">
      <c r="A227" t="s">
        <v>765</v>
      </c>
      <c r="B227">
        <f t="shared" si="21"/>
        <v>6</v>
      </c>
      <c r="C227" t="str">
        <f t="shared" si="22"/>
        <v>NODE_31_6</v>
      </c>
      <c r="E227" t="str">
        <f>VLOOKUP(F227,[1]HeroData!$A$3:$B$118,2, FALSE)</f>
        <v>ZhangFei</v>
      </c>
      <c r="F227" t="s">
        <v>9</v>
      </c>
      <c r="G227" s="3" t="s">
        <v>794</v>
      </c>
    </row>
    <row r="228" spans="1:7" x14ac:dyDescent="0.3">
      <c r="A228" t="s">
        <v>765</v>
      </c>
      <c r="B228">
        <f t="shared" si="21"/>
        <v>7</v>
      </c>
      <c r="C228" t="str">
        <f t="shared" si="22"/>
        <v>NODE_31_7</v>
      </c>
      <c r="E228" t="str">
        <f>VLOOKUP(F228,[1]HeroData!$A$3:$B$118,2, FALSE)</f>
        <v>ZhangFei</v>
      </c>
      <c r="F228" t="s">
        <v>9</v>
      </c>
      <c r="G228" s="3" t="s">
        <v>763</v>
      </c>
    </row>
    <row r="229" spans="1:7" ht="33" x14ac:dyDescent="0.3">
      <c r="A229" t="s">
        <v>765</v>
      </c>
      <c r="B229">
        <f t="shared" si="21"/>
        <v>8</v>
      </c>
      <c r="C229" t="str">
        <f t="shared" si="22"/>
        <v>NODE_31_8</v>
      </c>
      <c r="E229" t="str">
        <f>VLOOKUP(F229,[1]HeroData!$A$3:$B$118,2, FALSE)</f>
        <v>GuanYu</v>
      </c>
      <c r="F229" t="s">
        <v>7</v>
      </c>
      <c r="G229" s="3" t="s">
        <v>740</v>
      </c>
    </row>
    <row r="230" spans="1:7" ht="33" x14ac:dyDescent="0.3">
      <c r="A230" t="s">
        <v>765</v>
      </c>
      <c r="B230">
        <f t="shared" si="21"/>
        <v>9</v>
      </c>
      <c r="C230" t="str">
        <f t="shared" si="22"/>
        <v>NODE_31_9</v>
      </c>
      <c r="E230" t="str">
        <f>VLOOKUP(F230,[1]HeroData!$A$3:$B$118,2, FALSE)</f>
        <v>ZhangFei</v>
      </c>
      <c r="F230" t="s">
        <v>9</v>
      </c>
      <c r="G230" s="3" t="s">
        <v>741</v>
      </c>
    </row>
    <row r="231" spans="1:7" x14ac:dyDescent="0.3">
      <c r="A231" t="s">
        <v>765</v>
      </c>
      <c r="B231">
        <f t="shared" si="21"/>
        <v>10</v>
      </c>
      <c r="C231" t="str">
        <f t="shared" si="22"/>
        <v>NODE_31_10</v>
      </c>
      <c r="E231" t="str">
        <f>VLOOKUP(F231,[1]HeroData!$A$3:$B$118,2, FALSE)</f>
        <v>GuanYu</v>
      </c>
      <c r="F231" t="s">
        <v>7</v>
      </c>
      <c r="G231" s="3" t="s">
        <v>742</v>
      </c>
    </row>
    <row r="232" spans="1:7" ht="33" x14ac:dyDescent="0.3">
      <c r="A232" t="s">
        <v>765</v>
      </c>
      <c r="B232">
        <f t="shared" si="21"/>
        <v>11</v>
      </c>
      <c r="C232" t="str">
        <f t="shared" si="22"/>
        <v>NODE_31_11</v>
      </c>
      <c r="E232" t="str">
        <f>VLOOKUP(F232,[1]HeroData!$A$3:$B$118,2, FALSE)</f>
        <v>ZhangFei</v>
      </c>
      <c r="F232" t="s">
        <v>9</v>
      </c>
      <c r="G232" s="3" t="s">
        <v>743</v>
      </c>
    </row>
    <row r="233" spans="1:7" ht="33" x14ac:dyDescent="0.3">
      <c r="A233" t="s">
        <v>765</v>
      </c>
      <c r="B233">
        <f t="shared" si="21"/>
        <v>12</v>
      </c>
      <c r="C233" t="str">
        <f t="shared" si="22"/>
        <v>NODE_31_12</v>
      </c>
      <c r="E233" t="str">
        <f>VLOOKUP(F233,[1]HeroData!$A$3:$B$118,2, FALSE)</f>
        <v>GuanYu</v>
      </c>
      <c r="F233" t="s">
        <v>7</v>
      </c>
      <c r="G233" s="3" t="s">
        <v>744</v>
      </c>
    </row>
    <row r="234" spans="1:7" ht="33" x14ac:dyDescent="0.3">
      <c r="A234" t="s">
        <v>765</v>
      </c>
      <c r="B234">
        <f t="shared" si="21"/>
        <v>13</v>
      </c>
      <c r="C234" t="str">
        <f t="shared" si="22"/>
        <v>NODE_31_13</v>
      </c>
      <c r="E234" t="str">
        <f>VLOOKUP(F234,[1]HeroData!$A$3:$B$118,2, FALSE)</f>
        <v>GuanYu</v>
      </c>
      <c r="F234" t="s">
        <v>7</v>
      </c>
      <c r="G234" s="3" t="s">
        <v>745</v>
      </c>
    </row>
    <row r="235" spans="1:7" x14ac:dyDescent="0.3">
      <c r="A235" t="s">
        <v>765</v>
      </c>
      <c r="B235">
        <f t="shared" si="21"/>
        <v>14</v>
      </c>
      <c r="C235" t="str">
        <f t="shared" si="22"/>
        <v>NODE_31_14</v>
      </c>
      <c r="E235" t="str">
        <f>VLOOKUP(F235,[1]HeroData!$A$3:$B$118,2, FALSE)</f>
        <v>GuanYu</v>
      </c>
      <c r="F235" t="s">
        <v>7</v>
      </c>
      <c r="G235" s="3" t="s">
        <v>662</v>
      </c>
    </row>
    <row r="236" spans="1:7" ht="33" x14ac:dyDescent="0.3">
      <c r="A236" t="s">
        <v>765</v>
      </c>
      <c r="B236">
        <f t="shared" si="21"/>
        <v>15</v>
      </c>
      <c r="C236" t="str">
        <f t="shared" si="22"/>
        <v>NODE_31_15</v>
      </c>
      <c r="E236" t="str">
        <f>VLOOKUP(F236,[1]HeroData!$A$3:$B$118,2, FALSE)</f>
        <v>ZhangFei</v>
      </c>
      <c r="F236" t="s">
        <v>9</v>
      </c>
      <c r="G236" s="3" t="s">
        <v>746</v>
      </c>
    </row>
    <row r="237" spans="1:7" ht="33" x14ac:dyDescent="0.3">
      <c r="A237" t="s">
        <v>765</v>
      </c>
      <c r="B237">
        <f t="shared" si="21"/>
        <v>16</v>
      </c>
      <c r="C237" t="str">
        <f t="shared" si="22"/>
        <v>NODE_31_16</v>
      </c>
      <c r="E237" t="str">
        <f>VLOOKUP(F237,[1]HeroData!$A$3:$B$118,2, FALSE)</f>
        <v>GuanYu</v>
      </c>
      <c r="F237" t="s">
        <v>7</v>
      </c>
      <c r="G237" s="3" t="s">
        <v>795</v>
      </c>
    </row>
    <row r="238" spans="1:7" x14ac:dyDescent="0.3">
      <c r="A238" t="s">
        <v>765</v>
      </c>
      <c r="B238">
        <f t="shared" si="21"/>
        <v>17</v>
      </c>
      <c r="C238" t="str">
        <f t="shared" si="22"/>
        <v>NODE_31_17</v>
      </c>
      <c r="E238" t="str">
        <f>VLOOKUP(F238,[1]HeroData!$A$3:$B$118,2, FALSE)</f>
        <v>ZhangFei</v>
      </c>
      <c r="F238" t="s">
        <v>9</v>
      </c>
      <c r="G238" s="3" t="s">
        <v>747</v>
      </c>
    </row>
    <row r="239" spans="1:7" ht="33" x14ac:dyDescent="0.3">
      <c r="A239" t="s">
        <v>765</v>
      </c>
      <c r="B239">
        <f t="shared" si="21"/>
        <v>18</v>
      </c>
      <c r="C239" t="str">
        <f t="shared" si="22"/>
        <v>NODE_31_18</v>
      </c>
      <c r="E239" t="str">
        <f>VLOOKUP(F239,[1]HeroData!$A$3:$B$118,2, FALSE)</f>
        <v>GuanYu</v>
      </c>
      <c r="F239" t="s">
        <v>7</v>
      </c>
      <c r="G239" s="3" t="s">
        <v>796</v>
      </c>
    </row>
    <row r="240" spans="1:7" ht="33" x14ac:dyDescent="0.3">
      <c r="A240" t="s">
        <v>765</v>
      </c>
      <c r="B240">
        <f t="shared" si="21"/>
        <v>19</v>
      </c>
      <c r="C240" t="str">
        <f t="shared" si="22"/>
        <v>NODE_31_19</v>
      </c>
      <c r="E240" t="str">
        <f>VLOOKUP(F240,[1]HeroData!$A$3:$B$118,2, FALSE)</f>
        <v>GuanYu</v>
      </c>
      <c r="F240" t="s">
        <v>7</v>
      </c>
      <c r="G240" s="3" t="s">
        <v>797</v>
      </c>
    </row>
    <row r="241" spans="1:7" ht="33" x14ac:dyDescent="0.3">
      <c r="A241" t="s">
        <v>765</v>
      </c>
      <c r="B241">
        <f t="shared" si="21"/>
        <v>20</v>
      </c>
      <c r="C241" t="str">
        <f t="shared" si="22"/>
        <v>NODE_31_20</v>
      </c>
      <c r="E241" t="str">
        <f>VLOOKUP(F241,[1]HeroData!$A$3:$B$118,2, FALSE)</f>
        <v>ZhangFei</v>
      </c>
      <c r="F241" t="s">
        <v>9</v>
      </c>
      <c r="G241" s="3" t="s">
        <v>748</v>
      </c>
    </row>
    <row r="242" spans="1:7" ht="49.5" x14ac:dyDescent="0.3">
      <c r="A242" t="s">
        <v>765</v>
      </c>
      <c r="B242">
        <f t="shared" si="21"/>
        <v>21</v>
      </c>
      <c r="C242" t="str">
        <f t="shared" si="22"/>
        <v>NODE_31_21</v>
      </c>
      <c r="E242" t="str">
        <f>VLOOKUP(F242,[1]HeroData!$A$3:$B$118,2, FALSE)</f>
        <v>GuanYu</v>
      </c>
      <c r="F242" t="s">
        <v>7</v>
      </c>
      <c r="G242" s="3" t="s">
        <v>798</v>
      </c>
    </row>
    <row r="243" spans="1:7" x14ac:dyDescent="0.3">
      <c r="A243" t="s">
        <v>765</v>
      </c>
      <c r="B243">
        <f t="shared" si="21"/>
        <v>22</v>
      </c>
      <c r="C243" t="str">
        <f t="shared" si="22"/>
        <v>NODE_31_22</v>
      </c>
      <c r="E243" t="str">
        <f>VLOOKUP(F243,[1]HeroData!$A$3:$B$118,2, FALSE)</f>
        <v>ZhangFei</v>
      </c>
      <c r="F243" t="s">
        <v>9</v>
      </c>
      <c r="G243" s="3" t="s">
        <v>749</v>
      </c>
    </row>
    <row r="244" spans="1:7" ht="33" x14ac:dyDescent="0.3">
      <c r="A244" t="s">
        <v>765</v>
      </c>
      <c r="B244">
        <f t="shared" si="21"/>
        <v>23</v>
      </c>
      <c r="C244" t="str">
        <f t="shared" si="22"/>
        <v>NODE_31_23</v>
      </c>
      <c r="E244" t="str">
        <f>VLOOKUP(F244,[1]HeroData!$A$3:$B$118,2, FALSE)</f>
        <v>GuanYu</v>
      </c>
      <c r="F244" t="s">
        <v>7</v>
      </c>
      <c r="G244" s="3" t="s">
        <v>750</v>
      </c>
    </row>
    <row r="245" spans="1:7" x14ac:dyDescent="0.3">
      <c r="A245" t="s">
        <v>765</v>
      </c>
      <c r="B245">
        <f t="shared" si="21"/>
        <v>24</v>
      </c>
      <c r="C245" t="str">
        <f t="shared" si="22"/>
        <v>NODE_31_24</v>
      </c>
      <c r="E245" t="str">
        <f>VLOOKUP(F245,[1]HeroData!$A$3:$B$118,2, FALSE)</f>
        <v>ZhangFei</v>
      </c>
      <c r="F245" t="s">
        <v>9</v>
      </c>
      <c r="G245" s="3" t="s">
        <v>595</v>
      </c>
    </row>
    <row r="246" spans="1:7" x14ac:dyDescent="0.3">
      <c r="A246" t="s">
        <v>765</v>
      </c>
      <c r="B246">
        <f t="shared" si="21"/>
        <v>25</v>
      </c>
      <c r="C246" t="str">
        <f t="shared" si="22"/>
        <v>NODE_31_25</v>
      </c>
      <c r="E246" t="str">
        <f>VLOOKUP(F246,[1]HeroData!$A$3:$B$118,2, FALSE)</f>
        <v>FanJiang</v>
      </c>
      <c r="F246" t="s">
        <v>761</v>
      </c>
      <c r="G246" s="3" t="s">
        <v>751</v>
      </c>
    </row>
    <row r="247" spans="1:7" x14ac:dyDescent="0.3">
      <c r="A247" t="s">
        <v>765</v>
      </c>
      <c r="B247">
        <f t="shared" si="21"/>
        <v>26</v>
      </c>
      <c r="C247" t="str">
        <f t="shared" si="22"/>
        <v>NODE_31_26</v>
      </c>
      <c r="E247" t="str">
        <f>VLOOKUP(F247,[1]HeroData!$A$3:$B$118,2, FALSE)</f>
        <v>ZhangDa</v>
      </c>
      <c r="F247" t="s">
        <v>762</v>
      </c>
      <c r="G247" s="3" t="s">
        <v>752</v>
      </c>
    </row>
    <row r="248" spans="1:7" x14ac:dyDescent="0.3">
      <c r="A248" t="s">
        <v>765</v>
      </c>
      <c r="B248">
        <f t="shared" si="21"/>
        <v>27</v>
      </c>
      <c r="C248" t="str">
        <f t="shared" si="22"/>
        <v>NODE_31_27</v>
      </c>
      <c r="E248" t="str">
        <f>VLOOKUP(F248,[1]HeroData!$A$3:$B$118,2, FALSE)</f>
        <v>ZhangFei</v>
      </c>
      <c r="F248" t="s">
        <v>9</v>
      </c>
      <c r="G248" s="3" t="s">
        <v>753</v>
      </c>
    </row>
    <row r="249" spans="1:7" x14ac:dyDescent="0.3">
      <c r="A249" t="s">
        <v>765</v>
      </c>
      <c r="B249">
        <f t="shared" si="21"/>
        <v>28</v>
      </c>
      <c r="C249" t="str">
        <f t="shared" si="22"/>
        <v>NODE_31_28</v>
      </c>
      <c r="E249" t="str">
        <f>VLOOKUP(F249,[1]HeroData!$A$3:$B$118,2, FALSE)</f>
        <v>GuanYu</v>
      </c>
      <c r="F249" t="s">
        <v>7</v>
      </c>
      <c r="G249" s="3" t="s">
        <v>754</v>
      </c>
    </row>
    <row r="250" spans="1:7" x14ac:dyDescent="0.3">
      <c r="A250" t="s">
        <v>765</v>
      </c>
      <c r="B250">
        <f t="shared" si="21"/>
        <v>29</v>
      </c>
      <c r="C250" t="str">
        <f t="shared" si="22"/>
        <v>NODE_31_29</v>
      </c>
      <c r="E250" t="str">
        <f>VLOOKUP(F250,[1]HeroData!$A$3:$B$118,2, FALSE)</f>
        <v>ZhaoYun</v>
      </c>
      <c r="F250" t="s">
        <v>11</v>
      </c>
      <c r="G250" s="3" t="s">
        <v>755</v>
      </c>
    </row>
    <row r="251" spans="1:7" ht="33" x14ac:dyDescent="0.3">
      <c r="A251" t="s">
        <v>765</v>
      </c>
      <c r="B251">
        <f t="shared" si="21"/>
        <v>30</v>
      </c>
      <c r="C251" t="str">
        <f t="shared" si="22"/>
        <v>NODE_31_30</v>
      </c>
      <c r="E251" t="str">
        <f>VLOOKUP(F251,[1]HeroData!$A$3:$B$118,2, FALSE)</f>
        <v>ZhaoYun</v>
      </c>
      <c r="F251" t="s">
        <v>11</v>
      </c>
      <c r="G251" s="3" t="s">
        <v>799</v>
      </c>
    </row>
    <row r="252" spans="1:7" x14ac:dyDescent="0.3">
      <c r="A252" t="s">
        <v>765</v>
      </c>
      <c r="B252">
        <f t="shared" si="21"/>
        <v>31</v>
      </c>
      <c r="C252" t="str">
        <f t="shared" si="22"/>
        <v>NODE_31_31</v>
      </c>
      <c r="E252" t="str">
        <f>VLOOKUP(F252,[1]HeroData!$A$3:$B$118,2, FALSE)</f>
        <v>ZhaoYun</v>
      </c>
      <c r="F252" t="s">
        <v>11</v>
      </c>
      <c r="G252" s="3" t="s">
        <v>756</v>
      </c>
    </row>
    <row r="253" spans="1:7" x14ac:dyDescent="0.3">
      <c r="A253" t="s">
        <v>765</v>
      </c>
      <c r="B253">
        <f t="shared" si="21"/>
        <v>32</v>
      </c>
      <c r="C253" t="str">
        <f t="shared" si="22"/>
        <v>NODE_31_32</v>
      </c>
      <c r="E253" t="str">
        <f>VLOOKUP(F253,[1]HeroData!$A$3:$B$118,2, FALSE)</f>
        <v>LiuBei</v>
      </c>
      <c r="F253" t="s">
        <v>5</v>
      </c>
      <c r="G253" s="3" t="s">
        <v>757</v>
      </c>
    </row>
    <row r="254" spans="1:7" ht="33" x14ac:dyDescent="0.3">
      <c r="A254" t="s">
        <v>765</v>
      </c>
      <c r="B254">
        <f t="shared" si="21"/>
        <v>33</v>
      </c>
      <c r="C254" t="str">
        <f t="shared" si="22"/>
        <v>NODE_31_33</v>
      </c>
      <c r="E254" t="str">
        <f>VLOOKUP(F254,[1]HeroData!$A$3:$B$118,2, FALSE)</f>
        <v>LiuBei</v>
      </c>
      <c r="F254" t="s">
        <v>5</v>
      </c>
      <c r="G254" s="3" t="s">
        <v>758</v>
      </c>
    </row>
    <row r="255" spans="1:7" ht="33" x14ac:dyDescent="0.3">
      <c r="A255" t="s">
        <v>765</v>
      </c>
      <c r="B255">
        <f t="shared" si="21"/>
        <v>34</v>
      </c>
      <c r="C255" t="str">
        <f t="shared" si="22"/>
        <v>NODE_31_34</v>
      </c>
      <c r="E255" t="str">
        <f>VLOOKUP(F255,[1]HeroData!$A$3:$B$118,2, FALSE)</f>
        <v>LiuBei</v>
      </c>
      <c r="F255" t="s">
        <v>5</v>
      </c>
      <c r="G255" s="3" t="s">
        <v>801</v>
      </c>
    </row>
    <row r="256" spans="1:7" ht="33" x14ac:dyDescent="0.3">
      <c r="A256" t="s">
        <v>765</v>
      </c>
      <c r="B256">
        <f t="shared" si="21"/>
        <v>35</v>
      </c>
      <c r="C256" t="str">
        <f t="shared" si="22"/>
        <v>NODE_31_35</v>
      </c>
      <c r="E256" t="str">
        <f>VLOOKUP(F256,[1]HeroData!$A$3:$B$118,2, FALSE)</f>
        <v>LiuBei</v>
      </c>
      <c r="F256" t="s">
        <v>5</v>
      </c>
      <c r="G256" s="3" t="s">
        <v>759</v>
      </c>
    </row>
    <row r="257" spans="1:7" ht="33" x14ac:dyDescent="0.3">
      <c r="A257" t="s">
        <v>765</v>
      </c>
      <c r="B257">
        <f t="shared" si="21"/>
        <v>36</v>
      </c>
      <c r="C257" t="str">
        <f t="shared" si="22"/>
        <v>NODE_31_36</v>
      </c>
      <c r="E257" t="str">
        <f>VLOOKUP(F257,[1]HeroData!$A$3:$B$118,2, FALSE)</f>
        <v>LiuBei</v>
      </c>
      <c r="F257" t="s">
        <v>5</v>
      </c>
      <c r="G257" s="3" t="s">
        <v>760</v>
      </c>
    </row>
    <row r="258" spans="1:7" x14ac:dyDescent="0.3">
      <c r="A258" t="s">
        <v>765</v>
      </c>
      <c r="B258">
        <f t="shared" si="21"/>
        <v>37</v>
      </c>
      <c r="C258" t="str">
        <f t="shared" si="22"/>
        <v>NODE_31_37</v>
      </c>
      <c r="E258" t="str">
        <f>VLOOKUP(F258,[1]HeroData!$A$3:$B$118,2, FALSE)</f>
        <v>LiuBei</v>
      </c>
      <c r="F258" t="s">
        <v>5</v>
      </c>
      <c r="G258" s="3" t="s">
        <v>800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9210-5BFC-4779-981A-9157C4AD45DB}">
  <dimension ref="A1:G126"/>
  <sheetViews>
    <sheetView topLeftCell="A58" workbookViewId="0">
      <selection activeCell="E79" sqref="E79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767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768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769</v>
      </c>
      <c r="F36" s="21"/>
    </row>
    <row r="37" spans="1:6" x14ac:dyDescent="0.3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 x14ac:dyDescent="0.3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 x14ac:dyDescent="0.3">
      <c r="A40" s="21" t="s">
        <v>364</v>
      </c>
      <c r="B40" s="19" t="s">
        <v>766</v>
      </c>
      <c r="C40" s="19"/>
      <c r="D40" s="20" t="str">
        <f t="shared" si="2"/>
        <v>NODE_31_TITLE</v>
      </c>
      <c r="E40" s="28" t="s">
        <v>770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771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772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773</v>
      </c>
      <c r="F74" s="21"/>
    </row>
    <row r="75" spans="1:7" x14ac:dyDescent="0.3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 x14ac:dyDescent="0.3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 x14ac:dyDescent="0.3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 x14ac:dyDescent="0.3">
      <c r="A78" s="27" t="s">
        <v>369</v>
      </c>
      <c r="B78" s="19" t="s">
        <v>766</v>
      </c>
      <c r="C78" s="19"/>
      <c r="D78" s="20" t="str">
        <f>UPPER(B78)&amp;"_DESC"</f>
        <v>NODE_31_DESC</v>
      </c>
      <c r="E78" s="33" t="s">
        <v>774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29"/>
      <c r="F95" s="21"/>
    </row>
    <row r="96" spans="1:6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29"/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tr">
        <f t="shared" si="7"/>
        <v>선택1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tr">
        <f t="shared" si="7"/>
        <v>선택2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2026-07-21T13:33:15Z</dcterms:modified>
</cp:coreProperties>
</file>