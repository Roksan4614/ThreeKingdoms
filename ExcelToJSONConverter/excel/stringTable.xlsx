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 defaultThemeVersion="124226"/>
  <xr:revisionPtr revIDLastSave="0" documentId="13_ncr:1_{55912938-4858-4102-84AB-5001E37D72A3}" xr6:coauthVersionLast="47" xr6:coauthVersionMax="47" xr10:uidLastSave="{00000000-0000-0000-0000-000000000000}"/>
  <bookViews>
    <workbookView xWindow="2205" yWindow="2895" windowWidth="21600" windowHeight="11295" activeTab="3" xr2:uid="{00000000-000D-0000-FFFF-FFFF00000000}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5" l="1"/>
  <c r="E14" i="5"/>
  <c r="A15" i="5"/>
  <c r="B15" i="5"/>
  <c r="B16" i="5" s="1"/>
  <c r="B17" i="5" s="1"/>
  <c r="B18" i="5" s="1"/>
  <c r="B19" i="5" s="1"/>
  <c r="B20" i="5" s="1"/>
  <c r="B21" i="5" s="1"/>
  <c r="B22" i="5" s="1"/>
  <c r="E15" i="5"/>
  <c r="E16" i="5"/>
  <c r="E17" i="5"/>
  <c r="E18" i="5"/>
  <c r="E19" i="5"/>
  <c r="E20" i="5"/>
  <c r="E21" i="5"/>
  <c r="E22" i="5"/>
  <c r="A4" i="5"/>
  <c r="A5" i="5" s="1"/>
  <c r="C3" i="5"/>
  <c r="B4" i="5"/>
  <c r="B5" i="5" s="1"/>
  <c r="B6" i="5" s="1"/>
  <c r="B7" i="5" s="1"/>
  <c r="B8" i="5" s="1"/>
  <c r="B9" i="5" s="1"/>
  <c r="B10" i="5" s="1"/>
  <c r="B11" i="5" s="1"/>
  <c r="B13" i="5" s="1"/>
  <c r="B12" i="5" l="1"/>
  <c r="C15" i="5"/>
  <c r="C5" i="5"/>
  <c r="A6" i="5"/>
  <c r="A16" i="5"/>
  <c r="C16" i="5" s="1"/>
  <c r="A17" i="5"/>
  <c r="C4" i="5"/>
  <c r="A7" i="5" l="1"/>
  <c r="C6" i="5"/>
  <c r="C17" i="5"/>
  <c r="A18" i="5"/>
  <c r="C7" i="5" l="1"/>
  <c r="A8" i="5"/>
  <c r="A19" i="5"/>
  <c r="C18" i="5"/>
  <c r="C8" i="5" l="1"/>
  <c r="A9" i="5"/>
  <c r="C19" i="5"/>
  <c r="A20" i="5"/>
  <c r="C9" i="5" l="1"/>
  <c r="A10" i="5"/>
  <c r="C20" i="5"/>
  <c r="A21" i="5"/>
  <c r="C10" i="5" l="1"/>
  <c r="A11" i="5"/>
  <c r="A12" i="5" s="1"/>
  <c r="C12" i="5" s="1"/>
  <c r="C21" i="5"/>
  <c r="A22" i="5"/>
  <c r="C22" i="5" s="1"/>
  <c r="C11" i="5" l="1"/>
  <c r="A13" i="5"/>
  <c r="C13" i="5" s="1"/>
</calcChain>
</file>

<file path=xl/sharedStrings.xml><?xml version="1.0" encoding="utf-8"?>
<sst xmlns="http://schemas.openxmlformats.org/spreadsheetml/2006/main" count="141" uniqueCount="109">
  <si>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</si>
  <si>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</si>
  <si>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</si>
  <si>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</si>
  <si>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</si>
  <si>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</si>
  <si>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</si>
  <si>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</si>
  <si>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</si>
  <si>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</si>
  <si>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</si>
  <si>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</si>
  <si>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</si>
  <si>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</si>
  <si>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</si>
  <si>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</si>
  <si>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</si>
  <si>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</si>
  <si>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CLASSTYPE_CHAMPION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</si>
  <si>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</si>
  <si>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</si>
  <si>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</si>
  <si>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</si>
  <si>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</si>
  <si>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</si>
  <si>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</si>
  <si>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</si>
  <si>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</si>
  <si>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</si>
  <si>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</si>
  <si>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CLASSTYPE_SENTINEL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</si>
  <si>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</si>
  <si>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</si>
  <si>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</si>
  <si>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</si>
  <si>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</si>
  <si>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</si>
  <si>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</si>
  <si>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</si>
  <si>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</si>
  <si>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</si>
  <si>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</si>
  <si>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</si>
  <si>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</si>
  <si>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</si>
  <si>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</si>
  <si>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</si>
  <si>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</si>
  <si>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</si>
  <si>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</si>
  <si>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</si>
  <si>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</si>
  <si>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</si>
  <si>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"죽음을 각오한 자 만이 내 창을 마주할 것이다"</t>
    <phoneticPr fontId="1" type="noConversion"/>
  </si>
  <si>
    <t>DESC_TALK_SHU_ZHANGFEI</t>
    <phoneticPr fontId="1" type="noConversion"/>
  </si>
  <si>
    <t>DESC_TALK_SHU_ZHAYUN</t>
    <phoneticPr fontId="1" type="noConversion"/>
  </si>
  <si>
    <t>"하늘의 뜻은 이미 정해졌소.
그대들이 어찌 내 계책을 벗어나겠소?"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</si>
  <si>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</si>
  <si>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</si>
  <si>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</si>
  <si>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</si>
  <si>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</si>
  <si>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</si>
  <si>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</si>
  <si>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</si>
  <si>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</si>
  <si>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</si>
  <si>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</si>
  <si>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</si>
  <si>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</si>
  <si>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</si>
  <si>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</si>
  <si>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</si>
  <si>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</si>
  <si>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</si>
  <si>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</si>
  <si>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</si>
  <si>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</si>
  <si>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</si>
  <si>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1.1.1_SHU_START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</si>
  <si>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</si>
  <si>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</si>
  <si>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</si>
  <si>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</si>
  <si>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</si>
  <si>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응? 적이 있으면 스스로 공격하는구나!!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</si>
  <si>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</si>
  <si>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</si>
  <si>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ㅇㅋ. 관우 형님도 같이 합시다!</t>
    <phoneticPr fontId="1" type="noConversion"/>
  </si>
  <si>
    <t>덩치야. 같이 의용병 콜??</t>
    <phoneticPr fontId="1" type="noConversion"/>
  </si>
  <si>
    <t>좋소. 태어난 날은 달라도 같은 날 죽읍시다. 내가 나이가 제일 많으니…</t>
    <phoneticPr fontId="1" type="noConversion"/>
  </si>
  <si>
    <t>술 값은 내가 내겠소. 무기도 필요하니 내가 준비해보겠소.</t>
    <phoneticPr fontId="1" type="noConversion"/>
  </si>
  <si>
    <t>돗자리나 파는 양반이 돈이 어딨오?</t>
    <phoneticPr fontId="1" type="noConversion"/>
  </si>
  <si>
    <t>뭔 소리요? 이 지역 돗자리는 내가 다 납품하고 있구만.</t>
    <phoneticPr fontId="1" type="noConversion"/>
  </si>
  <si>
    <t>…</t>
    <phoneticPr fontId="1" type="noConversion"/>
  </si>
  <si>
    <t>형님, 잘 부탁하오.</t>
    <phoneticPr fontId="1" type="noConversion"/>
  </si>
  <si>
    <t>응?</t>
    <phoneticPr fontId="1" type="noConversion"/>
  </si>
  <si>
    <t>#PC</t>
    <phoneticPr fontId="1" type="noConversion"/>
  </si>
  <si>
    <t>키보드 조작으로 내가 움직일 수 있을거 같은데? 방향키를 눌러보까?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</si>
  <si>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</si>
  <si>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</si>
  <si>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</si>
  <si>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1.1.1_TUTORIAL</t>
    <phoneticPr fontId="1" type="noConversion"/>
  </si>
  <si>
    <t>Enemy</t>
    <phoneticPr fontId="1" type="noConversion"/>
  </si>
  <si>
    <t>얼빠지게 생긴 넘이다!! 죽여라!!</t>
    <phoneticPr fontId="1" type="noConversion"/>
  </si>
  <si>
    <t>돌진과 공격을 사용해보자.
X가 공격이고, C는 돌진이야.</t>
    <phoneticPr fontId="1" type="noConversion"/>
  </si>
  <si>
    <t>돌진과 공격을 사용해보자.
아래 버튼을 눌러봐.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</si>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</sst>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_WORK\Kingz_ThreeKingdoms\ExcelToJSONConverter\excel\hero.xlsx" TargetMode="External"/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HeroData"/>
      <sheetName val="Enemy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3CC5B-3BAE-4EB8-AAC4-1E077903F39F}">
  <dimension ref="A1:C3"/>
  <sheetViews>
    <sheetView workbookViewId="0">
      <selection activeCell="G11" sqref="G11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76</v>
      </c>
      <c r="B3" s="3" t="s">
        <v>77</v>
      </c>
      <c r="C3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1"/>
  <sheetViews>
    <sheetView topLeftCell="A21" workbookViewId="0">
      <selection activeCell="B29" sqref="B29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38</v>
      </c>
      <c r="B3" s="3" t="s">
        <v>5</v>
      </c>
      <c r="C3" s="3" t="s">
        <v>6</v>
      </c>
    </row>
    <row r="4" spans="1:4" x14ac:dyDescent="0.3">
      <c r="A4" t="s">
        <v>39</v>
      </c>
      <c r="B4" s="3" t="s">
        <v>7</v>
      </c>
      <c r="C4" s="3" t="s">
        <v>8</v>
      </c>
    </row>
    <row r="5" spans="1:4" x14ac:dyDescent="0.3">
      <c r="A5" t="s">
        <v>40</v>
      </c>
      <c r="B5" s="3" t="s">
        <v>9</v>
      </c>
      <c r="C5" s="3" t="s">
        <v>10</v>
      </c>
    </row>
    <row r="6" spans="1:4" x14ac:dyDescent="0.3">
      <c r="A6" t="s">
        <v>41</v>
      </c>
      <c r="B6" s="3" t="s">
        <v>11</v>
      </c>
      <c r="C6" s="3" t="s">
        <v>13</v>
      </c>
    </row>
    <row r="7" spans="1:4" x14ac:dyDescent="0.3">
      <c r="A7" t="s">
        <v>42</v>
      </c>
      <c r="B7" s="3" t="s">
        <v>12</v>
      </c>
      <c r="C7" s="3" t="s">
        <v>14</v>
      </c>
    </row>
    <row r="8" spans="1:4" x14ac:dyDescent="0.3">
      <c r="A8" t="s">
        <v>70</v>
      </c>
      <c r="B8" s="3" t="s">
        <v>71</v>
      </c>
      <c r="C8" s="3" t="s">
        <v>72</v>
      </c>
    </row>
    <row r="9" spans="1:4" x14ac:dyDescent="0.3">
      <c r="A9" t="s">
        <v>73</v>
      </c>
      <c r="B9" s="3" t="s">
        <v>74</v>
      </c>
      <c r="C9" s="3" t="s">
        <v>75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18</v>
      </c>
      <c r="B11" s="3" t="s">
        <v>19</v>
      </c>
      <c r="C11" s="3" t="s">
        <v>20</v>
      </c>
    </row>
    <row r="12" spans="1:4" x14ac:dyDescent="0.3">
      <c r="A12" t="s">
        <v>21</v>
      </c>
      <c r="B12" s="3" t="s">
        <v>22</v>
      </c>
      <c r="C12" s="3" t="s">
        <v>23</v>
      </c>
    </row>
    <row r="13" spans="1:4" x14ac:dyDescent="0.3">
      <c r="A13" t="s">
        <v>30</v>
      </c>
      <c r="B13" s="3" t="s">
        <v>29</v>
      </c>
      <c r="C13" s="3" t="s">
        <v>24</v>
      </c>
    </row>
    <row r="14" spans="1:4" x14ac:dyDescent="0.3">
      <c r="A14" t="s">
        <v>31</v>
      </c>
      <c r="B14" s="3" t="s">
        <v>28</v>
      </c>
      <c r="C14" s="3" t="s">
        <v>25</v>
      </c>
    </row>
    <row r="15" spans="1:4" x14ac:dyDescent="0.3">
      <c r="A15" t="s">
        <v>32</v>
      </c>
      <c r="B15" s="3" t="s">
        <v>27</v>
      </c>
      <c r="C15" s="3" t="s">
        <v>26</v>
      </c>
    </row>
    <row r="16" spans="1:4" x14ac:dyDescent="0.3">
      <c r="A16" t="s">
        <v>43</v>
      </c>
      <c r="B16" s="3" t="s">
        <v>33</v>
      </c>
    </row>
    <row r="17" spans="1:2" x14ac:dyDescent="0.3">
      <c r="A17" t="s">
        <v>44</v>
      </c>
      <c r="B17" s="3" t="s">
        <v>34</v>
      </c>
    </row>
    <row r="18" spans="1:2" x14ac:dyDescent="0.3">
      <c r="A18" t="s">
        <v>45</v>
      </c>
      <c r="B18" s="3" t="s">
        <v>35</v>
      </c>
    </row>
    <row r="19" spans="1:2" x14ac:dyDescent="0.3">
      <c r="A19" t="s">
        <v>46</v>
      </c>
      <c r="B19" s="3" t="s">
        <v>36</v>
      </c>
    </row>
    <row r="20" spans="1:2" x14ac:dyDescent="0.3">
      <c r="A20" t="s">
        <v>47</v>
      </c>
      <c r="B20" s="3" t="s">
        <v>37</v>
      </c>
    </row>
    <row r="21" spans="1:2" ht="33" x14ac:dyDescent="0.3">
      <c r="A21" t="s">
        <v>48</v>
      </c>
      <c r="B21" s="3" t="s">
        <v>49</v>
      </c>
    </row>
    <row r="22" spans="1:2" ht="33" x14ac:dyDescent="0.3">
      <c r="A22" t="s">
        <v>50</v>
      </c>
      <c r="B22" s="3" t="s">
        <v>52</v>
      </c>
    </row>
    <row r="23" spans="1:2" ht="33" x14ac:dyDescent="0.3">
      <c r="A23" t="s">
        <v>54</v>
      </c>
      <c r="B23" s="3" t="s">
        <v>51</v>
      </c>
    </row>
    <row r="24" spans="1:2" x14ac:dyDescent="0.3">
      <c r="A24" t="s">
        <v>55</v>
      </c>
      <c r="B24" s="3" t="s">
        <v>53</v>
      </c>
    </row>
    <row r="25" spans="1:2" ht="33" x14ac:dyDescent="0.3">
      <c r="A25" t="s">
        <v>57</v>
      </c>
      <c r="B25" s="3" t="s">
        <v>56</v>
      </c>
    </row>
    <row r="26" spans="1:2" x14ac:dyDescent="0.3">
      <c r="A26" t="s">
        <v>58</v>
      </c>
      <c r="B26" t="s">
        <v>59</v>
      </c>
    </row>
    <row r="27" spans="1:2" x14ac:dyDescent="0.3">
      <c r="A27" t="s">
        <v>60</v>
      </c>
      <c r="B27" t="s">
        <v>61</v>
      </c>
    </row>
    <row r="28" spans="1:2" x14ac:dyDescent="0.3">
      <c r="A28" t="s">
        <v>62</v>
      </c>
      <c r="B28" t="s">
        <v>66</v>
      </c>
    </row>
    <row r="29" spans="1:2" x14ac:dyDescent="0.3">
      <c r="A29" t="s">
        <v>63</v>
      </c>
      <c r="B29" t="s">
        <v>69</v>
      </c>
    </row>
    <row r="30" spans="1:2" x14ac:dyDescent="0.3">
      <c r="A30" t="s">
        <v>64</v>
      </c>
      <c r="B30" t="s">
        <v>67</v>
      </c>
    </row>
    <row r="31" spans="1:2" x14ac:dyDescent="0.3">
      <c r="A31" t="s">
        <v>65</v>
      </c>
      <c r="B31" t="s">
        <v>68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1C2E-4BE2-4C93-83EC-C1AF98EC6DD2}">
  <dimension ref="A1:I32"/>
  <sheetViews>
    <sheetView tabSelected="1" topLeftCell="A7" workbookViewId="0">
      <selection activeCell="G13" sqref="G13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78</v>
      </c>
      <c r="B1" s="1" t="s">
        <v>82</v>
      </c>
      <c r="C1" s="1" t="s">
        <v>3</v>
      </c>
      <c r="D1" s="1" t="s">
        <v>97</v>
      </c>
      <c r="E1" s="1" t="s">
        <v>81</v>
      </c>
      <c r="F1" s="1" t="s">
        <v>80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83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102</v>
      </c>
      <c r="B3">
        <v>0</v>
      </c>
      <c r="C3" t="str">
        <f>_xlfn.CONCAT(A3, "_", B3, IF(D3&lt;&gt;"", "_"&amp;D3, ""))</f>
        <v>1.1.1_TUTORIAL_0</v>
      </c>
      <c r="G3" s="3" t="s">
        <v>99</v>
      </c>
    </row>
    <row r="4" spans="1:9" x14ac:dyDescent="0.3">
      <c r="A4" t="str">
        <f>A3</f>
        <v>1.1.1_TUTORIAL</v>
      </c>
      <c r="B4">
        <f t="shared" ref="B4:B11" si="0">B3+1</f>
        <v>1</v>
      </c>
      <c r="C4" t="str">
        <f t="shared" ref="C4" si="1">_xlfn.CONCAT(A4, "_", B4, IF(D4&lt;&gt;"", "_"&amp;D4, ""))</f>
        <v>1.1.1_TUTORIAL_1</v>
      </c>
      <c r="E4" t="s">
        <v>103</v>
      </c>
      <c r="G4" s="3" t="s">
        <v>104</v>
      </c>
    </row>
    <row r="5" spans="1:9" x14ac:dyDescent="0.3">
      <c r="A5" t="str">
        <f>A4</f>
        <v>1.1.1_TUTORIAL</v>
      </c>
      <c r="B5">
        <f t="shared" si="0"/>
        <v>2</v>
      </c>
      <c r="C5" t="str">
        <f t="shared" ref="C5:C11" si="2">_xlfn.CONCAT(A5, "_", B5, IF(D5&lt;&gt;"", "_"&amp;D5, ""))</f>
        <v>1.1.1_TUTORIAL_2</v>
      </c>
      <c r="G5" s="3" t="s">
        <v>86</v>
      </c>
    </row>
    <row r="6" spans="1:9" x14ac:dyDescent="0.3">
      <c r="A6" t="str">
        <f t="shared" ref="A6:A12" si="3">A5</f>
        <v>1.1.1_TUTORIAL</v>
      </c>
      <c r="B6">
        <f t="shared" si="0"/>
        <v>3</v>
      </c>
      <c r="C6" t="str">
        <f t="shared" si="2"/>
        <v>1.1.1_TUTORIAL_3</v>
      </c>
      <c r="G6" s="3" t="s">
        <v>85</v>
      </c>
    </row>
    <row r="7" spans="1:9" x14ac:dyDescent="0.3">
      <c r="A7" t="str">
        <f t="shared" si="3"/>
        <v>1.1.1_TUTORIAL</v>
      </c>
      <c r="B7">
        <f t="shared" si="0"/>
        <v>4</v>
      </c>
      <c r="C7" t="str">
        <f t="shared" si="2"/>
        <v>1.1.1_TUTORIAL_4_MOBILE</v>
      </c>
      <c r="D7" t="s">
        <v>100</v>
      </c>
      <c r="G7" s="3" t="s">
        <v>84</v>
      </c>
    </row>
    <row r="8" spans="1:9" ht="33" x14ac:dyDescent="0.3">
      <c r="A8" t="str">
        <f t="shared" si="3"/>
        <v>1.1.1_TUTORIAL</v>
      </c>
      <c r="B8">
        <f t="shared" si="0"/>
        <v>5</v>
      </c>
      <c r="C8" t="str">
        <f t="shared" si="2"/>
        <v>1.1.1_TUTORIAL_5_PC</v>
      </c>
      <c r="D8" t="s">
        <v>101</v>
      </c>
      <c r="G8" s="3" t="s">
        <v>98</v>
      </c>
    </row>
    <row r="9" spans="1:9" ht="33" x14ac:dyDescent="0.3">
      <c r="A9" t="str">
        <f t="shared" si="3"/>
        <v>1.1.1_TUTORIAL</v>
      </c>
      <c r="B9">
        <f t="shared" si="0"/>
        <v>6</v>
      </c>
      <c r="C9" t="str">
        <f t="shared" si="2"/>
        <v>1.1.1_TUTORIAL_6_MOBILE</v>
      </c>
      <c r="D9" t="s">
        <v>100</v>
      </c>
      <c r="G9" s="3" t="s">
        <v>106</v>
      </c>
    </row>
    <row r="10" spans="1:9" ht="33" x14ac:dyDescent="0.3">
      <c r="A10" t="str">
        <f t="shared" si="3"/>
        <v>1.1.1_TUTORIAL</v>
      </c>
      <c r="B10">
        <f t="shared" si="0"/>
        <v>7</v>
      </c>
      <c r="C10" t="str">
        <f t="shared" si="2"/>
        <v>1.1.1_TUTORIAL_7_PC</v>
      </c>
      <c r="D10" t="s">
        <v>101</v>
      </c>
      <c r="G10" s="3" t="s">
        <v>105</v>
      </c>
    </row>
    <row r="11" spans="1:9" x14ac:dyDescent="0.3">
      <c r="A11" t="str">
        <f t="shared" si="3"/>
        <v>1.1.1_TUTORIAL</v>
      </c>
      <c r="B11">
        <f t="shared" si="0"/>
        <v>8</v>
      </c>
      <c r="C11" t="str">
        <f t="shared" si="2"/>
        <v>1.1.1_TUTORIAL_8_MOBILE</v>
      </c>
      <c r="D11" t="s">
        <v>100</v>
      </c>
      <c r="G11" s="3" t="s">
        <v>107</v>
      </c>
    </row>
    <row r="12" spans="1:9" ht="33" x14ac:dyDescent="0.3">
      <c r="A12" t="str">
        <f t="shared" si="3"/>
        <v>1.1.1_TUTORIAL</v>
      </c>
      <c r="B12">
        <f t="shared" ref="B12" si="4">B11+1</f>
        <v>9</v>
      </c>
      <c r="C12" t="str">
        <f t="shared" ref="C12" si="5">_xlfn.CONCAT(A12, "_", B12, IF(D12&lt;&gt;"", "_"&amp;D12, ""))</f>
        <v>1.1.1_TUTORIAL_9_PC</v>
      </c>
      <c r="D12" t="s">
        <v>101</v>
      </c>
      <c r="G12" s="3" t="s">
        <v>108</v>
      </c>
    </row>
    <row r="13" spans="1:9" x14ac:dyDescent="0.3">
      <c r="A13" t="str">
        <f>A11</f>
        <v>1.1.1_TUTORIAL</v>
      </c>
      <c r="B13">
        <f t="shared" ref="B13" si="6">B11+1</f>
        <v>9</v>
      </c>
      <c r="C13" t="str">
        <f t="shared" ref="C13" si="7">_xlfn.CONCAT(A13, "_", B13, IF(D13&lt;&gt;"", "_"&amp;D13, ""))</f>
        <v>1.1.1_TUTORIAL_9</v>
      </c>
      <c r="G13" s="3" t="s">
        <v>87</v>
      </c>
    </row>
    <row r="14" spans="1:9" x14ac:dyDescent="0.3">
      <c r="A14" t="s">
        <v>79</v>
      </c>
      <c r="B14">
        <v>0</v>
      </c>
      <c r="C14" t="str">
        <f>_xlfn.CONCAT(A14, "_", B14, IF(D14&lt;&gt;"", "_"&amp;D14, ""))</f>
        <v>1.1.1_SHU_START_0</v>
      </c>
      <c r="E14" t="str">
        <f>VLOOKUP(F14,[1]HeroData!$A$3:$B$118,2, FALSE)</f>
        <v>LiuBei</v>
      </c>
      <c r="F14" t="s">
        <v>5</v>
      </c>
      <c r="G14" s="3" t="s">
        <v>89</v>
      </c>
    </row>
    <row r="15" spans="1:9" x14ac:dyDescent="0.3">
      <c r="A15" t="str">
        <f t="shared" ref="A15:A22" si="8">A14</f>
        <v>1.1.1_SHU_START</v>
      </c>
      <c r="B15">
        <f>B14+1</f>
        <v>1</v>
      </c>
      <c r="C15" t="str">
        <f>_xlfn.CONCAT(A15, "_", B15, IF(D15&lt;&gt;"", "_"&amp;D15, ""))</f>
        <v>1.1.1_SHU_START_1</v>
      </c>
      <c r="E15" t="str">
        <f>VLOOKUP(F15,[1]HeroData!$A$3:$B$118,2, FALSE)</f>
        <v>ZhangFei</v>
      </c>
      <c r="F15" t="s">
        <v>9</v>
      </c>
      <c r="G15" s="3" t="s">
        <v>88</v>
      </c>
    </row>
    <row r="16" spans="1:9" ht="33" x14ac:dyDescent="0.3">
      <c r="A16" t="str">
        <f t="shared" si="8"/>
        <v>1.1.1_SHU_START</v>
      </c>
      <c r="B16">
        <f>B15+1</f>
        <v>2</v>
      </c>
      <c r="C16" t="str">
        <f>_xlfn.CONCAT(A16, "_", B16, IF(D16&lt;&gt;"", "_"&amp;D16, ""))</f>
        <v>1.1.1_SHU_START_2</v>
      </c>
      <c r="E16" t="str">
        <f>VLOOKUP(F16,[1]HeroData!$A$3:$B$118,2, FALSE)</f>
        <v>GuanYu</v>
      </c>
      <c r="F16" t="s">
        <v>7</v>
      </c>
      <c r="G16" s="3" t="s">
        <v>90</v>
      </c>
    </row>
    <row r="17" spans="1:7" x14ac:dyDescent="0.3">
      <c r="A17" t="str">
        <f t="shared" si="8"/>
        <v>1.1.1_SHU_START</v>
      </c>
      <c r="B17">
        <f>B16+1</f>
        <v>3</v>
      </c>
      <c r="C17" t="str">
        <f>_xlfn.CONCAT(A17, "_", B17, IF(D17&lt;&gt;"", "_"&amp;D17, ""))</f>
        <v>1.1.1_SHU_START_3</v>
      </c>
      <c r="E17" t="str">
        <f>VLOOKUP(F17,[1]HeroData!$A$3:$B$118,2, FALSE)</f>
        <v>LiuBei</v>
      </c>
      <c r="F17" t="s">
        <v>5</v>
      </c>
      <c r="G17" s="3" t="s">
        <v>91</v>
      </c>
    </row>
    <row r="18" spans="1:7" x14ac:dyDescent="0.3">
      <c r="A18" t="str">
        <f t="shared" si="8"/>
        <v>1.1.1_SHU_START</v>
      </c>
      <c r="B18">
        <f>B17+1</f>
        <v>4</v>
      </c>
      <c r="C18" t="str">
        <f>_xlfn.CONCAT(A18, "_", B18, IF(D18&lt;&gt;"", "_"&amp;D18, ""))</f>
        <v>1.1.1_SHU_START_4</v>
      </c>
      <c r="E18" t="str">
        <f>VLOOKUP(F18,[1]HeroData!$A$3:$B$118,2, FALSE)</f>
        <v>GuanYu</v>
      </c>
      <c r="F18" t="s">
        <v>7</v>
      </c>
      <c r="G18" s="3" t="s">
        <v>94</v>
      </c>
    </row>
    <row r="19" spans="1:7" x14ac:dyDescent="0.3">
      <c r="A19" t="str">
        <f t="shared" si="8"/>
        <v>1.1.1_SHU_START</v>
      </c>
      <c r="B19">
        <f>B18+1</f>
        <v>5</v>
      </c>
      <c r="C19" t="str">
        <f>_xlfn.CONCAT(A19, "_", B19, IF(D19&lt;&gt;"", "_"&amp;D19, ""))</f>
        <v>1.1.1_SHU_START_5</v>
      </c>
      <c r="E19" t="str">
        <f>VLOOKUP(F19,[1]HeroData!$A$3:$B$118,2, FALSE)</f>
        <v>ZhangFei</v>
      </c>
      <c r="F19" t="s">
        <v>9</v>
      </c>
      <c r="G19" s="3" t="s">
        <v>92</v>
      </c>
    </row>
    <row r="20" spans="1:7" x14ac:dyDescent="0.3">
      <c r="A20" t="str">
        <f t="shared" si="8"/>
        <v>1.1.1_SHU_START</v>
      </c>
      <c r="B20">
        <f t="shared" ref="B20:B22" si="9">B19+1</f>
        <v>6</v>
      </c>
      <c r="C20" t="str">
        <f>_xlfn.CONCAT(A20, "_", B20, IF(D20&lt;&gt;"", "_"&amp;D20, ""))</f>
        <v>1.1.1_SHU_START_6</v>
      </c>
      <c r="E20" t="str">
        <f>VLOOKUP(F20,[1]HeroData!$A$3:$B$118,2, FALSE)</f>
        <v>LiuBei</v>
      </c>
      <c r="F20" t="s">
        <v>5</v>
      </c>
      <c r="G20" s="3" t="s">
        <v>93</v>
      </c>
    </row>
    <row r="21" spans="1:7" x14ac:dyDescent="0.3">
      <c r="A21" t="str">
        <f t="shared" si="8"/>
        <v>1.1.1_SHU_START</v>
      </c>
      <c r="B21">
        <f t="shared" si="9"/>
        <v>7</v>
      </c>
      <c r="C21" t="str">
        <f>_xlfn.CONCAT(A21, "_", B21, IF(D21&lt;&gt;"", "_"&amp;D21, ""))</f>
        <v>1.1.1_SHU_START_7</v>
      </c>
      <c r="E21" t="str">
        <f>VLOOKUP(F21,[1]HeroData!$A$3:$B$118,2, FALSE)</f>
        <v>GuanYu</v>
      </c>
      <c r="F21" t="s">
        <v>7</v>
      </c>
      <c r="G21" s="3" t="s">
        <v>95</v>
      </c>
    </row>
    <row r="22" spans="1:7" x14ac:dyDescent="0.3">
      <c r="A22" t="str">
        <f t="shared" si="8"/>
        <v>1.1.1_SHU_START</v>
      </c>
      <c r="B22">
        <f t="shared" si="9"/>
        <v>8</v>
      </c>
      <c r="C22" t="str">
        <f>_xlfn.CONCAT(A22, "_", B22, IF(D22&lt;&gt;"", "_"&amp;D22, ""))</f>
        <v>1.1.1_SHU_START_8</v>
      </c>
      <c r="E22" t="str">
        <f>VLOOKUP(F22,[1]HeroData!$A$3:$B$118,2, FALSE)</f>
        <v>LiuBei</v>
      </c>
      <c r="F22" t="s">
        <v>5</v>
      </c>
      <c r="G22" s="3" t="s">
        <v>96</v>
      </c>
    </row>
    <row r="27" spans="1:7" x14ac:dyDescent="0.3">
      <c r="G27"/>
    </row>
    <row r="28" spans="1:7" x14ac:dyDescent="0.3">
      <c r="G28"/>
    </row>
    <row r="29" spans="1:7" x14ac:dyDescent="0.3">
      <c r="G29"/>
    </row>
    <row r="30" spans="1:7" x14ac:dyDescent="0.3">
      <c r="G30"/>
    </row>
    <row r="31" spans="1:7" x14ac:dyDescent="0.3">
      <c r="G31"/>
    </row>
    <row r="32" spans="1:7" x14ac:dyDescent="0.3">
      <c r="G32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2026-03-13T08:19:23Z</dcterms:modified>
</cp:coreProperties>
</file>