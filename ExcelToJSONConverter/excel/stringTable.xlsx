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81C7DD07-C06F-488F-8EB6-0CAC4234E18A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  <sheet name="String_GuideQuest" sheetId="9" r:id="rId8"/>
    <sheet name="String_Traits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0" i="4" l="1"/>
  <c r="B99" i="4"/>
  <c r="B98" i="4"/>
  <c r="B97" i="4"/>
  <c r="B96" i="4"/>
  <c r="B95" i="4"/>
  <c r="B94" i="4"/>
  <c r="B93" i="4"/>
  <c r="B92" i="4"/>
  <c r="B91" i="4"/>
  <c r="B90" i="4"/>
  <c r="B89" i="4"/>
  <c r="B88" i="4"/>
  <c r="B101" i="4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52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7" i="10"/>
  <c r="B9" i="9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6" i="4"/>
  <c r="B55" i="4"/>
  <c r="B54" i="4"/>
  <c r="B53" i="4"/>
  <c r="B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<sst xmlns="http://schemas.openxmlformats.org/spreadsheetml/2006/main" count="1904" uniqueCount="1000">
  <si>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</si>
  <si>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</si>
  <si>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</si>
  <si>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</si>
  <si>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</si>
  <si>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</si>
  <si>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</si>
  <si>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</si>
  <si>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</si>
  <si>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</si>
  <si>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</si>
  <si>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</si>
  <si>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</si>
  <si>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</si>
  <si>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</si>
  <si>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</si>
  <si>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</si>
  <si>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</si>
  <si>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</si>
  <si>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</si>
  <si>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</si>
  <si>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</si>
  <si>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</si>
  <si>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</si>
  <si>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</si>
  <si>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</si>
  <si>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</si>
  <si>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</si>
  <si>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</si>
  <si>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</si>
  <si>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</si>
  <si>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</si>
  <si>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</si>
  <si>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</si>
  <si>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</si>
  <si>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</si>
  <si>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</si>
  <si>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</si>
  <si>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</si>
  <si>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</si>
  <si>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</si>
  <si>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</si>
  <si>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</si>
  <si>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</si>
  <si>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</si>
  <si>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</si>
  <si>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</si>
  <si>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</si>
  <si>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</si>
  <si>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</si>
  <si>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</si>
  <si>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</si>
  <si>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</si>
  <si>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</si>
  <si>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</si>
  <si>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</si>
  <si>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</si>
  <si>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</si>
  <si>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</si>
  <si>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</si>
  <si>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</si>
  <si>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</si>
  <si>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</si>
  <si>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</si>
  <si>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</si>
  <si>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</si>
  <si>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</si>
  <si>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</si>
  <si>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</si>
  <si>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</si>
  <si>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</si>
  <si>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</si>
  <si>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</si>
  <si>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</si>
  <si>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</si>
  <si>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</si>
  <si>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</si>
  <si>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</si>
  <si>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</si>
  <si>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</si>
  <si>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</si>
  <si>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</si>
  <si>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</si>
  <si>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</si>
  <si>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</si>
  <si>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</si>
  <si>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</si>
  <si>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</si>
  <si>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</si>
  <si>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</si>
  <si>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</si>
  <si>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</si>
  <si>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</si>
  <si>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</si>
  <si>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</si>
  <si>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</si>
  <si>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</si>
  <si>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</si>
  <si>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</si>
  <si>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</si>
  <si>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</si>
  <si>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</si>
  <si>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</si>
  <si>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</si>
  <si>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</si>
  <si>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</si>
  <si>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</si>
  <si>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</si>
  <si>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</si>
  <si>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</si>
  <si>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</si>
  <si>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</si>
  <si>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</si>
  <si>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</si>
  <si>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</si>
  <si>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</si>
  <si>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</si>
  <si>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</si>
  <si>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</si>
  <si>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</si>
  <si>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</si>
  <si>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</si>
  <si>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</si>
  <si>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</si>
  <si>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</si>
  <si>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</si>
  <si>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</si>
  <si>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</si>
  <si>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</si>
  <si>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</si>
  <si>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</si>
  <si>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</si>
  <si>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</si>
  <si>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</si>
  <si>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</si>
  <si>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</si>
  <si>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</si>
  <si>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</si>
  <si>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</si>
  <si>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</si>
  <si>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</si>
  <si>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</si>
  <si>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</si>
  <si>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</si>
  <si>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</si>
  <si>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</si>
  <si>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</si>
  <si>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</si>
  <si>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</si>
  <si>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</si>
  <si>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</si>
  <si>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</si>
  <si>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</si>
  <si>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</si>
  <si>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</si>
  <si>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</si>
  <si>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</si>
  <si>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</si>
  <si>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</si>
  <si>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</si>
  <si>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</si>
  <si>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</si>
  <si>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</si>
  <si>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</si>
  <si>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</si>
  <si>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</si>
  <si>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</si>
  <si>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</si>
  <si>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</si>
  <si>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</si>
  <si>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</si>
  <si>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</si>
  <si>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</si>
  <si>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</si>
  <si>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</si>
  <si>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</si>
  <si>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</si>
  <si>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</si>
  <si>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</si>
  <si>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</si>
  <si>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</si>
  <si>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</si>
  <si>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</si>
  <si>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</si>
  <si>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</si>
  <si>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</si>
  <si>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</si>
  <si>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</si>
  <si>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</si>
  <si>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</si>
  <si>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</si>
  <si>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</si>
  <si>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</si>
  <si>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</si>
  <si>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</si>
  <si>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</si>
  <si>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</si>
  <si>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</si>
  <si>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</si>
  <si>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</si>
  <si>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</si>
  <si>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</si>
  <si>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</si>
  <si>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</si>
  <si>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</si>
  <si>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</si>
  <si>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</si>
  <si>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</si>
  <si>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</si>
  <si>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</si>
  <si>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</si>
  <si>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</si>
  <si>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</si>
  <si>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</si>
  <si>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</si>
  <si>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</si>
  <si>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</si>
  <si>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</si>
  <si>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</si>
  <si>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</si>
  <si>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</si>
  <si>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</si>
  <si>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</si>
  <si>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</si>
  <si>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</si>
  <si>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</si>
  <si>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</si>
  <si>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</si>
  <si>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</si>
  <si>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</si>
  <si>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</si>
  <si>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</si>
  <si>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</si>
  <si>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</si>
  <si>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</si>
  <si>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</si>
  <si>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</si>
  <si>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</si>
  <si>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</si>
  <si>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</si>
  <si>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</si>
  <si>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</si>
  <si>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</si>
  <si>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</si>
  <si>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</si>
  <si>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</si>
  <si>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</si>
  <si>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</si>
  <si>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</si>
  <si>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</si>
  <si>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</si>
  <si>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</si>
  <si>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</si>
  <si>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</si>
  <si>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</si>
  <si>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</si>
  <si>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</si>
  <si>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</si>
  <si>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</si>
  <si>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</si>
  <si>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</si>
  <si>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</si>
  <si>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</si>
  <si>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</si>
  <si>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</si>
  <si>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</si>
  <si>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</si>
  <si>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</si>
  <si>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</si>
  <si>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</si>
  <si>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</si>
  <si>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</si>
  <si>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</si>
  <si>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</si>
  <si>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</si>
  <si>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</si>
  <si>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</si>
  <si>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</si>
  <si>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</si>
  <si>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</si>
  <si>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</si>
  <si>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</si>
  <si>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</si>
  <si>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</si>
  <si>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</si>
  <si>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</si>
  <si>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</si>
  <si>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</si>
  <si>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</si>
  <si>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</si>
  <si>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</si>
  <si>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</si>
  <si>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</si>
  <si>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</si>
  <si>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</si>
  <si>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</si>
  <si>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</si>
  <si>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</si>
  <si>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</si>
  <si>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</si>
  <si>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</si>
  <si>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</si>
  <si>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</si>
  <si>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</si>
  <si>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</si>
  <si>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</si>
  <si>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</si>
  <si>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</si>
  <si>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</si>
  <si>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</si>
  <si>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</si>
  <si>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</si>
  <si>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</si>
  <si>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</si>
  <si>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</si>
  <si>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</si>
  <si>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</si>
  <si>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</si>
  <si>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</si>
  <si>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</si>
  <si>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</si>
  <si>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</si>
  <si>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</si>
  <si>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</si>
  <si>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</si>
  <si>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</si>
  <si>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</si>
  <si>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</si>
  <si>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</si>
  <si>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</si>
  <si>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</si>
  <si>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</si>
  <si>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</si>
  <si>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</si>
  <si>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</si>
  <si>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</si>
  <si>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</si>
  <si>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</si>
  <si>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</si>
  <si>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</si>
  <si>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</si>
  <si>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</si>
  <si>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</si>
  <si>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</si>
  <si>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</si>
  <si>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</si>
  <si>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</si>
  <si>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</si>
  <si>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</si>
  <si>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</si>
  <si>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</si>
  <si>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</si>
  <si>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</si>
  <si>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</si>
  <si>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</si>
  <si>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</si>
  <si>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</si>
  <si>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</si>
  <si>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</si>
  <si>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</si>
  <si>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</si>
  <si>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</si>
  <si>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</si>
  <si>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</si>
  <si>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</si>
  <si>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</si>
  <si>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</si>
  <si>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</si>
  <si>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</si>
  <si>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</si>
  <si>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</si>
  <si>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</si>
  <si>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</si>
  <si>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</si>
  <si>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</si>
  <si>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</si>
  <si>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</si>
  <si>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</si>
  <si>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</si>
  <si>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</si>
  <si>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</si>
  <si>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</si>
  <si>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</si>
  <si>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</si>
  <si>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</si>
  <si>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</si>
  <si>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</si>
  <si>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</si>
  <si>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</si>
  <si>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</si>
  <si>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</si>
  <si>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</si>
  <si>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</si>
  <si>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</si>
  <si>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</si>
  <si>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</si>
  <si>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</si>
  <si>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</si>
  <si>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</si>
  <si>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</si>
  <si>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</si>
  <si>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</si>
  <si>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</si>
  <si>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</si>
  <si>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</si>
  <si>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</si>
  <si>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</si>
  <si>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</si>
  <si>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</si>
  <si>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</si>
  <si>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</si>
  <si>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</si>
  <si>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</si>
  <si>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</si>
  <si>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</si>
  <si>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</si>
  <si>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</si>
  <si>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</si>
  <si>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</si>
  <si>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</si>
  <si>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</si>
  <si>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</si>
  <si>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</si>
  <si>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</si>
  <si>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</si>
  <si>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</si>
  <si>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</si>
  <si>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</si>
  <si>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</si>
  <si>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</si>
  <si>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</si>
  <si>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</si>
  <si>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</si>
  <si>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</si>
  <si>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</si>
  <si>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</si>
  <si>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</si>
  <si>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</si>
  <si>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</si>
  <si>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</si>
  <si>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</si>
  <si>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</si>
  <si>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</si>
  <si>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</si>
  <si>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</si>
  <si>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</si>
  <si>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</si>
  <si>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</si>
  <si>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</si>
  <si>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</si>
  <si>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</si>
  <si>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</si>
  <si>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</si>
  <si>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</si>
  <si>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</si>
  <si>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</si>
  <si>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</si>
  <si>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</si>
  <si>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</si>
  <si>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</si>
  <si>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</si>
  <si>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</si>
  <si>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</si>
  <si>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</si>
  <si>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</si>
  <si>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</si>
  <si>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</si>
  <si>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</si>
  <si>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</si>
  <si>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</si>
  <si>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</si>
  <si>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</si>
  <si>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</si>
  <si>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</si>
  <si>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</si>
  <si>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</si>
  <si>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</si>
  <si>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</si>
  <si>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</si>
  <si>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</si>
  <si>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</si>
  <si>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</si>
  <si>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</si>
  <si>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</si>
  <si>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</si>
  <si>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</si>
  <si>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</si>
  <si>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</si>
  <si>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</si>
  <si>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</si>
  <si>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</si>
  <si>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</si>
  <si>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</si>
  <si>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</si>
  <si>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</si>
  <si>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</si>
  <si>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</si>
  <si>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</si>
  <si>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</si>
  <si>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</si>
  <si>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</si>
  <si>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</si>
  <si>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</si>
  <si>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</si>
  <si>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</si>
  <si>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</si>
  <si>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</si>
  <si>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</si>
  <si>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</si>
  <si>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</si>
  <si>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</si>
  <si>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</si>
  <si>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</si>
  <si>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</si>
  <si>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</si>
  <si>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</si>
  <si>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</si>
  <si>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</si>
  <si>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</si>
  <si>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</si>
  <si>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</si>
  <si>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</si>
  <si>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</si>
  <si>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</si>
  <si>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</si>
  <si>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</si>
  <si>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</si>
  <si>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</si>
  <si>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</si>
  <si>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</si>
  <si>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</si>
  <si>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</si>
  <si>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</si>
  <si>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</si>
  <si>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</si>
  <si>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</si>
  <si>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</si>
  <si>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</si>
  <si>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</si>
  <si>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</si>
  <si>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</si>
  <si>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</si>
  <si>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</si>
  <si>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</si>
  <si>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</si>
  <si>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</si>
  <si>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</si>
  <si>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</si>
  <si>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</si>
  <si>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</si>
  <si>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</si>
  <si>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</si>
  <si>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</si>
  <si>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</si>
  <si>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</si>
  <si>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</si>
  <si>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</si>
  <si>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</si>
  <si>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</si>
  <si>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</si>
  <si>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</si>
  <si>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</si>
  <si>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</si>
  <si>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</si>
  <si>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</si>
  <si>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</si>
  <si>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</si>
  <si>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</si>
  <si>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</si>
  <si>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</si>
  <si>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</si>
  <si>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</si>
  <si>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</si>
  <si>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</si>
  <si>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</si>
  <si>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</si>
  <si>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</si>
  <si>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</si>
  <si>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</si>
  <si>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</si>
  <si>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</si>
  <si>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</si>
  <si>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</si>
  <si>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</si>
  <si>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</si>
  <si>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</si>
  <si>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</si>
  <si>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</si>
  <si>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</si>
  <si>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</si>
  <si>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</si>
  <si>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</si>
  <si>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</si>
  <si>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</si>
  <si>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</si>
  <si>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</si>
  <si>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</si>
  <si>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</si>
  <si>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</si>
  <si>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</si>
  <si>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</si>
  <si>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</si>
  <si>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</si>
  <si>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</si>
  <si>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</si>
  <si>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</si>
  <si>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</si>
  <si>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</si>
  <si>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</si>
  <si>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</si>
  <si>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</si>
  <si>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</si>
  <si>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</si>
  <si>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</si>
  <si>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</si>
  <si>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</si>
  <si>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</si>
  <si>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</si>
  <si>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</si>
  <si>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</si>
  <si>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</si>
  <si>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</si>
  <si>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</si>
  <si>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</si>
  <si>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</si>
  <si>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</si>
  <si>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</si>
  <si>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</si>
  <si>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</si>
  <si>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</si>
  <si>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</si>
  <si>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</si>
  <si>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</si>
  <si>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</si>
  <si>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</si>
  <si>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</si>
  <si>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</si>
  <si>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</si>
  <si>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</si>
  <si>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</si>
  <si>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</si>
  <si>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</si>
  <si>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</si>
  <si>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</si>
  <si>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</si>
  <si>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</si>
  <si>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</si>
  <si>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</si>
  <si>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</si>
  <si>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</si>
  <si>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</si>
  <si>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</si>
  <si>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</si>
  <si>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</si>
  <si>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</si>
  <si>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</si>
  <si>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</si>
  <si>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</si>
  <si>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</si>
  <si>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</si>
  <si>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</si>
  <si>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</si>
  <si>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</si>
  <si>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</si>
  <si>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</si>
  <si>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</si>
  <si>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</si>
  <si>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</si>
  <si>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</si>
  <si>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</si>
  <si>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</si>
  <si>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</si>
  <si>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</si>
  <si>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</si>
  <si>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</si>
  <si>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</si>
  <si>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</si>
  <si>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</si>
  <si>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</si>
  <si>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</si>
  <si>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</si>
  <si>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</si>
  <si>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</si>
  <si>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</si>
  <si>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</si>
  <si>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</si>
  <si>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</si>
  <si>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</si>
  <si>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</si>
  <si>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</si>
  <si>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</si>
  <si>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</si>
  <si>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</si>
  <si>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</si>
  <si>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</si>
  <si>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</si>
  <si>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</si>
  <si>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</si>
  <si>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</si>
  <si>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</si>
  <si>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</si>
  <si>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</si>
  <si>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</si>
  <si>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</si>
  <si>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</si>
  <si>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</si>
  <si>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</si>
  <si>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</si>
  <si>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</si>
  <si>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</si>
  <si>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</si>
  <si>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</si>
  <si>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</si>
  <si>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</si>
  <si>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</si>
  <si>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</si>
  <si>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</si>
  <si>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</si>
  <si>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</si>
  <si>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</si>
  <si>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</si>
  <si>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</si>
  <si>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</si>
  <si>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</si>
  <si>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</si>
  <si>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</si>
  <si>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</si>
  <si>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</si>
  <si>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</si>
  <si>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</si>
  <si>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</si>
  <si>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</si>
  <si>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</si>
  <si>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</si>
  <si>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</si>
  <si>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</si>
  <si>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</si>
  <si>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</si>
  <si>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</si>
  <si>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</si>
  <si>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</si>
  <si>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</si>
  <si>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</si>
  <si>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</si>
  <si>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</si>
  <si>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</si>
  <si>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</si>
  <si>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</si>
  <si>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</si>
  <si>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</si>
  <si>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</si>
  <si>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</si>
  <si>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</si>
  <si>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</si>
  <si>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</si>
  <si>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</si>
  <si>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</si>
  <si>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</si>
  <si>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</si>
  <si>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</si>
  <si>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</si>
  <si>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</si>
  <si>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</si>
  <si>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</si>
  <si>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</si>
  <si>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</si>
  <si>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</si>
  <si>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</si>
  <si>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</si>
  <si>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</si>
  <si>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</si>
  <si>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</si>
  <si>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</si>
  <si>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</si>
  <si>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</si>
  <si>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</si>
  <si>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</si>
  <si>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</si>
  <si>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</si>
  <si>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</si>
  <si>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</si>
  <si>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</si>
  <si>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</si>
  <si>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</si>
  <si>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</si>
  <si>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</si>
  <si>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</si>
  <si>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</si>
  <si>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</si>
  <si>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</si>
  <si>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</si>
  <si>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</si>
  <si>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</si>
  <si>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</si>
  <si>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</si>
  <si>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</si>
  <si>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</si>
  <si>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</si>
  <si>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</si>
  <si>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</si>
  <si>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</si>
  <si>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</si>
  <si>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</si>
  <si>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</si>
  <si>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</si>
  <si>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</si>
  <si>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</si>
  <si>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</si>
  <si>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</si>
  <si>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</si>
  <si>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</si>
  <si>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</si>
  <si>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</si>
  <si>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</si>
  <si>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</si>
  <si>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</si>
  <si>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</si>
  <si>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</si>
  <si>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</si>
  <si>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</si>
  <si>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</si>
  <si>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</si>
  <si>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</si>
  <si>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</si>
  <si>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</si>
  <si>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</si>
  <si>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</si>
  <si>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</si>
  <si>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</si>
  <si>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</si>
  <si>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</si>
  <si>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</si>
  <si>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</si>
  <si>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</si>
  <si>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</si>
  <si>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</si>
  <si>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</si>
  <si>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</si>
  <si>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</si>
  <si>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</si>
  <si>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</si>
  <si>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</si>
  <si>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</si>
  <si>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</si>
  <si>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</si>
  <si>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</si>
  <si>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</si>
  <si>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</si>
  <si>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</si>
  <si>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</si>
  <si>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</si>
  <si>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</si>
  <si>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</si>
  <si>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</si>
  <si>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</si>
  <si>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</si>
  <si>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</si>
  <si>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</si>
  <si>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</si>
  <si>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</si>
  <si>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</si>
  <si>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</si>
  <si>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</si>
  <si>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</si>
  <si>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</si>
  <si>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</si>
  <si>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</si>
  <si>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</si>
  <si>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</si>
  <si>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</si>
  <si>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</si>
  <si>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</si>
  <si>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</si>
  <si>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</si>
  <si>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</si>
  <si>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</si>
  <si>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</si>
  <si>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</si>
  <si>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</si>
  <si>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</si>
  <si>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</si>
  <si>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</si>
  <si>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</si>
  <si>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</si>
  <si>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</si>
  <si>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</si>
  <si>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</si>
  <si>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</si>
  <si>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상품은 매일 정해진 시간에 초기화되며, 등급에 따라 등장할 확률이 구분됩니다.\n&lt;size=85%&gt;일반 : 50%\t정예 28%\t명장 : 14%\n영웅 : 6%\t전설 : 2%&lt;/size&gt;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</si>
  <si>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</si>
  <si>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</si>
  <si>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</si>
  <si>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</si>
  <si>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</si>
  <si>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</si>
  <si>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PEROID_TYPE_WEEK</t>
    <phoneticPr fontId="1" type="noConversion"/>
  </si>
  <si>
    <t>PEROID_TYPE_DAILY</t>
    <phoneticPr fontId="1" type="noConversion"/>
  </si>
  <si>
    <t>PEROID_TYPE_SEASON</t>
    <phoneticPr fontId="1" type="noConversion"/>
  </si>
  <si>
    <t>기간</t>
    <phoneticPr fontId="1" type="noConversion"/>
  </si>
  <si>
    <t>주간</t>
    <phoneticPr fontId="1" type="noConversion"/>
  </si>
  <si>
    <t>일일</t>
    <phoneticPr fontId="1" type="noConversion"/>
  </si>
  <si>
    <t>레이드 처치 후 포인트를 획득하여 원하는 아이템으로 교환하세요!\n*종료 기간까지 포인트를 사용하지 않을 경우 포인트는 소멸됩니다.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</si>
  <si>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</si>
  <si>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</si>
  <si>
    <t>통솔</t>
  </si>
  <si>
    <t>무력</t>
  </si>
  <si>
    <t>지력</t>
  </si>
  <si>
    <t>정치</t>
  </si>
  <si>
    <t>매력</t>
  </si>
  <si>
    <t>공격력</t>
  </si>
  <si>
    <t>방어력</t>
  </si>
  <si>
    <t>공격속도</t>
  </si>
  <si>
    <t>체력</t>
  </si>
  <si>
    <t>이동속도</t>
  </si>
  <si>
    <t>체력흡수</t>
  </si>
  <si>
    <t>치명타확률</t>
  </si>
  <si>
    <t>쿨타임감소</t>
  </si>
  <si>
    <t>치명타위력</t>
  </si>
  <si>
    <t>보스피해량</t>
  </si>
  <si>
    <t>전체 전투 능력치 +{0}% 증가</t>
  </si>
  <si>
    <t>공격 시 {0}%확률로 {1}피해를 주는 번개 발동</t>
  </si>
  <si>
    <t>공격 시 {0}%확률로 초당 {1} 피해를 주는 출혈 상태 부여 (3초간 유지)</t>
  </si>
  <si>
    <t>공격 시 {0}%확률로 초당 {1} 피해를 주는 화상 상태 부여 (3초간 유지)</t>
  </si>
  <si>
    <t>공격 시 {0}%확률로 초당 {1} 피해를 주는 중독 상태 부여 (3초간 유지)</t>
  </si>
  <si>
    <t>공격 시 {0}%확률로 스턴 상태 부여 (2초간 유지)</t>
  </si>
  <si>
    <t>공격 시 {0}%확률로 침묵 상태 부여 (2초간 유지)</t>
  </si>
  <si>
    <t>공격시 {0}%확률로 범위 공격 발동</t>
  </si>
  <si>
    <t>피격 시 {0}%확률로 {1}피해 감소 보호막 발동 (3초간 유지)</t>
  </si>
  <si>
    <t>피격 시 {0}%확률로 받는 피해량 {1}% 감소</t>
  </si>
  <si>
    <t>leadership</t>
  </si>
  <si>
    <t>strength</t>
  </si>
  <si>
    <t>intellect</t>
  </si>
  <si>
    <t>politics</t>
  </si>
  <si>
    <t>charisma</t>
  </si>
  <si>
    <t>attack_power</t>
  </si>
  <si>
    <t>defence</t>
  </si>
  <si>
    <t>attack_speed</t>
  </si>
  <si>
    <t>health_max</t>
  </si>
  <si>
    <t>move_speed</t>
  </si>
  <si>
    <t>life_steal</t>
  </si>
  <si>
    <t>critical_rate</t>
  </si>
  <si>
    <t>cooldown_rate</t>
  </si>
  <si>
    <t>critical_damage</t>
  </si>
  <si>
    <t>boss_damage</t>
  </si>
  <si>
    <t>combat_status_buff</t>
  </si>
  <si>
    <t>atk_effect_lightning</t>
  </si>
  <si>
    <t>atk_effect_bleeding</t>
  </si>
  <si>
    <t>atk_effect_burn</t>
  </si>
  <si>
    <t>atk_effect_poisoning</t>
  </si>
  <si>
    <t>atk_effect_stun</t>
  </si>
  <si>
    <t>atk_effect_silence</t>
  </si>
  <si>
    <t>atk_effect_aoe</t>
  </si>
  <si>
    <t>def_effect_shield</t>
  </si>
  <si>
    <t>def_effect_damage_taken_reduced</t>
  </si>
  <si>
    <t>GRADE_QUALITY_ELITE</t>
    <phoneticPr fontId="1" type="noConversion"/>
  </si>
  <si>
    <t>GRADE_QUALITY_GENERAL</t>
    <phoneticPr fontId="1" type="noConversion"/>
  </si>
  <si>
    <t>GRADE_QUALITY_HERO</t>
    <phoneticPr fontId="1" type="noConversion"/>
  </si>
  <si>
    <t>GRADE_QUALITY_LEGEND</t>
    <phoneticPr fontId="1" type="noConversion"/>
  </si>
  <si>
    <t>GRADE_QUALITY_NORMAL</t>
    <phoneticPr fontId="1" type="noConversion"/>
  </si>
  <si>
    <t>최상급</t>
    <phoneticPr fontId="1" type="noConversion"/>
  </si>
  <si>
    <t>상급</t>
    <phoneticPr fontId="1" type="noConversion"/>
  </si>
  <si>
    <t>중급</t>
    <phoneticPr fontId="1" type="noConversion"/>
  </si>
  <si>
    <r>
      <t>전투</t>
    </r>
    <r>
      <rPr>
        <sz val="10"/>
        <color theme="1"/>
        <rFont val="돋움"/>
        <family val="2"/>
        <charset val="129"/>
      </rPr>
      <t xml:space="preserve"> 능력치 증가</t>
    </r>
    <phoneticPr fontId="1" type="noConversion"/>
  </si>
  <si>
    <t>출혈 상태 부여</t>
    <phoneticPr fontId="1" type="noConversion"/>
  </si>
  <si>
    <t>화상 상태 부여</t>
    <phoneticPr fontId="1" type="noConversion"/>
  </si>
  <si>
    <t>중독 상태 부여</t>
    <phoneticPr fontId="1" type="noConversion"/>
  </si>
  <si>
    <t>스턴 [2초간]</t>
    <phoneticPr fontId="1" type="noConversion"/>
  </si>
  <si>
    <t>침묵 [2초간]</t>
    <phoneticPr fontId="1" type="noConversion"/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</si>
  <si>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  <phoneticPr fontId="1" type="noConversion"/>
  </si>
  <si>
    <t>공격시 확률 번개 발동</t>
    <phoneticPr fontId="1" type="noConversion"/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</si>
  <si>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3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3"/>
      </rPr>
      <t>]</t>
    </r>
    <phoneticPr fontId="1" type="noConversion"/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</si>
  <si>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돋움"/>
        <family val="3"/>
        <charset val="129"/>
      </rPr>
      <t>피해량 감소</t>
    </r>
    <phoneticPr fontId="1" type="noConversion"/>
  </si>
  <si>
    <t>prime_minister</t>
  </si>
  <si>
    <t>director_of_the_secretariat</t>
  </si>
  <si>
    <t>general_of_the_vanguard</t>
  </si>
  <si>
    <t>general_of_the_left</t>
  </si>
  <si>
    <t>general_of_the_right</t>
  </si>
  <si>
    <t>general_of_the_rear</t>
  </si>
  <si>
    <t>승상</t>
  </si>
  <si>
    <t>대장군</t>
  </si>
  <si>
    <t>상서령</t>
  </si>
  <si>
    <t>전장군</t>
  </si>
  <si>
    <t>좌장군</t>
  </si>
  <si>
    <t>우장군</t>
  </si>
  <si>
    <t>후장군</t>
  </si>
  <si>
    <t>dragon_fighter</t>
  </si>
  <si>
    <t>grand_general</t>
    <phoneticPr fontId="1" type="noConversion"/>
  </si>
  <si>
    <t>grand_strategist</t>
    <phoneticPr fontId="1" type="noConversion"/>
  </si>
  <si>
    <t>palace_assistant_inspector</t>
    <phoneticPr fontId="1" type="noConversion"/>
  </si>
  <si>
    <t>suppresses_bandits</t>
    <phoneticPr fontId="1" type="noConversion"/>
  </si>
  <si>
    <t>vanquishes_rebels</t>
    <phoneticPr fontId="1" type="noConversion"/>
  </si>
  <si>
    <t>the_standard</t>
    <phoneticPr fontId="1" type="noConversion"/>
  </si>
  <si>
    <t>chief_military_adviser</t>
    <phoneticPr fontId="1" type="noConversion"/>
  </si>
  <si>
    <t>군사</t>
    <phoneticPr fontId="1" type="noConversion"/>
  </si>
  <si>
    <t>어사중승</t>
    <phoneticPr fontId="1" type="noConversion"/>
  </si>
  <si>
    <t>탕구장군</t>
    <phoneticPr fontId="1" type="noConversion"/>
  </si>
  <si>
    <t>파적장군</t>
    <phoneticPr fontId="1" type="noConversion"/>
  </si>
  <si>
    <t>아문장군</t>
    <phoneticPr fontId="1" type="noConversion"/>
  </si>
  <si>
    <t>군사중랑장</t>
    <phoneticPr fontId="1" type="noConversion"/>
  </si>
  <si>
    <t>용의 전사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</si>
</sst>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6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0" borderId="1" xfId="0" applyFont="1" applyBorder="1">
      <alignment vertical="center"/>
    </xf>
    <xf numFmtId="0" fontId="3" fillId="0" borderId="1" xfId="0" applyFont="1" applyBorder="1" applyAlignment="1"/>
    <xf numFmtId="0" fontId="6" fillId="0" borderId="1" xfId="0" applyFont="1" applyBorder="1" applyAlignment="1">
      <alignment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1"/>
  <sheetViews>
    <sheetView tabSelected="1" topLeftCell="A71" workbookViewId="0">
      <selection activeCell="B90" sqref="B90"/>
    </sheetView>
  </sheetViews>
  <sheetFormatPr defaultRowHeight="16.5" x14ac:dyDescent="0.3"/>
  <cols>
    <col min="2" max="2" width="44.37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A3" s="27"/>
      <c r="B3" s="27" t="s">
        <v>83</v>
      </c>
      <c r="C3" s="27" t="s">
        <v>84</v>
      </c>
      <c r="D3" s="27"/>
    </row>
    <row r="4" spans="1:4" x14ac:dyDescent="0.3">
      <c r="A4" s="27"/>
      <c r="B4" s="27" t="s">
        <v>86</v>
      </c>
      <c r="C4" s="38" t="s">
        <v>95</v>
      </c>
      <c r="D4" s="27"/>
    </row>
    <row r="5" spans="1:4" x14ac:dyDescent="0.3">
      <c r="A5" s="27"/>
      <c r="B5" s="27" t="s">
        <v>93</v>
      </c>
      <c r="C5" s="38" t="s">
        <v>102</v>
      </c>
      <c r="D5" s="27"/>
    </row>
    <row r="6" spans="1:4" x14ac:dyDescent="0.3">
      <c r="A6" s="27"/>
      <c r="B6" s="27" t="s">
        <v>91</v>
      </c>
      <c r="C6" s="38" t="s">
        <v>100</v>
      </c>
      <c r="D6" s="27"/>
    </row>
    <row r="7" spans="1:4" x14ac:dyDescent="0.3">
      <c r="A7" s="27"/>
      <c r="B7" s="27" t="s">
        <v>92</v>
      </c>
      <c r="C7" s="38" t="s">
        <v>101</v>
      </c>
      <c r="D7" s="27"/>
    </row>
    <row r="8" spans="1:4" x14ac:dyDescent="0.3">
      <c r="A8" s="27"/>
      <c r="B8" s="27" t="s">
        <v>90</v>
      </c>
      <c r="C8" s="38" t="s">
        <v>99</v>
      </c>
      <c r="D8" s="27"/>
    </row>
    <row r="9" spans="1:4" x14ac:dyDescent="0.3">
      <c r="A9" s="27"/>
      <c r="B9" s="27" t="s">
        <v>85</v>
      </c>
      <c r="C9" s="38" t="s">
        <v>94</v>
      </c>
      <c r="D9" s="27"/>
    </row>
    <row r="10" spans="1:4" x14ac:dyDescent="0.3">
      <c r="A10" s="27"/>
      <c r="B10" s="27" t="s">
        <v>87</v>
      </c>
      <c r="C10" s="38" t="s">
        <v>96</v>
      </c>
      <c r="D10" s="27"/>
    </row>
    <row r="11" spans="1:4" x14ac:dyDescent="0.3">
      <c r="A11" s="27"/>
      <c r="B11" s="27" t="s">
        <v>89</v>
      </c>
      <c r="C11" s="38" t="s">
        <v>98</v>
      </c>
      <c r="D11" s="27"/>
    </row>
    <row r="12" spans="1:4" x14ac:dyDescent="0.3">
      <c r="A12" s="27"/>
      <c r="B12" s="27" t="s">
        <v>88</v>
      </c>
      <c r="C12" s="38" t="s">
        <v>97</v>
      </c>
      <c r="D12" s="27"/>
    </row>
    <row r="13" spans="1:4" x14ac:dyDescent="0.3">
      <c r="A13" s="27"/>
      <c r="B13" s="27" t="s">
        <v>114</v>
      </c>
      <c r="C13" s="38" t="s">
        <v>123</v>
      </c>
      <c r="D13" s="27"/>
    </row>
    <row r="14" spans="1:4" x14ac:dyDescent="0.3">
      <c r="A14" s="27"/>
      <c r="B14" s="27" t="s">
        <v>118</v>
      </c>
      <c r="C14" s="27" t="s">
        <v>119</v>
      </c>
      <c r="D14" s="27"/>
    </row>
    <row r="15" spans="1:4" x14ac:dyDescent="0.3">
      <c r="A15" s="27"/>
      <c r="B15" s="27" t="s">
        <v>115</v>
      </c>
      <c r="C15" s="38" t="s">
        <v>122</v>
      </c>
      <c r="D15" s="27"/>
    </row>
    <row r="16" spans="1:4" x14ac:dyDescent="0.3">
      <c r="A16" s="27"/>
      <c r="B16" s="27" t="s">
        <v>117</v>
      </c>
      <c r="C16" s="27" t="s">
        <v>120</v>
      </c>
      <c r="D16" s="27"/>
    </row>
    <row r="17" spans="1:4" x14ac:dyDescent="0.3">
      <c r="A17" s="27"/>
      <c r="B17" s="27" t="s">
        <v>116</v>
      </c>
      <c r="C17" s="27" t="s">
        <v>121</v>
      </c>
      <c r="D17" s="27"/>
    </row>
    <row r="18" spans="1:4" x14ac:dyDescent="0.3">
      <c r="A18" s="27"/>
      <c r="B18" s="27" t="s">
        <v>113</v>
      </c>
      <c r="C18" s="38" t="s">
        <v>124</v>
      </c>
      <c r="D18" s="27"/>
    </row>
    <row r="19" spans="1:4" x14ac:dyDescent="0.3">
      <c r="A19" s="27"/>
      <c r="B19" s="27" t="s">
        <v>106</v>
      </c>
      <c r="C19" s="38" t="s">
        <v>111</v>
      </c>
      <c r="D19" s="27"/>
    </row>
    <row r="20" spans="1:4" x14ac:dyDescent="0.3">
      <c r="A20" s="27"/>
      <c r="B20" s="27" t="s">
        <v>112</v>
      </c>
      <c r="C20" s="38" t="s">
        <v>109</v>
      </c>
      <c r="D20" s="27"/>
    </row>
    <row r="21" spans="1:4" x14ac:dyDescent="0.3">
      <c r="A21" s="27"/>
      <c r="B21" s="27" t="s">
        <v>103</v>
      </c>
      <c r="C21" s="38" t="s">
        <v>107</v>
      </c>
      <c r="D21" s="27"/>
    </row>
    <row r="22" spans="1:4" x14ac:dyDescent="0.3">
      <c r="A22" s="27"/>
      <c r="B22" s="27" t="s">
        <v>105</v>
      </c>
      <c r="C22" s="38" t="s">
        <v>110</v>
      </c>
      <c r="D22" s="27"/>
    </row>
    <row r="23" spans="1:4" x14ac:dyDescent="0.3">
      <c r="A23" s="27"/>
      <c r="B23" s="27" t="s">
        <v>104</v>
      </c>
      <c r="C23" s="38" t="s">
        <v>108</v>
      </c>
      <c r="D23" s="27"/>
    </row>
    <row r="24" spans="1:4" x14ac:dyDescent="0.3">
      <c r="A24" s="27"/>
      <c r="B24" s="20" t="s">
        <v>154</v>
      </c>
      <c r="C24" s="20" t="s">
        <v>146</v>
      </c>
      <c r="D24" s="27"/>
    </row>
    <row r="25" spans="1:4" x14ac:dyDescent="0.3">
      <c r="A25" s="27"/>
      <c r="B25" s="20" t="s">
        <v>155</v>
      </c>
      <c r="C25" s="20" t="s">
        <v>147</v>
      </c>
      <c r="D25" s="27"/>
    </row>
    <row r="26" spans="1:4" x14ac:dyDescent="0.3">
      <c r="A26" s="27"/>
      <c r="B26" s="20" t="s">
        <v>156</v>
      </c>
      <c r="C26" s="20" t="s">
        <v>148</v>
      </c>
      <c r="D26" s="27"/>
    </row>
    <row r="27" spans="1:4" x14ac:dyDescent="0.3">
      <c r="A27" s="27"/>
      <c r="B27" s="20" t="s">
        <v>157</v>
      </c>
      <c r="C27" s="20" t="s">
        <v>149</v>
      </c>
      <c r="D27" s="27"/>
    </row>
    <row r="28" spans="1:4" x14ac:dyDescent="0.3">
      <c r="A28" s="27"/>
      <c r="B28" s="20" t="s">
        <v>153</v>
      </c>
      <c r="C28" s="20" t="s">
        <v>62</v>
      </c>
      <c r="D28" s="27"/>
    </row>
    <row r="29" spans="1:4" x14ac:dyDescent="0.3">
      <c r="A29" s="27"/>
      <c r="B29" s="27" t="s">
        <v>63</v>
      </c>
      <c r="C29" s="38" t="s">
        <v>64</v>
      </c>
      <c r="D29" s="27"/>
    </row>
    <row r="30" spans="1:4" x14ac:dyDescent="0.3">
      <c r="A30" s="27"/>
      <c r="B30" s="27" t="s">
        <v>65</v>
      </c>
      <c r="C30" s="38" t="s">
        <v>68</v>
      </c>
      <c r="D30" s="27"/>
    </row>
    <row r="31" spans="1:4" x14ac:dyDescent="0.3">
      <c r="A31" s="27"/>
      <c r="B31" s="27" t="s">
        <v>66</v>
      </c>
      <c r="C31" s="38" t="s">
        <v>67</v>
      </c>
      <c r="D31" s="27"/>
    </row>
    <row r="32" spans="1:4" x14ac:dyDescent="0.3">
      <c r="A32" s="27"/>
      <c r="B32" s="27" t="s">
        <v>69</v>
      </c>
      <c r="C32" s="38" t="s">
        <v>70</v>
      </c>
      <c r="D32" s="27"/>
    </row>
    <row r="33" spans="1:4" x14ac:dyDescent="0.3">
      <c r="A33" s="27"/>
      <c r="B33" s="27" t="s">
        <v>61</v>
      </c>
      <c r="C33" s="38" t="s">
        <v>62</v>
      </c>
      <c r="D33" s="27"/>
    </row>
    <row r="34" spans="1:4" x14ac:dyDescent="0.3">
      <c r="A34" s="27"/>
      <c r="B34" s="27" t="s">
        <v>880</v>
      </c>
      <c r="C34" s="38" t="s">
        <v>64</v>
      </c>
      <c r="D34" s="27"/>
    </row>
    <row r="35" spans="1:4" x14ac:dyDescent="0.3">
      <c r="A35" s="27"/>
      <c r="B35" s="27" t="s">
        <v>881</v>
      </c>
      <c r="C35" s="38" t="s">
        <v>68</v>
      </c>
      <c r="D35" s="27"/>
    </row>
    <row r="36" spans="1:4" x14ac:dyDescent="0.3">
      <c r="A36" s="27"/>
      <c r="B36" s="27" t="s">
        <v>882</v>
      </c>
      <c r="C36" s="38" t="s">
        <v>67</v>
      </c>
      <c r="D36" s="27"/>
    </row>
    <row r="37" spans="1:4" x14ac:dyDescent="0.3">
      <c r="A37" s="27"/>
      <c r="B37" s="27" t="s">
        <v>883</v>
      </c>
      <c r="C37" s="38" t="s">
        <v>70</v>
      </c>
      <c r="D37" s="27"/>
    </row>
    <row r="38" spans="1:4" x14ac:dyDescent="0.3">
      <c r="A38" s="27"/>
      <c r="B38" s="27" t="s">
        <v>884</v>
      </c>
      <c r="C38" s="38" t="s">
        <v>62</v>
      </c>
      <c r="D38" s="27"/>
    </row>
    <row r="39" spans="1:4" x14ac:dyDescent="0.3">
      <c r="A39" s="27"/>
      <c r="B39" s="27" t="s">
        <v>151</v>
      </c>
      <c r="C39" s="27" t="s">
        <v>77</v>
      </c>
      <c r="D39" s="27"/>
    </row>
    <row r="40" spans="1:4" x14ac:dyDescent="0.3">
      <c r="A40" s="27"/>
      <c r="B40" s="27" t="s">
        <v>74</v>
      </c>
      <c r="C40" s="27" t="s">
        <v>75</v>
      </c>
      <c r="D40" s="27"/>
    </row>
    <row r="41" spans="1:4" x14ac:dyDescent="0.3">
      <c r="A41" s="27"/>
      <c r="B41" s="27" t="s">
        <v>150</v>
      </c>
      <c r="C41" s="27" t="s">
        <v>79</v>
      </c>
      <c r="D41" s="27"/>
    </row>
    <row r="42" spans="1:4" x14ac:dyDescent="0.3">
      <c r="A42" s="27"/>
      <c r="B42" s="27" t="s">
        <v>80</v>
      </c>
      <c r="C42" s="27" t="s">
        <v>76</v>
      </c>
      <c r="D42" s="27"/>
    </row>
    <row r="43" spans="1:4" x14ac:dyDescent="0.3">
      <c r="A43" s="27"/>
      <c r="B43" s="27" t="s">
        <v>152</v>
      </c>
      <c r="C43" s="27" t="s">
        <v>78</v>
      </c>
      <c r="D43" s="27"/>
    </row>
    <row r="44" spans="1:4" x14ac:dyDescent="0.3">
      <c r="A44" s="27"/>
      <c r="B44" s="27" t="s">
        <v>53</v>
      </c>
      <c r="C44" s="38" t="s">
        <v>54</v>
      </c>
      <c r="D44" s="38"/>
    </row>
    <row r="45" spans="1:4" x14ac:dyDescent="0.3">
      <c r="A45" s="27"/>
      <c r="B45" s="27" t="s">
        <v>164</v>
      </c>
      <c r="C45" s="27" t="s">
        <v>165</v>
      </c>
      <c r="D45" s="27"/>
    </row>
    <row r="46" spans="1:4" x14ac:dyDescent="0.3">
      <c r="A46" s="27"/>
      <c r="B46" s="27" t="s">
        <v>267</v>
      </c>
      <c r="C46" s="27" t="s">
        <v>263</v>
      </c>
      <c r="D46" s="27"/>
    </row>
    <row r="47" spans="1:4" x14ac:dyDescent="0.3">
      <c r="A47" s="27"/>
      <c r="B47" s="27" t="s">
        <v>265</v>
      </c>
      <c r="C47" s="27" t="s">
        <v>261</v>
      </c>
      <c r="D47" s="27"/>
    </row>
    <row r="48" spans="1:4" x14ac:dyDescent="0.3">
      <c r="A48" s="27"/>
      <c r="B48" s="27" t="s">
        <v>264</v>
      </c>
      <c r="C48" s="27" t="s">
        <v>260</v>
      </c>
      <c r="D48" s="27"/>
    </row>
    <row r="49" spans="1:4" x14ac:dyDescent="0.3">
      <c r="A49" s="27"/>
      <c r="B49" s="27" t="s">
        <v>266</v>
      </c>
      <c r="C49" s="27" t="s">
        <v>262</v>
      </c>
      <c r="D49" s="27"/>
    </row>
    <row r="50" spans="1:4" x14ac:dyDescent="0.3">
      <c r="A50" s="27"/>
      <c r="B50" s="27" t="s">
        <v>163</v>
      </c>
      <c r="C50" s="27" t="s">
        <v>159</v>
      </c>
      <c r="D50" s="27"/>
    </row>
    <row r="51" spans="1:4" x14ac:dyDescent="0.3">
      <c r="A51" s="27"/>
      <c r="B51" s="27" t="s">
        <v>161</v>
      </c>
      <c r="C51" s="27" t="s">
        <v>158</v>
      </c>
      <c r="D51" s="27"/>
    </row>
    <row r="52" spans="1:4" x14ac:dyDescent="0.3">
      <c r="A52" s="27"/>
      <c r="B52" s="27" t="s">
        <v>162</v>
      </c>
      <c r="C52" s="27" t="s">
        <v>160</v>
      </c>
      <c r="D52" s="27"/>
    </row>
    <row r="53" spans="1:4" x14ac:dyDescent="0.3">
      <c r="A53" s="27" t="s">
        <v>542</v>
      </c>
      <c r="B53" s="27" t="str">
        <f>"SORTTYPE_"&amp;A53</f>
        <v>SORTTYPE_CLASS</v>
      </c>
      <c r="C53" s="27" t="s">
        <v>547</v>
      </c>
      <c r="D53" s="27"/>
    </row>
    <row r="54" spans="1:4" x14ac:dyDescent="0.3">
      <c r="A54" s="27" t="s">
        <v>543</v>
      </c>
      <c r="B54" s="27" t="str">
        <f>"SORTTYPE_"&amp;A54</f>
        <v>SORTTYPE_GRADE</v>
      </c>
      <c r="C54" s="27" t="s">
        <v>548</v>
      </c>
      <c r="D54" s="27"/>
    </row>
    <row r="55" spans="1:4" x14ac:dyDescent="0.3">
      <c r="A55" s="27" t="s">
        <v>544</v>
      </c>
      <c r="B55" s="27" t="str">
        <f>"SORTTYPE_"&amp;A55</f>
        <v>SORTTYPE_LEVEL</v>
      </c>
      <c r="C55" s="27" t="s">
        <v>549</v>
      </c>
      <c r="D55" s="27"/>
    </row>
    <row r="56" spans="1:4" x14ac:dyDescent="0.3">
      <c r="A56" s="27" t="s">
        <v>545</v>
      </c>
      <c r="B56" s="27" t="str">
        <f>"SORTTYPE_"&amp;A56</f>
        <v>SORTTYPE_POWER</v>
      </c>
      <c r="C56" s="27" t="s">
        <v>550</v>
      </c>
      <c r="D56" s="27"/>
    </row>
    <row r="57" spans="1:4" x14ac:dyDescent="0.3">
      <c r="A57" s="27" t="s">
        <v>541</v>
      </c>
      <c r="B57" s="27" t="str">
        <f>"SORTTYPE_"&amp;A57</f>
        <v>SORTTYPE_REGION</v>
      </c>
      <c r="C57" s="27" t="s">
        <v>546</v>
      </c>
      <c r="D57" s="27"/>
    </row>
    <row r="58" spans="1:4" x14ac:dyDescent="0.3">
      <c r="A58" s="27"/>
      <c r="B58" s="27" t="s">
        <v>551</v>
      </c>
      <c r="C58" s="27" t="s">
        <v>368</v>
      </c>
      <c r="D58" s="27"/>
    </row>
    <row r="59" spans="1:4" x14ac:dyDescent="0.3">
      <c r="A59" s="27"/>
      <c r="B59" s="27" t="s">
        <v>519</v>
      </c>
      <c r="C59" s="27" t="s">
        <v>528</v>
      </c>
      <c r="D59" s="27"/>
    </row>
    <row r="60" spans="1:4" x14ac:dyDescent="0.3">
      <c r="A60" s="27"/>
      <c r="B60" s="27" t="s">
        <v>515</v>
      </c>
      <c r="C60" s="27" t="s">
        <v>522</v>
      </c>
      <c r="D60" s="27"/>
    </row>
    <row r="61" spans="1:4" x14ac:dyDescent="0.3">
      <c r="A61" s="27"/>
      <c r="B61" s="27" t="s">
        <v>520</v>
      </c>
      <c r="C61" s="27" t="s">
        <v>527</v>
      </c>
      <c r="D61" s="27"/>
    </row>
    <row r="62" spans="1:4" x14ac:dyDescent="0.3">
      <c r="A62" s="27"/>
      <c r="B62" s="27" t="s">
        <v>516</v>
      </c>
      <c r="C62" s="27" t="s">
        <v>523</v>
      </c>
      <c r="D62" s="27"/>
    </row>
    <row r="63" spans="1:4" x14ac:dyDescent="0.3">
      <c r="A63" s="27"/>
      <c r="B63" s="27" t="s">
        <v>518</v>
      </c>
      <c r="C63" s="27" t="s">
        <v>525</v>
      </c>
      <c r="D63" s="27"/>
    </row>
    <row r="64" spans="1:4" x14ac:dyDescent="0.3">
      <c r="A64" s="27"/>
      <c r="B64" s="27" t="s">
        <v>514</v>
      </c>
      <c r="C64" s="27" t="s">
        <v>552</v>
      </c>
      <c r="D64" s="27"/>
    </row>
    <row r="65" spans="1:4" x14ac:dyDescent="0.3">
      <c r="A65" s="27"/>
      <c r="B65" s="27" t="s">
        <v>521</v>
      </c>
      <c r="C65" s="27" t="s">
        <v>526</v>
      </c>
      <c r="D65" s="27"/>
    </row>
    <row r="66" spans="1:4" x14ac:dyDescent="0.3">
      <c r="A66" s="27"/>
      <c r="B66" s="27" t="s">
        <v>517</v>
      </c>
      <c r="C66" s="27" t="s">
        <v>524</v>
      </c>
      <c r="D66" s="27"/>
    </row>
    <row r="67" spans="1:4" x14ac:dyDescent="0.3">
      <c r="A67" s="27"/>
      <c r="B67" s="27" t="s">
        <v>286</v>
      </c>
      <c r="C67" s="27" t="s">
        <v>292</v>
      </c>
      <c r="D67" s="27" t="s">
        <v>299</v>
      </c>
    </row>
    <row r="68" spans="1:4" x14ac:dyDescent="0.3">
      <c r="A68" s="27"/>
      <c r="B68" s="27" t="s">
        <v>282</v>
      </c>
      <c r="C68" s="27" t="s">
        <v>281</v>
      </c>
      <c r="D68" s="27" t="s">
        <v>295</v>
      </c>
    </row>
    <row r="69" spans="1:4" x14ac:dyDescent="0.3">
      <c r="A69" s="27"/>
      <c r="B69" s="27" t="s">
        <v>287</v>
      </c>
      <c r="C69" s="27" t="s">
        <v>293</v>
      </c>
      <c r="D69" s="27" t="s">
        <v>300</v>
      </c>
    </row>
    <row r="70" spans="1:4" x14ac:dyDescent="0.3">
      <c r="A70" s="27"/>
      <c r="B70" s="27" t="s">
        <v>288</v>
      </c>
      <c r="C70" s="27" t="s">
        <v>294</v>
      </c>
      <c r="D70" s="27" t="s">
        <v>301</v>
      </c>
    </row>
    <row r="71" spans="1:4" x14ac:dyDescent="0.3">
      <c r="A71" s="27"/>
      <c r="B71" s="27" t="s">
        <v>285</v>
      </c>
      <c r="C71" s="27" t="s">
        <v>291</v>
      </c>
      <c r="D71" s="27" t="s">
        <v>298</v>
      </c>
    </row>
    <row r="72" spans="1:4" x14ac:dyDescent="0.3">
      <c r="A72" s="27"/>
      <c r="B72" s="27" t="s">
        <v>283</v>
      </c>
      <c r="C72" s="27" t="s">
        <v>289</v>
      </c>
      <c r="D72" s="27" t="s">
        <v>296</v>
      </c>
    </row>
    <row r="73" spans="1:4" x14ac:dyDescent="0.3">
      <c r="A73" s="27"/>
      <c r="B73" s="27" t="s">
        <v>284</v>
      </c>
      <c r="C73" s="27" t="s">
        <v>290</v>
      </c>
      <c r="D73" s="27" t="s">
        <v>297</v>
      </c>
    </row>
    <row r="74" spans="1:4" x14ac:dyDescent="0.3">
      <c r="A74" s="27"/>
      <c r="B74" s="27" t="s">
        <v>889</v>
      </c>
      <c r="C74" s="27" t="s">
        <v>885</v>
      </c>
      <c r="D74" s="27"/>
    </row>
    <row r="75" spans="1:4" x14ac:dyDescent="0.3">
      <c r="A75" s="27"/>
      <c r="B75" s="27" t="s">
        <v>890</v>
      </c>
      <c r="C75" s="27" t="s">
        <v>886</v>
      </c>
      <c r="D75" s="27"/>
    </row>
    <row r="76" spans="1:4" x14ac:dyDescent="0.3">
      <c r="A76" s="27"/>
      <c r="B76" s="27" t="s">
        <v>891</v>
      </c>
      <c r="C76" s="27" t="s">
        <v>887</v>
      </c>
      <c r="D76" s="27"/>
    </row>
    <row r="77" spans="1:4" x14ac:dyDescent="0.3">
      <c r="A77" s="27"/>
      <c r="B77" s="27" t="s">
        <v>892</v>
      </c>
      <c r="C77" s="27" t="s">
        <v>888</v>
      </c>
      <c r="D77" s="27"/>
    </row>
    <row r="78" spans="1:4" x14ac:dyDescent="0.3">
      <c r="A78" s="27"/>
      <c r="B78" s="27" t="s">
        <v>893</v>
      </c>
      <c r="C78" s="27" t="s">
        <v>901</v>
      </c>
      <c r="D78" s="27"/>
    </row>
    <row r="79" spans="1:4" x14ac:dyDescent="0.3">
      <c r="A79" s="27"/>
      <c r="B79" s="27" t="s">
        <v>894</v>
      </c>
      <c r="C79" s="27" t="s">
        <v>902</v>
      </c>
      <c r="D79" s="27"/>
    </row>
    <row r="80" spans="1:4" x14ac:dyDescent="0.3">
      <c r="A80" s="27"/>
      <c r="B80" s="27" t="s">
        <v>896</v>
      </c>
      <c r="C80" s="27" t="s">
        <v>900</v>
      </c>
      <c r="D80" s="27"/>
    </row>
    <row r="81" spans="1:4" x14ac:dyDescent="0.3">
      <c r="A81" s="27"/>
      <c r="B81" s="27" t="s">
        <v>895</v>
      </c>
      <c r="C81" s="27" t="s">
        <v>899</v>
      </c>
      <c r="D81" s="27"/>
    </row>
    <row r="82" spans="1:4" x14ac:dyDescent="0.3">
      <c r="A82" s="27"/>
      <c r="B82" s="27" t="s">
        <v>897</v>
      </c>
      <c r="C82" s="27" t="s">
        <v>898</v>
      </c>
      <c r="D82" s="27"/>
    </row>
    <row r="83" spans="1:4" x14ac:dyDescent="0.3">
      <c r="A83" s="27"/>
      <c r="B83" s="27" t="s">
        <v>954</v>
      </c>
      <c r="C83" s="27" t="s">
        <v>961</v>
      </c>
      <c r="D83" s="27"/>
    </row>
    <row r="84" spans="1:4" x14ac:dyDescent="0.3">
      <c r="A84" s="27"/>
      <c r="B84" s="27" t="s">
        <v>955</v>
      </c>
      <c r="C84" s="27" t="s">
        <v>960</v>
      </c>
      <c r="D84" s="27"/>
    </row>
    <row r="85" spans="1:4" x14ac:dyDescent="0.3">
      <c r="A85" s="27"/>
      <c r="B85" s="27" t="s">
        <v>956</v>
      </c>
      <c r="C85" s="27" t="s">
        <v>959</v>
      </c>
      <c r="D85" s="27"/>
    </row>
    <row r="86" spans="1:4" x14ac:dyDescent="0.3">
      <c r="A86" s="27"/>
      <c r="B86" s="27" t="s">
        <v>957</v>
      </c>
      <c r="C86" s="27" t="s">
        <v>70</v>
      </c>
      <c r="D86" s="27"/>
    </row>
    <row r="87" spans="1:4" x14ac:dyDescent="0.3">
      <c r="A87" s="27"/>
      <c r="B87" s="27" t="s">
        <v>958</v>
      </c>
      <c r="C87" s="27" t="s">
        <v>62</v>
      </c>
      <c r="D87" s="27"/>
    </row>
    <row r="88" spans="1:4" x14ac:dyDescent="0.3">
      <c r="A88" s="63" t="s">
        <v>972</v>
      </c>
      <c r="B88" s="27" t="str">
        <f t="shared" ref="B88:B100" si="0">"CHARACTER_POSITION_"&amp;UPPER(A88)</f>
        <v>CHARACTER_POSITION_PRIME_MINISTER</v>
      </c>
      <c r="C88" s="49" t="s">
        <v>978</v>
      </c>
      <c r="D88" s="27"/>
    </row>
    <row r="89" spans="1:4" x14ac:dyDescent="0.3">
      <c r="A89" s="63" t="s">
        <v>986</v>
      </c>
      <c r="B89" s="27" t="str">
        <f t="shared" si="0"/>
        <v>CHARACTER_POSITION_GRAND_GENERAL</v>
      </c>
      <c r="C89" s="49" t="s">
        <v>979</v>
      </c>
      <c r="D89" s="27"/>
    </row>
    <row r="90" spans="1:4" x14ac:dyDescent="0.3">
      <c r="A90" s="63" t="s">
        <v>987</v>
      </c>
      <c r="B90" s="27" t="str">
        <f t="shared" si="0"/>
        <v>CHARACTER_POSITION_GRAND_STRATEGIST</v>
      </c>
      <c r="C90" s="49" t="s">
        <v>993</v>
      </c>
      <c r="D90" s="27"/>
    </row>
    <row r="91" spans="1:4" x14ac:dyDescent="0.3">
      <c r="A91" s="63" t="s">
        <v>973</v>
      </c>
      <c r="B91" s="27" t="str">
        <f t="shared" si="0"/>
        <v>CHARACTER_POSITION_DIRECTOR_OF_THE_SECRETARIAT</v>
      </c>
      <c r="C91" s="49" t="s">
        <v>980</v>
      </c>
      <c r="D91" s="27"/>
    </row>
    <row r="92" spans="1:4" x14ac:dyDescent="0.3">
      <c r="A92" t="s">
        <v>988</v>
      </c>
      <c r="B92" s="27" t="str">
        <f t="shared" si="0"/>
        <v>CHARACTER_POSITION_PALACE_ASSISTANT_INSPECTOR</v>
      </c>
      <c r="C92" t="s">
        <v>994</v>
      </c>
      <c r="D92" s="27"/>
    </row>
    <row r="93" spans="1:4" x14ac:dyDescent="0.3">
      <c r="A93" s="63" t="s">
        <v>974</v>
      </c>
      <c r="B93" s="27" t="str">
        <f t="shared" si="0"/>
        <v>CHARACTER_POSITION_GENERAL_OF_THE_VANGUARD</v>
      </c>
      <c r="C93" s="49" t="s">
        <v>981</v>
      </c>
      <c r="D93" s="27"/>
    </row>
    <row r="94" spans="1:4" x14ac:dyDescent="0.2">
      <c r="A94" s="64" t="s">
        <v>975</v>
      </c>
      <c r="B94" s="27" t="str">
        <f t="shared" si="0"/>
        <v>CHARACTER_POSITION_GENERAL_OF_THE_LEFT</v>
      </c>
      <c r="C94" s="25" t="s">
        <v>982</v>
      </c>
      <c r="D94" s="27"/>
    </row>
    <row r="95" spans="1:4" x14ac:dyDescent="0.2">
      <c r="A95" s="64" t="s">
        <v>976</v>
      </c>
      <c r="B95" s="27" t="str">
        <f t="shared" si="0"/>
        <v>CHARACTER_POSITION_GENERAL_OF_THE_RIGHT</v>
      </c>
      <c r="C95" s="25" t="s">
        <v>983</v>
      </c>
      <c r="D95" s="27"/>
    </row>
    <row r="96" spans="1:4" x14ac:dyDescent="0.2">
      <c r="A96" s="64" t="s">
        <v>977</v>
      </c>
      <c r="B96" s="27" t="str">
        <f t="shared" si="0"/>
        <v>CHARACTER_POSITION_GENERAL_OF_THE_REAR</v>
      </c>
      <c r="C96" s="25" t="s">
        <v>984</v>
      </c>
      <c r="D96" s="27"/>
    </row>
    <row r="97" spans="1:3" x14ac:dyDescent="0.2">
      <c r="A97" s="27" t="s">
        <v>989</v>
      </c>
      <c r="B97" s="27" t="str">
        <f t="shared" si="0"/>
        <v>CHARACTER_POSITION_SUPPRESSES_BANDITS</v>
      </c>
      <c r="C97" s="25" t="s">
        <v>995</v>
      </c>
    </row>
    <row r="98" spans="1:3" x14ac:dyDescent="0.3">
      <c r="A98" s="27" t="s">
        <v>990</v>
      </c>
      <c r="B98" s="27" t="str">
        <f t="shared" si="0"/>
        <v>CHARACTER_POSITION_VANQUISHES_REBELS</v>
      </c>
      <c r="C98" s="65" t="s">
        <v>996</v>
      </c>
    </row>
    <row r="99" spans="1:3" x14ac:dyDescent="0.3">
      <c r="A99" s="27" t="s">
        <v>991</v>
      </c>
      <c r="B99" s="27" t="str">
        <f t="shared" si="0"/>
        <v>CHARACTER_POSITION_THE_STANDARD</v>
      </c>
      <c r="C99" s="65" t="s">
        <v>997</v>
      </c>
    </row>
    <row r="100" spans="1:3" x14ac:dyDescent="0.3">
      <c r="A100" s="27" t="s">
        <v>992</v>
      </c>
      <c r="B100" s="27" t="str">
        <f t="shared" si="0"/>
        <v>CHARACTER_POSITION_CHIEF_MILITARY_ADVISER</v>
      </c>
      <c r="C100" s="65" t="s">
        <v>998</v>
      </c>
    </row>
    <row r="101" spans="1:3" x14ac:dyDescent="0.3">
      <c r="A101" s="27" t="s">
        <v>985</v>
      </c>
      <c r="B101" s="27" t="str">
        <f>"CHARACTER_POSITION_"&amp;UPPER(A101)</f>
        <v>CHARACTER_POSITION_DRAGON_FIGHTER</v>
      </c>
      <c r="C101" s="27" t="s">
        <v>999</v>
      </c>
    </row>
  </sheetData>
  <sortState xmlns:xlrd2="http://schemas.microsoft.com/office/spreadsheetml/2017/richdata2" ref="A3:D73">
    <sortCondition ref="B3:B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A33" sqref="A33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2" workbookViewId="0">
      <selection activeCell="E39" sqref="E39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478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506</v>
      </c>
    </row>
    <row r="10" spans="1:7" x14ac:dyDescent="0.3">
      <c r="A10" s="27" t="s">
        <v>478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507</v>
      </c>
    </row>
    <row r="11" spans="1:7" x14ac:dyDescent="0.3">
      <c r="A11" s="27" t="s">
        <v>478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479</v>
      </c>
      <c r="F11" s="38" t="s">
        <v>508</v>
      </c>
    </row>
    <row r="12" spans="1:7" x14ac:dyDescent="0.3">
      <c r="A12" s="27" t="s">
        <v>478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509</v>
      </c>
    </row>
    <row r="13" spans="1:7" x14ac:dyDescent="0.3">
      <c r="A13" s="27" t="s">
        <v>478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510</v>
      </c>
    </row>
    <row r="14" spans="1:7" x14ac:dyDescent="0.3">
      <c r="A14" s="27" t="s">
        <v>478</v>
      </c>
      <c r="B14" s="38" t="s">
        <v>513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511</v>
      </c>
    </row>
    <row r="15" spans="1:7" x14ac:dyDescent="0.3">
      <c r="A15" s="27" t="s">
        <v>478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512</v>
      </c>
    </row>
    <row r="16" spans="1:7" x14ac:dyDescent="0.3">
      <c r="A16" s="27" t="s">
        <v>478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480</v>
      </c>
      <c r="F16" s="27" t="s">
        <v>493</v>
      </c>
    </row>
    <row r="17" spans="1:6" x14ac:dyDescent="0.3">
      <c r="A17" s="27" t="s">
        <v>478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481</v>
      </c>
      <c r="F17" s="27" t="s">
        <v>494</v>
      </c>
    </row>
    <row r="18" spans="1:6" x14ac:dyDescent="0.3">
      <c r="A18" s="27" t="s">
        <v>478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482</v>
      </c>
      <c r="F18" s="38" t="s">
        <v>495</v>
      </c>
    </row>
    <row r="19" spans="1:6" x14ac:dyDescent="0.3">
      <c r="A19" s="27" t="s">
        <v>478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483</v>
      </c>
      <c r="F19" s="38" t="s">
        <v>496</v>
      </c>
    </row>
    <row r="20" spans="1:6" x14ac:dyDescent="0.3">
      <c r="A20" s="27" t="s">
        <v>478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484</v>
      </c>
      <c r="F20" s="38" t="s">
        <v>497</v>
      </c>
    </row>
    <row r="21" spans="1:6" x14ac:dyDescent="0.3">
      <c r="A21" s="27" t="s">
        <v>478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485</v>
      </c>
      <c r="F21" s="38" t="s">
        <v>499</v>
      </c>
    </row>
    <row r="22" spans="1:6" x14ac:dyDescent="0.3">
      <c r="A22" s="27" t="s">
        <v>478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486</v>
      </c>
      <c r="F22" s="27" t="s">
        <v>498</v>
      </c>
    </row>
    <row r="23" spans="1:6" x14ac:dyDescent="0.3">
      <c r="A23" s="27" t="s">
        <v>478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487</v>
      </c>
      <c r="F23" s="27" t="s">
        <v>500</v>
      </c>
    </row>
    <row r="24" spans="1:6" x14ac:dyDescent="0.3">
      <c r="A24" s="27" t="s">
        <v>478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488</v>
      </c>
      <c r="F24" s="27" t="s">
        <v>501</v>
      </c>
    </row>
    <row r="25" spans="1:6" x14ac:dyDescent="0.3">
      <c r="A25" s="27" t="s">
        <v>478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489</v>
      </c>
      <c r="F25" s="27" t="s">
        <v>502</v>
      </c>
    </row>
    <row r="26" spans="1:6" x14ac:dyDescent="0.3">
      <c r="A26" s="27" t="s">
        <v>478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490</v>
      </c>
      <c r="F26" s="27" t="s">
        <v>503</v>
      </c>
    </row>
    <row r="27" spans="1:6" x14ac:dyDescent="0.3">
      <c r="A27" s="27" t="s">
        <v>478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491</v>
      </c>
      <c r="F27" s="27" t="s">
        <v>504</v>
      </c>
    </row>
    <row r="28" spans="1:6" x14ac:dyDescent="0.3">
      <c r="A28" s="27" t="s">
        <v>478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492</v>
      </c>
      <c r="F28" s="27" t="s">
        <v>505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513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469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475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468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903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477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467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474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470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472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471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473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476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513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620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599</v>
      </c>
      <c r="F87" s="38"/>
    </row>
    <row r="88" spans="1:6" x14ac:dyDescent="0.3">
      <c r="A88" s="27" t="s">
        <v>451</v>
      </c>
      <c r="B88" s="27" t="s">
        <v>621</v>
      </c>
      <c r="C88" s="27" t="s">
        <v>449</v>
      </c>
      <c r="D88" s="27" t="str">
        <f t="shared" si="2"/>
        <v>NAME_ETC_YANLIANG</v>
      </c>
      <c r="E88" s="27" t="s">
        <v>588</v>
      </c>
      <c r="F88" s="38"/>
    </row>
    <row r="89" spans="1:6" x14ac:dyDescent="0.3">
      <c r="A89" s="27" t="s">
        <v>451</v>
      </c>
      <c r="B89" s="27" t="s">
        <v>622</v>
      </c>
      <c r="C89" s="27" t="s">
        <v>449</v>
      </c>
      <c r="D89" s="27" t="str">
        <f t="shared" si="2"/>
        <v>NAME_ETC_WENCHOU</v>
      </c>
      <c r="E89" s="27" t="s">
        <v>598</v>
      </c>
      <c r="F89" s="38"/>
    </row>
    <row r="90" spans="1:6" x14ac:dyDescent="0.3">
      <c r="A90" s="27" t="s">
        <v>451</v>
      </c>
      <c r="B90" s="27" t="s">
        <v>624</v>
      </c>
      <c r="C90" s="27" t="s">
        <v>449</v>
      </c>
      <c r="D90" s="27" t="str">
        <f t="shared" si="2"/>
        <v>NAME_ETC_SONGXIAN</v>
      </c>
      <c r="E90" s="27" t="s">
        <v>623</v>
      </c>
      <c r="F90" s="38"/>
    </row>
    <row r="91" spans="1:6" x14ac:dyDescent="0.3">
      <c r="A91" s="27" t="s">
        <v>451</v>
      </c>
      <c r="B91" s="27" t="s">
        <v>626</v>
      </c>
      <c r="C91" s="27" t="s">
        <v>449</v>
      </c>
      <c r="D91" s="27" t="str">
        <f t="shared" si="2"/>
        <v>NAME_ETC_WEIXU</v>
      </c>
      <c r="E91" s="27" t="s">
        <v>625</v>
      </c>
      <c r="F91" s="38"/>
    </row>
    <row r="92" spans="1:6" x14ac:dyDescent="0.3">
      <c r="A92" s="27" t="s">
        <v>451</v>
      </c>
      <c r="B92" s="27" t="s">
        <v>628</v>
      </c>
      <c r="C92" s="27" t="s">
        <v>447</v>
      </c>
      <c r="D92" s="27" t="str">
        <f t="shared" si="2"/>
        <v>NAME_WEI_XUHUANG</v>
      </c>
      <c r="E92" s="27" t="s">
        <v>627</v>
      </c>
      <c r="F92" s="38"/>
    </row>
    <row r="93" spans="1:6" x14ac:dyDescent="0.3">
      <c r="A93" s="27" t="s">
        <v>451</v>
      </c>
      <c r="B93" s="27" t="s">
        <v>700</v>
      </c>
      <c r="C93" s="27" t="s">
        <v>447</v>
      </c>
      <c r="D93" s="27" t="str">
        <f t="shared" si="2"/>
        <v>NAME_WEI_FANJIANG</v>
      </c>
      <c r="E93" s="38" t="s">
        <v>689</v>
      </c>
      <c r="F93" s="38"/>
    </row>
    <row r="94" spans="1:6" x14ac:dyDescent="0.3">
      <c r="A94" s="27" t="s">
        <v>451</v>
      </c>
      <c r="B94" s="27" t="s">
        <v>701</v>
      </c>
      <c r="C94" s="27" t="s">
        <v>447</v>
      </c>
      <c r="D94" s="27" t="str">
        <f t="shared" si="2"/>
        <v>NAME_WEI_ZHANGDA</v>
      </c>
      <c r="E94" s="38" t="s">
        <v>690</v>
      </c>
      <c r="F94" s="38"/>
    </row>
    <row r="95" spans="1:6" x14ac:dyDescent="0.3">
      <c r="A95" s="27" t="s">
        <v>478</v>
      </c>
      <c r="B95" s="27" t="s">
        <v>620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629</v>
      </c>
      <c r="F95" s="38"/>
    </row>
    <row r="96" spans="1:6" x14ac:dyDescent="0.3">
      <c r="A96" s="27" t="s">
        <v>478</v>
      </c>
      <c r="B96" s="27" t="s">
        <v>621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478</v>
      </c>
      <c r="B97" s="27" t="s">
        <v>622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478</v>
      </c>
      <c r="B98" s="27" t="s">
        <v>628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620</v>
      </c>
      <c r="C99" s="27" t="s">
        <v>449</v>
      </c>
      <c r="D99" s="27" t="str">
        <f t="shared" si="2"/>
        <v>DESC_TALK_ETC_YUANSHAO</v>
      </c>
      <c r="E99" s="38" t="s">
        <v>630</v>
      </c>
      <c r="F99" s="38"/>
    </row>
    <row r="100" spans="1:6" ht="33" x14ac:dyDescent="0.3">
      <c r="A100" s="27" t="s">
        <v>464</v>
      </c>
      <c r="B100" s="27" t="s">
        <v>621</v>
      </c>
      <c r="C100" s="27" t="s">
        <v>449</v>
      </c>
      <c r="D100" s="27" t="str">
        <f t="shared" si="2"/>
        <v>DESC_TALK_ETC_YANLIANG</v>
      </c>
      <c r="E100" s="38" t="s">
        <v>631</v>
      </c>
      <c r="F100" s="38"/>
    </row>
    <row r="101" spans="1:6" ht="33" x14ac:dyDescent="0.3">
      <c r="A101" s="27" t="s">
        <v>464</v>
      </c>
      <c r="B101" s="27" t="s">
        <v>622</v>
      </c>
      <c r="C101" s="27" t="s">
        <v>449</v>
      </c>
      <c r="D101" s="27" t="str">
        <f t="shared" si="2"/>
        <v>DESC_TALK_ETC_WENCHOU</v>
      </c>
      <c r="E101" s="38" t="s">
        <v>632</v>
      </c>
      <c r="F101" s="38"/>
    </row>
    <row r="102" spans="1:6" ht="33" x14ac:dyDescent="0.3">
      <c r="A102" s="27" t="s">
        <v>464</v>
      </c>
      <c r="B102" s="27" t="s">
        <v>628</v>
      </c>
      <c r="C102" s="27" t="s">
        <v>447</v>
      </c>
      <c r="D102" s="27" t="str">
        <f t="shared" si="2"/>
        <v>DESC_TALK_WEI_XUHUANG</v>
      </c>
      <c r="E102" s="38" t="s">
        <v>633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13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282" workbookViewId="0">
      <selection activeCell="G302" sqref="G30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e">
        <f>VLOOKUP(F3,#REF!,2, FALSE)</f>
        <v>#REF!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e">
        <f>VLOOKUP(F4,#REF!,2, FALSE)</f>
        <v>#REF!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e">
        <f>VLOOKUP(F6,#REF!,2, FALSE)</f>
        <v>#REF!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574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e">
        <f>VLOOKUP(F8,#REF!,2, FALSE)</f>
        <v>#REF!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e">
        <f>VLOOKUP(F9,#REF!,2, FALSE)</f>
        <v>#REF!</v>
      </c>
      <c r="F9" t="s">
        <v>403</v>
      </c>
      <c r="G9" s="3" t="s">
        <v>566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e">
        <f>VLOOKUP(F11,#REF!,2, FALSE)</f>
        <v>#REF!</v>
      </c>
      <c r="F11" t="s">
        <v>51</v>
      </c>
      <c r="G11" s="3" t="s">
        <v>573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e">
        <f>VLOOKUP(F12,#REF!,2, FALSE)</f>
        <v>#REF!</v>
      </c>
      <c r="F12" t="s">
        <v>406</v>
      </c>
      <c r="G12" s="3" t="s">
        <v>565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e">
        <f>VLOOKUP(F13,#REF!,2, FALSE)</f>
        <v>#REF!</v>
      </c>
      <c r="F13" t="s">
        <v>407</v>
      </c>
      <c r="G13" s="3" t="s">
        <v>564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e">
        <f>VLOOKUP(F14,#REF!,2, FALSE)</f>
        <v>#REF!</v>
      </c>
      <c r="F14" t="s">
        <v>406</v>
      </c>
      <c r="G14" s="3" t="s">
        <v>571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e">
        <f>VLOOKUP(F15,#REF!,2, FALSE)</f>
        <v>#REF!</v>
      </c>
      <c r="F15" t="s">
        <v>51</v>
      </c>
      <c r="G15" s="3" t="s">
        <v>572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570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e">
        <f>VLOOKUP(F17,#REF!,2, FALSE)</f>
        <v>#REF!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e">
        <f>VLOOKUP(F18,#REF!,2, FALSE)</f>
        <v>#REF!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e">
        <f>VLOOKUP(F20,#REF!,2, FALSE)</f>
        <v>#REF!</v>
      </c>
      <c r="F20" t="s">
        <v>403</v>
      </c>
      <c r="G20" s="3" t="s">
        <v>618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e">
        <f>VLOOKUP(F21,#REF!,2, FALSE)</f>
        <v>#REF!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e">
        <f>VLOOKUP(F22,#REF!,2, FALSE)</f>
        <v>#REF!</v>
      </c>
      <c r="F22" t="s">
        <v>51</v>
      </c>
      <c r="G22" s="3" t="s">
        <v>619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e">
        <f>VLOOKUP(F23,#REF!,2, FALSE)</f>
        <v>#REF!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e">
        <f>VLOOKUP(F24,#REF!,2, FALSE)</f>
        <v>#REF!</v>
      </c>
      <c r="F24" t="s">
        <v>403</v>
      </c>
      <c r="G24" s="3" t="s">
        <v>563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e">
        <f>VLOOKUP(F25,#REF!,2, FALSE)</f>
        <v>#REF!</v>
      </c>
      <c r="F25" t="s">
        <v>51</v>
      </c>
      <c r="G25" s="3" t="s">
        <v>569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e">
        <f>VLOOKUP(F26,#REF!,2, FALSE)</f>
        <v>#REF!</v>
      </c>
      <c r="F26" t="s">
        <v>403</v>
      </c>
      <c r="G26" s="3" t="s">
        <v>409</v>
      </c>
    </row>
    <row r="27" spans="1:7" ht="33" x14ac:dyDescent="0.3">
      <c r="A27" t="s">
        <v>560</v>
      </c>
      <c r="B27">
        <v>0</v>
      </c>
      <c r="C27" t="str">
        <f t="shared" si="0"/>
        <v>NODE_30B_0</v>
      </c>
      <c r="E27" t="e">
        <f>VLOOKUP(F27,#REF!,2, FALSE)</f>
        <v>#REF!</v>
      </c>
      <c r="F27" t="s">
        <v>5</v>
      </c>
      <c r="G27" s="3" t="s">
        <v>584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e">
        <f>VLOOKUP(F28,#REF!,2, FALSE)</f>
        <v>#REF!</v>
      </c>
      <c r="F28" t="s">
        <v>5</v>
      </c>
      <c r="G28" s="3" t="s">
        <v>582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e">
        <f>VLOOKUP(F29,#REF!,2, FALSE)</f>
        <v>#REF!</v>
      </c>
      <c r="F29" t="s">
        <v>9</v>
      </c>
      <c r="G29" s="3" t="s">
        <v>580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e">
        <f>VLOOKUP(F30,#REF!,2, FALSE)</f>
        <v>#REF!</v>
      </c>
      <c r="F30" t="s">
        <v>5</v>
      </c>
      <c r="G30" s="3" t="s">
        <v>576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e">
        <f>VLOOKUP(F31,#REF!,2, FALSE)</f>
        <v>#REF!</v>
      </c>
      <c r="F31" t="s">
        <v>7</v>
      </c>
      <c r="G31" s="3" t="s">
        <v>583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e">
        <f>VLOOKUP(F32,#REF!,2, FALSE)</f>
        <v>#REF!</v>
      </c>
      <c r="F32" t="s">
        <v>5</v>
      </c>
      <c r="G32" s="3" t="s">
        <v>568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e">
        <f>VLOOKUP(F33,#REF!,2, FALSE)</f>
        <v>#REF!</v>
      </c>
      <c r="F33" t="s">
        <v>7</v>
      </c>
      <c r="G33" s="3" t="s">
        <v>561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e">
        <f>VLOOKUP(F34,#REF!,2, FALSE)</f>
        <v>#REF!</v>
      </c>
      <c r="F34" t="s">
        <v>5</v>
      </c>
      <c r="G34" s="3" t="s">
        <v>553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e">
        <f>VLOOKUP(F35,#REF!,2, FALSE)</f>
        <v>#REF!</v>
      </c>
      <c r="F35" t="s">
        <v>9</v>
      </c>
      <c r="G35" s="3" t="s">
        <v>562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e">
        <f>VLOOKUP(F36,#REF!,2, FALSE)</f>
        <v>#REF!</v>
      </c>
      <c r="F36" t="s">
        <v>5</v>
      </c>
      <c r="G36" s="3" t="s">
        <v>661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e">
        <f>VLOOKUP(F37,#REF!,2, FALSE)</f>
        <v>#REF!</v>
      </c>
      <c r="F37" t="s">
        <v>7</v>
      </c>
      <c r="G37" s="3" t="s">
        <v>559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e">
        <f>VLOOKUP(F39,#REF!,2, FALSE)</f>
        <v>#REF!</v>
      </c>
      <c r="F39" t="s">
        <v>9</v>
      </c>
      <c r="G39" s="3" t="s">
        <v>567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e">
        <f>VLOOKUP(F40,#REF!,2, FALSE)</f>
        <v>#REF!</v>
      </c>
      <c r="F40" t="s">
        <v>7</v>
      </c>
      <c r="G40" s="3" t="s">
        <v>579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e">
        <f>VLOOKUP(F41,#REF!,2, FALSE)</f>
        <v>#REF!</v>
      </c>
      <c r="F41" t="s">
        <v>5</v>
      </c>
      <c r="G41" s="3" t="s">
        <v>575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e">
        <f>VLOOKUP(F42,#REF!,2, FALSE)</f>
        <v>#REF!</v>
      </c>
      <c r="F42" t="s">
        <v>5</v>
      </c>
      <c r="G42" s="3" t="s">
        <v>723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e">
        <f>VLOOKUP(F43,#REF!,2, FALSE)</f>
        <v>#REF!</v>
      </c>
      <c r="F43" t="s">
        <v>5</v>
      </c>
      <c r="G43" s="3" t="s">
        <v>554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e">
        <f>VLOOKUP(F44,#REF!,2, FALSE)</f>
        <v>#REF!</v>
      </c>
      <c r="F44" t="s">
        <v>9</v>
      </c>
      <c r="G44" s="3" t="s">
        <v>555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e">
        <f>VLOOKUP(F45,#REF!,2, FALSE)</f>
        <v>#REF!</v>
      </c>
      <c r="F45" t="s">
        <v>7</v>
      </c>
      <c r="G45" s="3" t="s">
        <v>557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e">
        <f>VLOOKUP(F46,#REF!,2, FALSE)</f>
        <v>#REF!</v>
      </c>
      <c r="F46" t="s">
        <v>9</v>
      </c>
      <c r="G46" s="3" t="s">
        <v>578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e">
        <f>VLOOKUP(F47,#REF!,2, FALSE)</f>
        <v>#REF!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e">
        <f>VLOOKUP(F48,#REF!,2, FALSE)</f>
        <v>#REF!</v>
      </c>
      <c r="F48" t="s">
        <v>7</v>
      </c>
      <c r="G48" s="3" t="s">
        <v>577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e">
        <f>VLOOKUP(F49,#REF!,2, FALSE)</f>
        <v>#REF!</v>
      </c>
      <c r="F49" t="s">
        <v>5</v>
      </c>
      <c r="G49" s="3" t="s">
        <v>556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e">
        <f>VLOOKUP(F50,#REF!,2, FALSE)</f>
        <v>#REF!</v>
      </c>
      <c r="F50" t="s">
        <v>9</v>
      </c>
      <c r="G50" s="3" t="s">
        <v>581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e">
        <f>VLOOKUP(F51,#REF!,2, FALSE)</f>
        <v>#REF!</v>
      </c>
      <c r="F51" t="s">
        <v>7</v>
      </c>
      <c r="G51" s="3" t="s">
        <v>652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e">
        <f>VLOOKUP(F52,#REF!,2, FALSE)</f>
        <v>#REF!</v>
      </c>
      <c r="F52" t="s">
        <v>9</v>
      </c>
      <c r="G52" s="3" t="s">
        <v>558</v>
      </c>
    </row>
    <row r="54" spans="1:7" x14ac:dyDescent="0.3">
      <c r="A54" t="s">
        <v>586</v>
      </c>
      <c r="B54">
        <v>0</v>
      </c>
      <c r="C54" t="str">
        <f>CONCATENATE(A54, "_", B54, IF(D54&lt;&gt;"", "_"&amp;D54, ""))</f>
        <v>NODE_16_0</v>
      </c>
      <c r="E54" t="e">
        <f>VLOOKUP(F54,#REF!,2, FALSE)</f>
        <v>#REF!</v>
      </c>
      <c r="F54" t="s">
        <v>51</v>
      </c>
      <c r="G54" s="3" t="s">
        <v>593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e">
        <f>VLOOKUP(F55,#REF!,2, FALSE)</f>
        <v>#REF!</v>
      </c>
      <c r="F55" t="s">
        <v>51</v>
      </c>
      <c r="G55" s="3" t="s">
        <v>635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e">
        <f>VLOOKUP(F56,#REF!,2, FALSE)</f>
        <v>#REF!</v>
      </c>
      <c r="F56" t="s">
        <v>588</v>
      </c>
      <c r="G56" s="3" t="s">
        <v>587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e">
        <f>VLOOKUP(F57,#REF!,2, FALSE)</f>
        <v>#REF!</v>
      </c>
      <c r="F57" t="s">
        <v>406</v>
      </c>
      <c r="G57" s="3" t="s">
        <v>649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e">
        <f>VLOOKUP(F58,#REF!,2, FALSE)</f>
        <v>#REF!</v>
      </c>
      <c r="F58" t="s">
        <v>406</v>
      </c>
      <c r="G58" s="3" t="s">
        <v>662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e">
        <f>VLOOKUP(F59,#REF!,2, FALSE)</f>
        <v>#REF!</v>
      </c>
      <c r="F59" t="s">
        <v>407</v>
      </c>
      <c r="G59" s="3" t="s">
        <v>636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e">
        <f>VLOOKUP(F60,#REF!,2, FALSE)</f>
        <v>#REF!</v>
      </c>
      <c r="F60" t="s">
        <v>406</v>
      </c>
      <c r="G60" s="3" t="s">
        <v>637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e">
        <f>VLOOKUP(F61,#REF!,2, FALSE)</f>
        <v>#REF!</v>
      </c>
      <c r="F61" t="s">
        <v>406</v>
      </c>
      <c r="G61" s="3" t="s">
        <v>639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e">
        <f>VLOOKUP(F62,#REF!,2, FALSE)</f>
        <v>#REF!</v>
      </c>
      <c r="F62" t="s">
        <v>51</v>
      </c>
      <c r="G62" s="3" t="s">
        <v>589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e">
        <f>VLOOKUP(F63,#REF!,2, FALSE)</f>
        <v>#REF!</v>
      </c>
      <c r="F63" t="s">
        <v>7</v>
      </c>
      <c r="G63" s="3" t="s">
        <v>719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e">
        <f>VLOOKUP(F64,#REF!,2, FALSE)</f>
        <v>#REF!</v>
      </c>
      <c r="F64" t="s">
        <v>590</v>
      </c>
      <c r="G64" s="3" t="s">
        <v>767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e">
        <f>VLOOKUP(F65,#REF!,2, FALSE)</f>
        <v>#REF!</v>
      </c>
      <c r="F65" t="s">
        <v>590</v>
      </c>
      <c r="G65" s="3" t="s">
        <v>768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e">
        <f>VLOOKUP(F66,#REF!,2, FALSE)</f>
        <v>#REF!</v>
      </c>
      <c r="F66" t="s">
        <v>51</v>
      </c>
      <c r="G66" s="3" t="s">
        <v>591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e">
        <f>VLOOKUP(F67,#REF!,2, FALSE)</f>
        <v>#REF!</v>
      </c>
      <c r="F67" t="s">
        <v>51</v>
      </c>
      <c r="G67" s="3" t="s">
        <v>640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e">
        <f>VLOOKUP(F68,#REF!,2, FALSE)</f>
        <v>#REF!</v>
      </c>
      <c r="F68" t="s">
        <v>51</v>
      </c>
      <c r="G68" s="3" t="s">
        <v>592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e">
        <f>VLOOKUP(F69,#REF!,2, FALSE)</f>
        <v>#REF!</v>
      </c>
      <c r="F69" t="s">
        <v>7</v>
      </c>
      <c r="G69" s="3" t="s">
        <v>638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e">
        <f>VLOOKUP(F70,#REF!,2, FALSE)</f>
        <v>#REF!</v>
      </c>
      <c r="F70" t="s">
        <v>51</v>
      </c>
      <c r="G70" s="3" t="s">
        <v>642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e">
        <f>VLOOKUP(F71,#REF!,2, FALSE)</f>
        <v>#REF!</v>
      </c>
      <c r="F71" t="s">
        <v>588</v>
      </c>
      <c r="G71" s="3" t="s">
        <v>733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e">
        <f>VLOOKUP(F72,#REF!,2, FALSE)</f>
        <v>#REF!</v>
      </c>
      <c r="F72" t="s">
        <v>588</v>
      </c>
      <c r="G72" s="3" t="s">
        <v>721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e">
        <f>VLOOKUP(F73,#REF!,2, FALSE)</f>
        <v>#REF!</v>
      </c>
      <c r="F73" t="s">
        <v>590</v>
      </c>
      <c r="G73" s="3" t="s">
        <v>648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e">
        <f>VLOOKUP(F74,#REF!,2, FALSE)</f>
        <v>#REF!</v>
      </c>
      <c r="F74" t="s">
        <v>588</v>
      </c>
      <c r="G74" s="3" t="s">
        <v>641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e">
        <f>VLOOKUP(F75,#REF!,2, FALSE)</f>
        <v>#REF!</v>
      </c>
      <c r="F75" t="s">
        <v>588</v>
      </c>
      <c r="G75" s="3" t="s">
        <v>593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e">
        <f>VLOOKUP(F76,#REF!,2, FALSE)</f>
        <v>#REF!</v>
      </c>
      <c r="F76" t="s">
        <v>590</v>
      </c>
      <c r="G76" s="3" t="s">
        <v>651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e">
        <f>VLOOKUP(F77,#REF!,2, FALSE)</f>
        <v>#REF!</v>
      </c>
      <c r="F77" t="s">
        <v>51</v>
      </c>
      <c r="G77" s="3" t="s">
        <v>643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e">
        <f>VLOOKUP(F78,#REF!,2, FALSE)</f>
        <v>#REF!</v>
      </c>
      <c r="F78" t="s">
        <v>7</v>
      </c>
      <c r="G78" s="3" t="s">
        <v>594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e">
        <f>VLOOKUP(F79,#REF!,2, FALSE)</f>
        <v>#REF!</v>
      </c>
      <c r="F79" t="s">
        <v>406</v>
      </c>
      <c r="G79" s="3" t="s">
        <v>634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e">
        <f>VLOOKUP(F80,#REF!,2, FALSE)</f>
        <v>#REF!</v>
      </c>
      <c r="F80" t="s">
        <v>407</v>
      </c>
      <c r="G80" s="3" t="s">
        <v>595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e">
        <f>VLOOKUP(F81,#REF!,2, FALSE)</f>
        <v>#REF!</v>
      </c>
      <c r="F81" t="s">
        <v>7</v>
      </c>
      <c r="G81" s="3" t="s">
        <v>596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e">
        <f>VLOOKUP(F82,#REF!,2, FALSE)</f>
        <v>#REF!</v>
      </c>
      <c r="F82" t="s">
        <v>590</v>
      </c>
      <c r="G82" s="3" t="s">
        <v>597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e">
        <f>VLOOKUP(F83,#REF!,2, FALSE)</f>
        <v>#REF!</v>
      </c>
      <c r="F83" t="s">
        <v>598</v>
      </c>
      <c r="G83" s="3" t="s">
        <v>823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e">
        <f>VLOOKUP(F84,#REF!,2, FALSE)</f>
        <v>#REF!</v>
      </c>
      <c r="F84" t="s">
        <v>5</v>
      </c>
      <c r="G84" s="3" t="s">
        <v>596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e">
        <f>VLOOKUP(F85,#REF!,2, FALSE)</f>
        <v>#REF!</v>
      </c>
      <c r="F85" t="s">
        <v>5</v>
      </c>
      <c r="G85" s="3" t="s">
        <v>644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e">
        <f>VLOOKUP(F86,#REF!,2, FALSE)</f>
        <v>#REF!</v>
      </c>
      <c r="F86" t="s">
        <v>599</v>
      </c>
      <c r="G86" s="3" t="s">
        <v>600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e">
        <f>VLOOKUP(F87,#REF!,2, FALSE)</f>
        <v>#REF!</v>
      </c>
      <c r="F87" t="s">
        <v>598</v>
      </c>
      <c r="G87" s="3" t="s">
        <v>824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e">
        <f>VLOOKUP(F88,#REF!,2, FALSE)</f>
        <v>#REF!</v>
      </c>
      <c r="F88" t="s">
        <v>598</v>
      </c>
      <c r="G88" s="3" t="s">
        <v>601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e">
        <f>VLOOKUP(F89,#REF!,2, FALSE)</f>
        <v>#REF!</v>
      </c>
      <c r="F89" t="s">
        <v>598</v>
      </c>
      <c r="G89" s="3" t="s">
        <v>602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e">
        <f>VLOOKUP(F90,#REF!,2, FALSE)</f>
        <v>#REF!</v>
      </c>
      <c r="F90" t="s">
        <v>7</v>
      </c>
      <c r="G90" s="3" t="s">
        <v>596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e">
        <f>VLOOKUP(F91,#REF!,2, FALSE)</f>
        <v>#REF!</v>
      </c>
      <c r="F91" t="s">
        <v>598</v>
      </c>
      <c r="G91" s="3" t="s">
        <v>703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e">
        <f>VLOOKUP(F92,#REF!,2, FALSE)</f>
        <v>#REF!</v>
      </c>
      <c r="F92" t="s">
        <v>598</v>
      </c>
      <c r="G92" s="3" t="s">
        <v>603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e">
        <f>VLOOKUP(F93,#REF!,2, FALSE)</f>
        <v>#REF!</v>
      </c>
      <c r="F93" t="s">
        <v>7</v>
      </c>
      <c r="G93" s="3" t="s">
        <v>604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e">
        <f>VLOOKUP(F94,#REF!,2, FALSE)</f>
        <v>#REF!</v>
      </c>
      <c r="F94" t="s">
        <v>598</v>
      </c>
      <c r="G94" s="3" t="s">
        <v>605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e">
        <f>VLOOKUP(F95,#REF!,2, FALSE)</f>
        <v>#REF!</v>
      </c>
      <c r="F95" t="s">
        <v>599</v>
      </c>
      <c r="G95" s="3" t="s">
        <v>722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e">
        <f>VLOOKUP(F96,#REF!,2, FALSE)</f>
        <v>#REF!</v>
      </c>
      <c r="F96" t="s">
        <v>5</v>
      </c>
      <c r="G96" s="3" t="s">
        <v>822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e">
        <f>VLOOKUP(F97,#REF!,2, FALSE)</f>
        <v>#REF!</v>
      </c>
      <c r="F97" t="s">
        <v>599</v>
      </c>
      <c r="G97" s="3" t="s">
        <v>606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e">
        <f>VLOOKUP(F98,#REF!,2, FALSE)</f>
        <v>#REF!</v>
      </c>
      <c r="F98" t="s">
        <v>7</v>
      </c>
      <c r="G98" s="3" t="s">
        <v>607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e">
        <f>VLOOKUP(F99,#REF!,2, FALSE)</f>
        <v>#REF!</v>
      </c>
      <c r="F99" t="s">
        <v>7</v>
      </c>
      <c r="G99" s="3" t="s">
        <v>608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e">
        <f>VLOOKUP(F100,#REF!,2, FALSE)</f>
        <v>#REF!</v>
      </c>
      <c r="F100" t="s">
        <v>7</v>
      </c>
      <c r="G100" s="3" t="s">
        <v>609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e">
        <f>VLOOKUP(F101,#REF!,2, FALSE)</f>
        <v>#REF!</v>
      </c>
      <c r="F101" t="s">
        <v>5</v>
      </c>
      <c r="G101" s="3" t="s">
        <v>647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e">
        <f>VLOOKUP(F102,#REF!,2, FALSE)</f>
        <v>#REF!</v>
      </c>
      <c r="F102" t="s">
        <v>5</v>
      </c>
      <c r="G102" s="3" t="s">
        <v>646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e">
        <f>VLOOKUP(F103,#REF!,2, FALSE)</f>
        <v>#REF!</v>
      </c>
      <c r="F103" t="s">
        <v>599</v>
      </c>
      <c r="G103" s="3" t="s">
        <v>596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e">
        <f>VLOOKUP(F104,#REF!,2, FALSE)</f>
        <v>#REF!</v>
      </c>
      <c r="F104" t="s">
        <v>5</v>
      </c>
      <c r="G104" s="3" t="s">
        <v>645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e">
        <f>VLOOKUP(F105,#REF!,2, FALSE)</f>
        <v>#REF!</v>
      </c>
      <c r="F105" t="s">
        <v>5</v>
      </c>
      <c r="G105" s="3" t="s">
        <v>610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e">
        <f>VLOOKUP(F106,#REF!,2, FALSE)</f>
        <v>#REF!</v>
      </c>
      <c r="F106" t="s">
        <v>599</v>
      </c>
      <c r="G106" s="3" t="s">
        <v>611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e">
        <f>VLOOKUP(F107,#REF!,2, FALSE)</f>
        <v>#REF!</v>
      </c>
      <c r="F107" t="s">
        <v>599</v>
      </c>
      <c r="G107" s="3" t="s">
        <v>612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e">
        <f>VLOOKUP(F108,#REF!,2, FALSE)</f>
        <v>#REF!</v>
      </c>
      <c r="F108" t="s">
        <v>5</v>
      </c>
      <c r="G108" s="3" t="s">
        <v>613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e">
        <f>VLOOKUP(F109,#REF!,2, FALSE)</f>
        <v>#REF!</v>
      </c>
      <c r="F109" t="s">
        <v>599</v>
      </c>
      <c r="G109" s="3" t="s">
        <v>596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e">
        <f>VLOOKUP(F110,#REF!,2, FALSE)</f>
        <v>#REF!</v>
      </c>
      <c r="F110" t="s">
        <v>5</v>
      </c>
      <c r="G110" s="3" t="s">
        <v>614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e">
        <f>VLOOKUP(F111,#REF!,2, FALSE)</f>
        <v>#REF!</v>
      </c>
      <c r="F111" t="s">
        <v>599</v>
      </c>
      <c r="G111" s="3" t="s">
        <v>821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e">
        <f>VLOOKUP(F112,#REF!,2, FALSE)</f>
        <v>#REF!</v>
      </c>
      <c r="F112" t="s">
        <v>5</v>
      </c>
      <c r="G112" s="3" t="s">
        <v>615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e">
        <f>VLOOKUP(F113,#REF!,2, FALSE)</f>
        <v>#REF!</v>
      </c>
      <c r="F113" t="s">
        <v>599</v>
      </c>
      <c r="G113" s="3" t="s">
        <v>616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e">
        <f>VLOOKUP(F114,#REF!,2, FALSE)</f>
        <v>#REF!</v>
      </c>
      <c r="F114" t="s">
        <v>5</v>
      </c>
      <c r="G114" s="3" t="s">
        <v>820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e">
        <f>VLOOKUP(F115,#REF!,2, FALSE)</f>
        <v>#REF!</v>
      </c>
      <c r="F115" t="s">
        <v>599</v>
      </c>
      <c r="G115" s="3" t="s">
        <v>819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e">
        <f>VLOOKUP(F116,#REF!,2, FALSE)</f>
        <v>#REF!</v>
      </c>
      <c r="F116" t="s">
        <v>5</v>
      </c>
      <c r="G116" s="3" t="s">
        <v>617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e">
        <f>VLOOKUP(F117,#REF!,2, FALSE)</f>
        <v>#REF!</v>
      </c>
      <c r="F117" t="s">
        <v>599</v>
      </c>
      <c r="G117" s="3" t="s">
        <v>707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e">
        <f>VLOOKUP(F118,#REF!,2, FALSE)</f>
        <v>#REF!</v>
      </c>
      <c r="F118" t="s">
        <v>5</v>
      </c>
      <c r="G118" s="3" t="s">
        <v>704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e">
        <f>VLOOKUP(F119,#REF!,2, FALSE)</f>
        <v>#REF!</v>
      </c>
      <c r="F119" t="s">
        <v>7</v>
      </c>
      <c r="G119" s="3" t="s">
        <v>650</v>
      </c>
    </row>
    <row r="121" spans="1:10" x14ac:dyDescent="0.3">
      <c r="A121" t="s">
        <v>665</v>
      </c>
      <c r="B121">
        <v>0</v>
      </c>
      <c r="C121" t="str">
        <f t="shared" ref="C121:C123" si="12">CONCATENATE(A121, "_", B121, IF(D121&lt;&gt;"", "_"&amp;D121, ""))</f>
        <v>NODE_27_0</v>
      </c>
      <c r="E121" t="e">
        <f>VLOOKUP(F121,#REF!,2, FALSE)</f>
        <v>#REF!</v>
      </c>
      <c r="F121" t="s">
        <v>7</v>
      </c>
      <c r="G121" s="3" t="s">
        <v>705</v>
      </c>
    </row>
    <row r="122" spans="1:10" ht="33" x14ac:dyDescent="0.3">
      <c r="A122" t="s">
        <v>665</v>
      </c>
      <c r="B122">
        <f t="shared" ref="B122:B159" si="13">B121+1</f>
        <v>1</v>
      </c>
      <c r="C122" t="str">
        <f t="shared" si="12"/>
        <v>NODE_27_1</v>
      </c>
      <c r="E122" t="e">
        <f>VLOOKUP(F122,#REF!,2, FALSE)</f>
        <v>#REF!</v>
      </c>
      <c r="F122" t="s">
        <v>590</v>
      </c>
      <c r="G122" s="3" t="s">
        <v>717</v>
      </c>
    </row>
    <row r="123" spans="1:10" ht="33" x14ac:dyDescent="0.3">
      <c r="A123" t="s">
        <v>665</v>
      </c>
      <c r="B123">
        <f t="shared" si="13"/>
        <v>2</v>
      </c>
      <c r="C123" t="str">
        <f t="shared" si="12"/>
        <v>NODE_27_2</v>
      </c>
      <c r="E123" t="e">
        <f>VLOOKUP(F123,#REF!,2, FALSE)</f>
        <v>#REF!</v>
      </c>
      <c r="F123" t="s">
        <v>7</v>
      </c>
      <c r="G123" s="3" t="s">
        <v>702</v>
      </c>
    </row>
    <row r="124" spans="1:10" x14ac:dyDescent="0.3">
      <c r="A124" t="s">
        <v>665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e">
        <f>VLOOKUP(F124,#REF!,2, FALSE)</f>
        <v>#REF!</v>
      </c>
      <c r="F124" t="s">
        <v>7</v>
      </c>
      <c r="G124" s="3" t="s">
        <v>714</v>
      </c>
    </row>
    <row r="125" spans="1:10" ht="33" x14ac:dyDescent="0.3">
      <c r="A125" t="s">
        <v>665</v>
      </c>
      <c r="B125">
        <f t="shared" si="13"/>
        <v>4</v>
      </c>
      <c r="C125" t="str">
        <f t="shared" si="14"/>
        <v>NODE_27_4</v>
      </c>
      <c r="E125" t="e">
        <f>VLOOKUP(F125,#REF!,2, FALSE)</f>
        <v>#REF!</v>
      </c>
      <c r="F125" t="s">
        <v>7</v>
      </c>
      <c r="G125" s="3" t="s">
        <v>715</v>
      </c>
      <c r="J125" s="3"/>
    </row>
    <row r="126" spans="1:10" x14ac:dyDescent="0.3">
      <c r="A126" t="s">
        <v>665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e">
        <f>VLOOKUP(F126,#REF!,2, FALSE)</f>
        <v>#REF!</v>
      </c>
      <c r="F126" t="s">
        <v>590</v>
      </c>
      <c r="G126" s="3" t="s">
        <v>769</v>
      </c>
    </row>
    <row r="127" spans="1:10" x14ac:dyDescent="0.3">
      <c r="A127" t="s">
        <v>665</v>
      </c>
      <c r="B127">
        <f t="shared" si="13"/>
        <v>6</v>
      </c>
      <c r="C127" t="str">
        <f t="shared" si="15"/>
        <v>NODE_27_6</v>
      </c>
      <c r="E127" t="e">
        <f>VLOOKUP(F127,#REF!,2, FALSE)</f>
        <v>#REF!</v>
      </c>
      <c r="F127" t="s">
        <v>51</v>
      </c>
      <c r="G127" s="3" t="s">
        <v>653</v>
      </c>
    </row>
    <row r="128" spans="1:10" x14ac:dyDescent="0.3">
      <c r="A128" t="s">
        <v>665</v>
      </c>
      <c r="B128">
        <f t="shared" si="13"/>
        <v>7</v>
      </c>
      <c r="C128" t="str">
        <f t="shared" si="15"/>
        <v>NODE_27_7</v>
      </c>
      <c r="E128" t="e">
        <f>VLOOKUP(F128,#REF!,2, FALSE)</f>
        <v>#REF!</v>
      </c>
      <c r="F128" t="s">
        <v>51</v>
      </c>
      <c r="G128" s="3" t="s">
        <v>654</v>
      </c>
    </row>
    <row r="129" spans="1:7" ht="33" x14ac:dyDescent="0.3">
      <c r="A129" t="s">
        <v>665</v>
      </c>
      <c r="B129">
        <f t="shared" si="13"/>
        <v>8</v>
      </c>
      <c r="C129" t="str">
        <f t="shared" si="15"/>
        <v>NODE_27_8</v>
      </c>
      <c r="E129" t="e">
        <f>VLOOKUP(F129,#REF!,2, FALSE)</f>
        <v>#REF!</v>
      </c>
      <c r="F129" t="s">
        <v>7</v>
      </c>
      <c r="G129" s="3" t="s">
        <v>720</v>
      </c>
    </row>
    <row r="130" spans="1:7" x14ac:dyDescent="0.3">
      <c r="A130" t="s">
        <v>665</v>
      </c>
      <c r="B130">
        <f t="shared" si="13"/>
        <v>9</v>
      </c>
      <c r="C130" t="str">
        <f t="shared" si="15"/>
        <v>NODE_27_9</v>
      </c>
      <c r="E130" t="e">
        <f>VLOOKUP(F130,#REF!,2, FALSE)</f>
        <v>#REF!</v>
      </c>
      <c r="F130" t="s">
        <v>7</v>
      </c>
      <c r="G130" s="3" t="s">
        <v>709</v>
      </c>
    </row>
    <row r="131" spans="1:7" x14ac:dyDescent="0.3">
      <c r="A131" t="s">
        <v>665</v>
      </c>
      <c r="B131">
        <f t="shared" si="13"/>
        <v>10</v>
      </c>
      <c r="C131" t="str">
        <f t="shared" si="15"/>
        <v>NODE_27_10</v>
      </c>
      <c r="E131" t="e">
        <f>VLOOKUP(F131,#REF!,2, FALSE)</f>
        <v>#REF!</v>
      </c>
      <c r="F131" t="s">
        <v>51</v>
      </c>
      <c r="G131" s="3" t="s">
        <v>655</v>
      </c>
    </row>
    <row r="132" spans="1:7" ht="33" x14ac:dyDescent="0.3">
      <c r="A132" t="s">
        <v>665</v>
      </c>
      <c r="B132">
        <f t="shared" si="13"/>
        <v>11</v>
      </c>
      <c r="C132" t="str">
        <f t="shared" si="15"/>
        <v>NODE_27_11</v>
      </c>
      <c r="E132" t="e">
        <f>VLOOKUP(F132,#REF!,2, FALSE)</f>
        <v>#REF!</v>
      </c>
      <c r="F132" t="s">
        <v>7</v>
      </c>
      <c r="G132" s="3" t="s">
        <v>724</v>
      </c>
    </row>
    <row r="133" spans="1:7" ht="33" x14ac:dyDescent="0.3">
      <c r="A133" t="s">
        <v>665</v>
      </c>
      <c r="B133">
        <f t="shared" si="13"/>
        <v>12</v>
      </c>
      <c r="C133" t="str">
        <f t="shared" si="15"/>
        <v>NODE_27_12</v>
      </c>
      <c r="E133" t="e">
        <f>VLOOKUP(F133,#REF!,2, FALSE)</f>
        <v>#REF!</v>
      </c>
      <c r="F133" t="s">
        <v>51</v>
      </c>
      <c r="G133" s="3" t="s">
        <v>729</v>
      </c>
    </row>
    <row r="134" spans="1:7" ht="33" x14ac:dyDescent="0.3">
      <c r="A134" t="s">
        <v>665</v>
      </c>
      <c r="B134">
        <f t="shared" si="13"/>
        <v>13</v>
      </c>
      <c r="C134" t="str">
        <f t="shared" si="15"/>
        <v>NODE_27_13</v>
      </c>
      <c r="E134" t="e">
        <f>VLOOKUP(F134,#REF!,2, FALSE)</f>
        <v>#REF!</v>
      </c>
      <c r="F134" t="s">
        <v>7</v>
      </c>
      <c r="G134" s="3" t="s">
        <v>725</v>
      </c>
    </row>
    <row r="135" spans="1:7" x14ac:dyDescent="0.3">
      <c r="A135" t="s">
        <v>665</v>
      </c>
      <c r="B135">
        <f t="shared" si="13"/>
        <v>14</v>
      </c>
      <c r="C135" t="str">
        <f t="shared" si="15"/>
        <v>NODE_27_14</v>
      </c>
      <c r="E135" t="e">
        <f>VLOOKUP(F135,#REF!,2, FALSE)</f>
        <v>#REF!</v>
      </c>
      <c r="F135" t="s">
        <v>51</v>
      </c>
      <c r="G135" s="3" t="s">
        <v>657</v>
      </c>
    </row>
    <row r="136" spans="1:7" x14ac:dyDescent="0.3">
      <c r="A136" t="s">
        <v>665</v>
      </c>
      <c r="B136">
        <f t="shared" si="13"/>
        <v>15</v>
      </c>
      <c r="C136" t="str">
        <f t="shared" si="15"/>
        <v>NODE_27_15</v>
      </c>
      <c r="E136" t="e">
        <f>VLOOKUP(F136,#REF!,2, FALSE)</f>
        <v>#REF!</v>
      </c>
      <c r="F136" t="s">
        <v>656</v>
      </c>
      <c r="G136" s="3" t="s">
        <v>770</v>
      </c>
    </row>
    <row r="137" spans="1:7" ht="33" x14ac:dyDescent="0.3">
      <c r="A137" t="s">
        <v>665</v>
      </c>
      <c r="B137">
        <f t="shared" si="13"/>
        <v>16</v>
      </c>
      <c r="C137" t="str">
        <f t="shared" si="15"/>
        <v>NODE_27_16</v>
      </c>
      <c r="E137" t="e">
        <f>VLOOKUP(F137,#REF!,2, FALSE)</f>
        <v>#REF!</v>
      </c>
      <c r="F137" t="s">
        <v>656</v>
      </c>
      <c r="G137" s="3" t="s">
        <v>706</v>
      </c>
    </row>
    <row r="138" spans="1:7" x14ac:dyDescent="0.3">
      <c r="A138" t="s">
        <v>665</v>
      </c>
      <c r="B138">
        <f t="shared" si="13"/>
        <v>17</v>
      </c>
      <c r="C138" t="str">
        <f t="shared" si="15"/>
        <v>NODE_27_17</v>
      </c>
      <c r="E138" t="e">
        <f>VLOOKUP(F138,#REF!,2, FALSE)</f>
        <v>#REF!</v>
      </c>
      <c r="F138" t="s">
        <v>51</v>
      </c>
      <c r="G138" s="3" t="s">
        <v>710</v>
      </c>
    </row>
    <row r="139" spans="1:7" ht="49.5" x14ac:dyDescent="0.3">
      <c r="A139" t="s">
        <v>665</v>
      </c>
      <c r="B139">
        <f t="shared" si="13"/>
        <v>18</v>
      </c>
      <c r="C139" t="str">
        <f t="shared" si="15"/>
        <v>NODE_27_18</v>
      </c>
      <c r="E139" t="e">
        <f>VLOOKUP(F139,#REF!,2, FALSE)</f>
        <v>#REF!</v>
      </c>
      <c r="F139" t="s">
        <v>656</v>
      </c>
      <c r="G139" s="3" t="s">
        <v>726</v>
      </c>
    </row>
    <row r="140" spans="1:7" x14ac:dyDescent="0.3">
      <c r="A140" t="s">
        <v>665</v>
      </c>
      <c r="B140">
        <f t="shared" si="13"/>
        <v>19</v>
      </c>
      <c r="C140" t="str">
        <f t="shared" si="15"/>
        <v>NODE_27_19</v>
      </c>
      <c r="E140" t="e">
        <f>VLOOKUP(F140,#REF!,2, FALSE)</f>
        <v>#REF!</v>
      </c>
      <c r="F140" t="s">
        <v>656</v>
      </c>
      <c r="G140" s="3" t="s">
        <v>658</v>
      </c>
    </row>
    <row r="141" spans="1:7" x14ac:dyDescent="0.3">
      <c r="A141" t="s">
        <v>665</v>
      </c>
      <c r="B141">
        <f t="shared" si="13"/>
        <v>20</v>
      </c>
      <c r="C141" t="str">
        <f t="shared" si="15"/>
        <v>NODE_27_20</v>
      </c>
      <c r="E141" t="e">
        <f>VLOOKUP(F141,#REF!,2, FALSE)</f>
        <v>#REF!</v>
      </c>
      <c r="F141" t="s">
        <v>51</v>
      </c>
      <c r="G141" s="3" t="s">
        <v>678</v>
      </c>
    </row>
    <row r="142" spans="1:7" x14ac:dyDescent="0.3">
      <c r="A142" t="s">
        <v>665</v>
      </c>
      <c r="B142">
        <f t="shared" si="13"/>
        <v>21</v>
      </c>
      <c r="C142" t="str">
        <f t="shared" si="15"/>
        <v>NODE_27_21</v>
      </c>
      <c r="E142" t="e">
        <f>VLOOKUP(F142,#REF!,2, FALSE)</f>
        <v>#REF!</v>
      </c>
      <c r="F142" t="s">
        <v>656</v>
      </c>
      <c r="G142" s="3" t="s">
        <v>711</v>
      </c>
    </row>
    <row r="143" spans="1:7" ht="33" x14ac:dyDescent="0.3">
      <c r="A143" t="s">
        <v>665</v>
      </c>
      <c r="B143">
        <f t="shared" si="13"/>
        <v>22</v>
      </c>
      <c r="C143" t="str">
        <f t="shared" si="15"/>
        <v>NODE_27_22</v>
      </c>
      <c r="E143" t="e">
        <f>VLOOKUP(F143,#REF!,2, FALSE)</f>
        <v>#REF!</v>
      </c>
      <c r="F143" t="s">
        <v>51</v>
      </c>
      <c r="G143" s="3" t="s">
        <v>660</v>
      </c>
    </row>
    <row r="144" spans="1:7" x14ac:dyDescent="0.3">
      <c r="A144" t="s">
        <v>665</v>
      </c>
      <c r="B144">
        <f t="shared" si="13"/>
        <v>23</v>
      </c>
      <c r="C144" t="str">
        <f t="shared" si="15"/>
        <v>NODE_27_23</v>
      </c>
      <c r="E144" t="e">
        <f>VLOOKUP(F144,#REF!,2, FALSE)</f>
        <v>#REF!</v>
      </c>
      <c r="F144" t="s">
        <v>7</v>
      </c>
      <c r="G144" s="3" t="s">
        <v>596</v>
      </c>
    </row>
    <row r="145" spans="1:7" ht="33" x14ac:dyDescent="0.3">
      <c r="A145" t="s">
        <v>665</v>
      </c>
      <c r="B145">
        <f t="shared" si="13"/>
        <v>24</v>
      </c>
      <c r="C145" t="str">
        <f t="shared" si="15"/>
        <v>NODE_27_24</v>
      </c>
      <c r="E145" t="e">
        <f>VLOOKUP(F145,#REF!,2, FALSE)</f>
        <v>#REF!</v>
      </c>
      <c r="F145" t="s">
        <v>51</v>
      </c>
      <c r="G145" s="3" t="s">
        <v>659</v>
      </c>
    </row>
    <row r="146" spans="1:7" ht="33" x14ac:dyDescent="0.3">
      <c r="A146" t="s">
        <v>665</v>
      </c>
      <c r="B146">
        <f t="shared" si="13"/>
        <v>25</v>
      </c>
      <c r="C146" t="str">
        <f t="shared" si="15"/>
        <v>NODE_27_25</v>
      </c>
      <c r="E146" t="e">
        <f>VLOOKUP(F146,#REF!,2, FALSE)</f>
        <v>#REF!</v>
      </c>
      <c r="F146" t="s">
        <v>7</v>
      </c>
      <c r="G146" s="3" t="s">
        <v>727</v>
      </c>
    </row>
    <row r="147" spans="1:7" x14ac:dyDescent="0.3">
      <c r="A147" t="s">
        <v>665</v>
      </c>
      <c r="B147">
        <f t="shared" si="13"/>
        <v>26</v>
      </c>
      <c r="C147" t="str">
        <f t="shared" si="15"/>
        <v>NODE_27_26</v>
      </c>
      <c r="E147" t="e">
        <f>VLOOKUP(F147,#REF!,2, FALSE)</f>
        <v>#REF!</v>
      </c>
      <c r="F147" t="s">
        <v>51</v>
      </c>
      <c r="G147" s="3" t="s">
        <v>716</v>
      </c>
    </row>
    <row r="148" spans="1:7" ht="33" x14ac:dyDescent="0.3">
      <c r="A148" t="s">
        <v>665</v>
      </c>
      <c r="B148">
        <f t="shared" si="13"/>
        <v>27</v>
      </c>
      <c r="C148" t="str">
        <f t="shared" si="15"/>
        <v>NODE_27_27</v>
      </c>
      <c r="E148" t="e">
        <f>VLOOKUP(F148,#REF!,2, FALSE)</f>
        <v>#REF!</v>
      </c>
      <c r="F148" t="s">
        <v>7</v>
      </c>
      <c r="G148" s="3" t="s">
        <v>663</v>
      </c>
    </row>
    <row r="149" spans="1:7" ht="33" x14ac:dyDescent="0.3">
      <c r="A149" t="s">
        <v>665</v>
      </c>
      <c r="B149">
        <f t="shared" si="13"/>
        <v>28</v>
      </c>
      <c r="C149" t="str">
        <f t="shared" si="15"/>
        <v>NODE_27_28</v>
      </c>
      <c r="E149" t="e">
        <f>VLOOKUP(F149,#REF!,2, FALSE)</f>
        <v>#REF!</v>
      </c>
      <c r="F149" t="s">
        <v>7</v>
      </c>
      <c r="G149" s="3" t="s">
        <v>664</v>
      </c>
    </row>
    <row r="150" spans="1:7" ht="33" x14ac:dyDescent="0.3">
      <c r="A150" t="s">
        <v>665</v>
      </c>
      <c r="B150">
        <f t="shared" si="13"/>
        <v>29</v>
      </c>
      <c r="C150" t="str">
        <f t="shared" si="15"/>
        <v>NODE_27_29</v>
      </c>
      <c r="E150" t="e">
        <f>VLOOKUP(F150,#REF!,2, FALSE)</f>
        <v>#REF!</v>
      </c>
      <c r="F150" t="s">
        <v>51</v>
      </c>
      <c r="G150" s="3" t="s">
        <v>730</v>
      </c>
    </row>
    <row r="151" spans="1:7" ht="33" x14ac:dyDescent="0.3">
      <c r="A151" t="s">
        <v>665</v>
      </c>
      <c r="B151">
        <f t="shared" si="13"/>
        <v>30</v>
      </c>
      <c r="C151" t="str">
        <f t="shared" si="15"/>
        <v>NODE_27_30</v>
      </c>
      <c r="E151" t="e">
        <f>VLOOKUP(F151,#REF!,2, FALSE)</f>
        <v>#REF!</v>
      </c>
      <c r="F151" t="s">
        <v>51</v>
      </c>
      <c r="G151" s="3" t="s">
        <v>731</v>
      </c>
    </row>
    <row r="152" spans="1:7" x14ac:dyDescent="0.3">
      <c r="A152" t="s">
        <v>665</v>
      </c>
      <c r="B152">
        <f t="shared" si="13"/>
        <v>31</v>
      </c>
      <c r="C152" t="str">
        <f t="shared" si="15"/>
        <v>NODE_27_31</v>
      </c>
      <c r="E152" t="e">
        <f>VLOOKUP(F152,#REF!,2, FALSE)</f>
        <v>#REF!</v>
      </c>
      <c r="F152" t="s">
        <v>656</v>
      </c>
      <c r="G152" s="3" t="s">
        <v>712</v>
      </c>
    </row>
    <row r="153" spans="1:7" x14ac:dyDescent="0.3">
      <c r="A153" t="s">
        <v>665</v>
      </c>
      <c r="B153">
        <f t="shared" si="13"/>
        <v>32</v>
      </c>
      <c r="C153" t="str">
        <f t="shared" si="15"/>
        <v>NODE_27_32</v>
      </c>
      <c r="E153" t="e">
        <f>VLOOKUP(F153,#REF!,2, FALSE)</f>
        <v>#REF!</v>
      </c>
      <c r="F153" t="s">
        <v>590</v>
      </c>
      <c r="G153" s="3" t="s">
        <v>728</v>
      </c>
    </row>
    <row r="154" spans="1:7" x14ac:dyDescent="0.3">
      <c r="A154" t="s">
        <v>665</v>
      </c>
      <c r="B154">
        <f t="shared" si="13"/>
        <v>33</v>
      </c>
      <c r="C154" t="str">
        <f t="shared" si="15"/>
        <v>NODE_27_33</v>
      </c>
      <c r="E154" t="e">
        <f>VLOOKUP(F154,#REF!,2, FALSE)</f>
        <v>#REF!</v>
      </c>
      <c r="F154" t="s">
        <v>7</v>
      </c>
      <c r="G154" s="3" t="s">
        <v>596</v>
      </c>
    </row>
    <row r="155" spans="1:7" ht="33" x14ac:dyDescent="0.3">
      <c r="A155" t="s">
        <v>665</v>
      </c>
      <c r="B155">
        <f t="shared" si="13"/>
        <v>34</v>
      </c>
      <c r="C155" t="str">
        <f t="shared" si="15"/>
        <v>NODE_27_34</v>
      </c>
      <c r="E155" t="e">
        <f>VLOOKUP(F155,#REF!,2, FALSE)</f>
        <v>#REF!</v>
      </c>
      <c r="F155" t="s">
        <v>7</v>
      </c>
      <c r="G155" s="3" t="s">
        <v>718</v>
      </c>
    </row>
    <row r="156" spans="1:7" x14ac:dyDescent="0.3">
      <c r="A156" t="s">
        <v>665</v>
      </c>
      <c r="B156">
        <f t="shared" si="13"/>
        <v>35</v>
      </c>
      <c r="C156" t="str">
        <f t="shared" si="15"/>
        <v>NODE_27_35</v>
      </c>
      <c r="E156" t="e">
        <f>VLOOKUP(F156,#REF!,2, FALSE)</f>
        <v>#REF!</v>
      </c>
      <c r="F156" t="s">
        <v>51</v>
      </c>
      <c r="G156" s="3" t="s">
        <v>666</v>
      </c>
    </row>
    <row r="157" spans="1:7" ht="33" x14ac:dyDescent="0.3">
      <c r="A157" t="s">
        <v>665</v>
      </c>
      <c r="B157">
        <f t="shared" si="13"/>
        <v>36</v>
      </c>
      <c r="C157" t="str">
        <f t="shared" si="15"/>
        <v>NODE_27_36</v>
      </c>
      <c r="E157" t="e">
        <f>VLOOKUP(F157,#REF!,2, FALSE)</f>
        <v>#REF!</v>
      </c>
      <c r="F157" t="s">
        <v>7</v>
      </c>
      <c r="G157" s="3" t="s">
        <v>713</v>
      </c>
    </row>
    <row r="158" spans="1:7" x14ac:dyDescent="0.3">
      <c r="A158" t="s">
        <v>665</v>
      </c>
      <c r="B158">
        <f t="shared" si="13"/>
        <v>37</v>
      </c>
      <c r="C158" t="str">
        <f t="shared" si="15"/>
        <v>NODE_27_37</v>
      </c>
      <c r="E158" t="e">
        <f>VLOOKUP(F158,#REF!,2, FALSE)</f>
        <v>#REF!</v>
      </c>
      <c r="F158" t="s">
        <v>590</v>
      </c>
      <c r="G158" s="3" t="s">
        <v>667</v>
      </c>
    </row>
    <row r="159" spans="1:7" x14ac:dyDescent="0.3">
      <c r="A159" t="s">
        <v>665</v>
      </c>
      <c r="B159">
        <f t="shared" si="13"/>
        <v>38</v>
      </c>
      <c r="C159" t="str">
        <f t="shared" si="15"/>
        <v>NODE_27_38</v>
      </c>
      <c r="E159" t="e">
        <f>VLOOKUP(F159,#REF!,2, FALSE)</f>
        <v>#REF!</v>
      </c>
      <c r="F159" t="s">
        <v>51</v>
      </c>
      <c r="G159" s="3" t="s">
        <v>668</v>
      </c>
    </row>
    <row r="161" spans="1:7" x14ac:dyDescent="0.3">
      <c r="A161" t="s">
        <v>675</v>
      </c>
      <c r="B161">
        <v>0</v>
      </c>
      <c r="C161" t="str">
        <f>CONCATENATE(A161, "_", B161, IF(D161&lt;&gt;"", "_"&amp;D161, ""))</f>
        <v>NODE_28_0</v>
      </c>
      <c r="E161" t="e">
        <f>VLOOKUP(F161,#REF!,2, FALSE)</f>
        <v>#REF!</v>
      </c>
      <c r="F161" t="s">
        <v>590</v>
      </c>
      <c r="G161" s="3" t="s">
        <v>771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e">
        <f>VLOOKUP(F162,#REF!,2, FALSE)</f>
        <v>#REF!</v>
      </c>
      <c r="F162" t="s">
        <v>590</v>
      </c>
      <c r="G162" s="3" t="s">
        <v>669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e">
        <f>VLOOKUP(F163,#REF!,2, FALSE)</f>
        <v>#REF!</v>
      </c>
      <c r="F163" t="s">
        <v>7</v>
      </c>
      <c r="G163" s="3" t="s">
        <v>670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e">
        <f>VLOOKUP(F164,#REF!,2, FALSE)</f>
        <v>#REF!</v>
      </c>
      <c r="F164" t="s">
        <v>406</v>
      </c>
      <c r="G164" s="3" t="s">
        <v>793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e">
        <f>VLOOKUP(F165,#REF!,2, FALSE)</f>
        <v>#REF!</v>
      </c>
      <c r="F165" t="s">
        <v>7</v>
      </c>
      <c r="G165" s="3" t="s">
        <v>596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e">
        <f>VLOOKUP(F166,#REF!,2, FALSE)</f>
        <v>#REF!</v>
      </c>
      <c r="F166" t="s">
        <v>406</v>
      </c>
      <c r="G166" s="3" t="s">
        <v>671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e">
        <f>VLOOKUP(F167,#REF!,2, FALSE)</f>
        <v>#REF!</v>
      </c>
      <c r="F167" t="s">
        <v>406</v>
      </c>
      <c r="G167" s="3" t="s">
        <v>734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e">
        <f>VLOOKUP(F168,#REF!,2, FALSE)</f>
        <v>#REF!</v>
      </c>
      <c r="F168" t="s">
        <v>407</v>
      </c>
      <c r="G168" s="3" t="s">
        <v>732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e">
        <f>VLOOKUP(F169,#REF!,2, FALSE)</f>
        <v>#REF!</v>
      </c>
      <c r="F169" t="s">
        <v>7</v>
      </c>
      <c r="G169" s="3" t="s">
        <v>676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e">
        <f>VLOOKUP(F170,#REF!,2, FALSE)</f>
        <v>#REF!</v>
      </c>
      <c r="F170" t="s">
        <v>590</v>
      </c>
      <c r="G170" s="3" t="s">
        <v>712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e">
        <f>VLOOKUP(F171,#REF!,2, FALSE)</f>
        <v>#REF!</v>
      </c>
      <c r="F171" t="s">
        <v>406</v>
      </c>
      <c r="G171" s="3" t="s">
        <v>596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735</v>
      </c>
      <c r="F173" t="s">
        <v>735</v>
      </c>
      <c r="G173" s="3" t="s">
        <v>743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735</v>
      </c>
      <c r="F174" t="s">
        <v>735</v>
      </c>
      <c r="G174" s="3" t="s">
        <v>744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735</v>
      </c>
      <c r="F175" t="s">
        <v>735</v>
      </c>
      <c r="G175" s="3" t="s">
        <v>746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e">
        <f>VLOOKUP(F176,#REF!,2, FALSE)</f>
        <v>#REF!</v>
      </c>
      <c r="F176" t="s">
        <v>7</v>
      </c>
      <c r="G176" s="3" t="s">
        <v>745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e">
        <f>VLOOKUP(F177,#REF!,2, FALSE)</f>
        <v>#REF!</v>
      </c>
      <c r="F177" t="s">
        <v>590</v>
      </c>
      <c r="G177" s="3" t="s">
        <v>739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e">
        <f>VLOOKUP(F178,#REF!,2, FALSE)</f>
        <v>#REF!</v>
      </c>
      <c r="F178" t="s">
        <v>7</v>
      </c>
      <c r="G178" s="3" t="s">
        <v>593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e">
        <f>VLOOKUP(F179,#REF!,2, FALSE)</f>
        <v>#REF!</v>
      </c>
      <c r="F179" t="s">
        <v>590</v>
      </c>
      <c r="G179" s="3" t="s">
        <v>740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741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e">
        <f>VLOOKUP(F181,#REF!,2, FALSE)</f>
        <v>#REF!</v>
      </c>
      <c r="F181" t="s">
        <v>406</v>
      </c>
      <c r="G181" s="3" t="s">
        <v>794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e">
        <f>VLOOKUP(F182,#REF!,2, FALSE)</f>
        <v>#REF!</v>
      </c>
      <c r="F182" t="s">
        <v>7</v>
      </c>
      <c r="G182" s="3" t="s">
        <v>736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e">
        <f>VLOOKUP(F183,#REF!,2, FALSE)</f>
        <v>#REF!</v>
      </c>
      <c r="F183" t="s">
        <v>406</v>
      </c>
      <c r="G183" s="3" t="s">
        <v>752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e">
        <f>VLOOKUP(F184,#REF!,2, FALSE)</f>
        <v>#REF!</v>
      </c>
      <c r="F184" t="s">
        <v>590</v>
      </c>
      <c r="G184" s="3" t="s">
        <v>737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e">
        <f>VLOOKUP(F185,#REF!,2, FALSE)</f>
        <v>#REF!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673</v>
      </c>
      <c r="F186" t="s">
        <v>673</v>
      </c>
      <c r="G186" s="3" t="s">
        <v>749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673</v>
      </c>
      <c r="F187" t="s">
        <v>673</v>
      </c>
      <c r="G187" s="3" t="s">
        <v>738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e">
        <f>VLOOKUP(F188,#REF!,2, FALSE)</f>
        <v>#REF!</v>
      </c>
      <c r="F188" t="s">
        <v>7</v>
      </c>
      <c r="G188" s="3" t="s">
        <v>593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e">
        <f>VLOOKUP(F189,#REF!,2, FALSE)</f>
        <v>#REF!</v>
      </c>
      <c r="F189" t="s">
        <v>406</v>
      </c>
      <c r="G189" s="3" t="s">
        <v>596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e">
        <f>VLOOKUP(F190,#REF!,2, FALSE)</f>
        <v>#REF!</v>
      </c>
      <c r="F190" t="s">
        <v>590</v>
      </c>
      <c r="G190" s="3" t="s">
        <v>674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673</v>
      </c>
      <c r="F191" t="s">
        <v>673</v>
      </c>
      <c r="G191" s="3" t="s">
        <v>753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e">
        <f>VLOOKUP(F192,#REF!,2, FALSE)</f>
        <v>#REF!</v>
      </c>
      <c r="F192" t="s">
        <v>7</v>
      </c>
      <c r="G192" s="3" t="s">
        <v>747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e">
        <f>VLOOKUP(F193,#REF!,2, FALSE)</f>
        <v>#REF!</v>
      </c>
      <c r="F193" t="s">
        <v>7</v>
      </c>
      <c r="G193" s="3" t="s">
        <v>750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673</v>
      </c>
      <c r="F194" t="s">
        <v>673</v>
      </c>
      <c r="G194" s="3" t="s">
        <v>596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673</v>
      </c>
      <c r="F195" t="s">
        <v>673</v>
      </c>
      <c r="G195" s="3" t="s">
        <v>754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673</v>
      </c>
      <c r="F196" t="s">
        <v>673</v>
      </c>
      <c r="G196" s="3" t="s">
        <v>748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673</v>
      </c>
      <c r="F197" t="s">
        <v>673</v>
      </c>
      <c r="G197" s="3" t="s">
        <v>777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e">
        <f>VLOOKUP(F198,#REF!,2, FALSE)</f>
        <v>#REF!</v>
      </c>
      <c r="F198" t="s">
        <v>7</v>
      </c>
      <c r="G198" s="3" t="s">
        <v>596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e">
        <f>VLOOKUP(F199,#REF!,2, FALSE)</f>
        <v>#REF!</v>
      </c>
      <c r="F199" t="s">
        <v>406</v>
      </c>
      <c r="G199" s="3" t="s">
        <v>751</v>
      </c>
    </row>
    <row r="201" spans="1:7" ht="33" x14ac:dyDescent="0.3">
      <c r="A201" t="s">
        <v>677</v>
      </c>
      <c r="B201">
        <v>0</v>
      </c>
      <c r="C201" t="str">
        <f t="shared" ref="C201:C202" si="22">CONCATENATE(A201, "_", B201, IF(D201&lt;&gt;"", "_"&amp;D201, ""))</f>
        <v>NODE_29_0</v>
      </c>
      <c r="E201" t="e">
        <f>VLOOKUP(F201,#REF!,2, FALSE)</f>
        <v>#REF!</v>
      </c>
      <c r="F201" t="s">
        <v>406</v>
      </c>
      <c r="G201" s="3" t="s">
        <v>755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e">
        <f>VLOOKUP(F202,#REF!,2, FALSE)</f>
        <v>#REF!</v>
      </c>
      <c r="F202" t="s">
        <v>406</v>
      </c>
      <c r="G202" s="3" t="s">
        <v>795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e">
        <f>VLOOKUP(F203,#REF!,2, FALSE)</f>
        <v>#REF!</v>
      </c>
      <c r="F203" t="s">
        <v>7</v>
      </c>
      <c r="G203" s="3" t="s">
        <v>596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e">
        <f>VLOOKUP(F204,#REF!,2, FALSE)</f>
        <v>#REF!</v>
      </c>
      <c r="F204" t="s">
        <v>406</v>
      </c>
      <c r="G204" s="3" t="s">
        <v>783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e">
        <f>VLOOKUP(F205,#REF!,2, FALSE)</f>
        <v>#REF!</v>
      </c>
      <c r="F205" t="s">
        <v>7</v>
      </c>
      <c r="G205" s="3" t="s">
        <v>784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e">
        <f>VLOOKUP(F206,#REF!,2, FALSE)</f>
        <v>#REF!</v>
      </c>
      <c r="F206" t="s">
        <v>406</v>
      </c>
      <c r="G206" s="3" t="s">
        <v>772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e">
        <f>VLOOKUP(F207,#REF!,2, FALSE)</f>
        <v>#REF!</v>
      </c>
      <c r="F207" t="s">
        <v>407</v>
      </c>
      <c r="G207" s="3" t="s">
        <v>756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e">
        <f>VLOOKUP(F208,#REF!,2, FALSE)</f>
        <v>#REF!</v>
      </c>
      <c r="F208" t="s">
        <v>590</v>
      </c>
      <c r="G208" s="3" t="s">
        <v>607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e">
        <f>VLOOKUP(F209,#REF!,2, FALSE)</f>
        <v>#REF!</v>
      </c>
      <c r="F209" t="s">
        <v>11</v>
      </c>
      <c r="G209" s="3" t="s">
        <v>785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e">
        <f>VLOOKUP(F210,#REF!,2, FALSE)</f>
        <v>#REF!</v>
      </c>
      <c r="F210" t="s">
        <v>7</v>
      </c>
      <c r="G210" s="3" t="s">
        <v>786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e">
        <f>VLOOKUP(F211,#REF!,2, FALSE)</f>
        <v>#REF!</v>
      </c>
      <c r="F211" t="s">
        <v>11</v>
      </c>
      <c r="G211" s="3" t="s">
        <v>679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e">
        <f>VLOOKUP(F212,#REF!,2, FALSE)</f>
        <v>#REF!</v>
      </c>
      <c r="F212" t="s">
        <v>7</v>
      </c>
      <c r="G212" s="3" t="s">
        <v>825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e">
        <f>VLOOKUP(F213,#REF!,2, FALSE)</f>
        <v>#REF!</v>
      </c>
      <c r="F213" t="s">
        <v>11</v>
      </c>
      <c r="G213" s="3" t="s">
        <v>782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e">
        <f>VLOOKUP(F214,#REF!,2, FALSE)</f>
        <v>#REF!</v>
      </c>
      <c r="F214" t="s">
        <v>7</v>
      </c>
      <c r="G214" s="3" t="s">
        <v>757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e">
        <f>VLOOKUP(F215,#REF!,2, FALSE)</f>
        <v>#REF!</v>
      </c>
      <c r="F215" t="s">
        <v>7</v>
      </c>
      <c r="G215" s="3" t="s">
        <v>758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e">
        <f>VLOOKUP(F216,#REF!,2, FALSE)</f>
        <v>#REF!</v>
      </c>
      <c r="F216" t="s">
        <v>11</v>
      </c>
      <c r="G216" s="3" t="s">
        <v>759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e">
        <f>VLOOKUP(F217,#REF!,2, FALSE)</f>
        <v>#REF!</v>
      </c>
      <c r="F217" t="s">
        <v>7</v>
      </c>
      <c r="G217" s="3" t="s">
        <v>787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e">
        <f>VLOOKUP(F218,#REF!,2, FALSE)</f>
        <v>#REF!</v>
      </c>
      <c r="F218" t="s">
        <v>11</v>
      </c>
      <c r="G218" s="3" t="s">
        <v>773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e">
        <f>VLOOKUP(F219,#REF!,2, FALSE)</f>
        <v>#REF!</v>
      </c>
      <c r="F219" t="s">
        <v>7</v>
      </c>
      <c r="G219" s="3" t="s">
        <v>788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e">
        <f>VLOOKUP(F220,#REF!,2, FALSE)</f>
        <v>#REF!</v>
      </c>
      <c r="F220" t="s">
        <v>11</v>
      </c>
      <c r="G220" s="3" t="s">
        <v>596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e">
        <f>VLOOKUP(F221,#REF!,2, FALSE)</f>
        <v>#REF!</v>
      </c>
      <c r="F221" t="s">
        <v>11</v>
      </c>
      <c r="G221" s="3" t="s">
        <v>760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e">
        <f>VLOOKUP(F222,#REF!,2, FALSE)</f>
        <v>#REF!</v>
      </c>
      <c r="F222" t="s">
        <v>7</v>
      </c>
      <c r="G222" s="3" t="s">
        <v>789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e">
        <f>VLOOKUP(F223,#REF!,2, FALSE)</f>
        <v>#REF!</v>
      </c>
      <c r="F223" t="s">
        <v>590</v>
      </c>
      <c r="G223" s="3" t="s">
        <v>672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e">
        <f>VLOOKUP(F224,#REF!,2, FALSE)</f>
        <v>#REF!</v>
      </c>
      <c r="F224" t="s">
        <v>11</v>
      </c>
      <c r="G224" s="3" t="s">
        <v>790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e">
        <f>VLOOKUP(F225,#REF!,2, FALSE)</f>
        <v>#REF!</v>
      </c>
      <c r="F225" t="s">
        <v>7</v>
      </c>
      <c r="G225" s="3" t="s">
        <v>791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e">
        <f>VLOOKUP(F226,#REF!,2, FALSE)</f>
        <v>#REF!</v>
      </c>
      <c r="F226" t="s">
        <v>590</v>
      </c>
      <c r="G226" s="3" t="s">
        <v>826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e">
        <f>VLOOKUP(F227,#REF!,2, FALSE)</f>
        <v>#REF!</v>
      </c>
      <c r="F227" t="s">
        <v>7</v>
      </c>
      <c r="G227" s="3" t="s">
        <v>774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e">
        <f>VLOOKUP(F228,#REF!,2, FALSE)</f>
        <v>#REF!</v>
      </c>
      <c r="F228" t="s">
        <v>590</v>
      </c>
      <c r="G228" s="3" t="s">
        <v>761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e">
        <f>VLOOKUP(F229,#REF!,2, FALSE)</f>
        <v>#REF!</v>
      </c>
      <c r="F229" t="s">
        <v>7</v>
      </c>
      <c r="G229" s="3" t="s">
        <v>762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e">
        <f>VLOOKUP(F230,#REF!,2, FALSE)</f>
        <v>#REF!</v>
      </c>
      <c r="F230" t="s">
        <v>590</v>
      </c>
      <c r="G230" s="3" t="s">
        <v>763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e">
        <f>VLOOKUP(F231,#REF!,2, FALSE)</f>
        <v>#REF!</v>
      </c>
      <c r="F231" t="s">
        <v>590</v>
      </c>
      <c r="G231" s="3" t="s">
        <v>764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e">
        <f>VLOOKUP(F232,#REF!,2, FALSE)</f>
        <v>#REF!</v>
      </c>
      <c r="F232" t="s">
        <v>7</v>
      </c>
      <c r="G232" s="3" t="s">
        <v>765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e">
        <f>VLOOKUP(F234,#REF!,2, FALSE)</f>
        <v>#REF!</v>
      </c>
      <c r="F234" t="s">
        <v>7</v>
      </c>
      <c r="G234" s="3" t="s">
        <v>596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e">
        <f>VLOOKUP(F235,#REF!,2, FALSE)</f>
        <v>#REF!</v>
      </c>
      <c r="F235" t="s">
        <v>7</v>
      </c>
      <c r="G235" s="3" t="s">
        <v>827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e">
        <f>VLOOKUP(F236,#REF!,2, FALSE)</f>
        <v>#REF!</v>
      </c>
      <c r="F236" t="s">
        <v>7</v>
      </c>
      <c r="G236" s="3" t="s">
        <v>766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e">
        <f>VLOOKUP(F237,#REF!,2, FALSE)</f>
        <v>#REF!</v>
      </c>
      <c r="F237" t="s">
        <v>406</v>
      </c>
      <c r="G237" s="3" t="s">
        <v>792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e">
        <f>VLOOKUP(F238,#REF!,2, FALSE)</f>
        <v>#REF!</v>
      </c>
      <c r="F238" t="s">
        <v>7</v>
      </c>
      <c r="G238" s="3" t="s">
        <v>818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e">
        <f>VLOOKUP(F239,#REF!,2, FALSE)</f>
        <v>#REF!</v>
      </c>
      <c r="F239" t="s">
        <v>406</v>
      </c>
      <c r="G239" s="3" t="s">
        <v>810</v>
      </c>
    </row>
    <row r="241" spans="1:7" x14ac:dyDescent="0.3">
      <c r="A241" t="s">
        <v>691</v>
      </c>
      <c r="B241">
        <v>0</v>
      </c>
      <c r="C241" t="str">
        <f>CONCATENATE(A241, "_", B241, IF(D241&lt;&gt;"", "_"&amp;D241, ""))</f>
        <v>NODE_31_0</v>
      </c>
      <c r="E241" t="e">
        <f>VLOOKUP(F241,#REF!,2, FALSE)</f>
        <v>#REF!</v>
      </c>
      <c r="F241" t="s">
        <v>403</v>
      </c>
      <c r="G241" s="3" t="s">
        <v>803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e">
        <f>VLOOKUP(F242,#REF!,2, FALSE)</f>
        <v>#REF!</v>
      </c>
      <c r="F242" t="s">
        <v>403</v>
      </c>
      <c r="G242" s="3" t="s">
        <v>804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e">
        <f>VLOOKUP(F243,#REF!,2, FALSE)</f>
        <v>#REF!</v>
      </c>
      <c r="F243" t="s">
        <v>9</v>
      </c>
      <c r="G243" s="3" t="s">
        <v>805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e">
        <f>VLOOKUP(F244,#REF!,2, FALSE)</f>
        <v>#REF!</v>
      </c>
      <c r="F244" t="s">
        <v>51</v>
      </c>
      <c r="G244" s="3" t="s">
        <v>797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e">
        <f>VLOOKUP(F245,#REF!,2, FALSE)</f>
        <v>#REF!</v>
      </c>
      <c r="F245" t="s">
        <v>9</v>
      </c>
      <c r="G245" s="3" t="s">
        <v>798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e">
        <f>VLOOKUP(F246,#REF!,2, FALSE)</f>
        <v>#REF!</v>
      </c>
      <c r="F246" t="s">
        <v>51</v>
      </c>
      <c r="G246" s="3" t="s">
        <v>775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e">
        <f>VLOOKUP(F247,#REF!,2, FALSE)</f>
        <v>#REF!</v>
      </c>
      <c r="F247" t="s">
        <v>9</v>
      </c>
      <c r="G247" s="3" t="s">
        <v>836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e">
        <f>VLOOKUP(F248,#REF!,2, FALSE)</f>
        <v>#REF!</v>
      </c>
      <c r="F248" t="s">
        <v>51</v>
      </c>
      <c r="G248" s="3" t="s">
        <v>673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e">
        <f>VLOOKUP(F249,#REF!,2, FALSE)</f>
        <v>#REF!</v>
      </c>
      <c r="F249" t="s">
        <v>9</v>
      </c>
      <c r="G249" s="39" t="s">
        <v>839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e">
        <f>VLOOKUP(F250,#REF!,2, FALSE)</f>
        <v>#REF!</v>
      </c>
      <c r="F250" t="s">
        <v>51</v>
      </c>
      <c r="G250" s="3" t="s">
        <v>838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e">
        <f>VLOOKUP(F251,#REF!,2, FALSE)</f>
        <v>#REF!</v>
      </c>
      <c r="F251" t="s">
        <v>9</v>
      </c>
      <c r="G251" s="3" t="s">
        <v>835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e">
        <f>VLOOKUP(F252,#REF!,2, FALSE)</f>
        <v>#REF!</v>
      </c>
      <c r="F252" t="s">
        <v>51</v>
      </c>
      <c r="G252" s="3" t="s">
        <v>834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e">
        <f>VLOOKUP(F253,#REF!,2, FALSE)</f>
        <v>#REF!</v>
      </c>
      <c r="F253" t="s">
        <v>9</v>
      </c>
      <c r="G253" s="3" t="s">
        <v>785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e">
        <f>VLOOKUP(F254,#REF!,2, FALSE)</f>
        <v>#REF!</v>
      </c>
      <c r="F254" t="s">
        <v>51</v>
      </c>
      <c r="G254" s="3" t="s">
        <v>796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e">
        <f>VLOOKUP(F255,#REF!,2, FALSE)</f>
        <v>#REF!</v>
      </c>
      <c r="F255" t="s">
        <v>7</v>
      </c>
      <c r="G255" s="3" t="s">
        <v>808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e">
        <f>VLOOKUP(F256,#REF!,2, FALSE)</f>
        <v>#REF!</v>
      </c>
      <c r="F256" t="s">
        <v>51</v>
      </c>
      <c r="G256" s="3" t="s">
        <v>673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e">
        <f>VLOOKUP(F257,#REF!,2, FALSE)</f>
        <v>#REF!</v>
      </c>
      <c r="F257" t="s">
        <v>590</v>
      </c>
      <c r="G257" s="3" t="s">
        <v>809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e">
        <f>VLOOKUP(F258,#REF!,2, FALSE)</f>
        <v>#REF!</v>
      </c>
      <c r="F258" t="s">
        <v>51</v>
      </c>
      <c r="G258" s="3" t="s">
        <v>806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e">
        <f>VLOOKUP(F259,#REF!,2, FALSE)</f>
        <v>#REF!</v>
      </c>
      <c r="F259" t="s">
        <v>9</v>
      </c>
      <c r="G259" s="3" t="s">
        <v>799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e">
        <f>VLOOKUP(F260,#REF!,2, FALSE)</f>
        <v>#REF!</v>
      </c>
      <c r="F260" t="s">
        <v>7</v>
      </c>
      <c r="G260" s="3" t="s">
        <v>837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e">
        <f>VLOOKUP(F261,#REF!,2, FALSE)</f>
        <v>#REF!</v>
      </c>
      <c r="F261" t="s">
        <v>9</v>
      </c>
      <c r="G261" s="3" t="s">
        <v>800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e">
        <f>VLOOKUP(F262,#REF!,2, FALSE)</f>
        <v>#REF!</v>
      </c>
      <c r="F262" t="s">
        <v>9</v>
      </c>
      <c r="G262" s="3" t="s">
        <v>801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e">
        <f>VLOOKUP(F263,#REF!,2, FALSE)</f>
        <v>#REF!</v>
      </c>
      <c r="F263" t="s">
        <v>7</v>
      </c>
      <c r="G263" s="3" t="s">
        <v>680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e">
        <f>VLOOKUP(F264,#REF!,2, FALSE)</f>
        <v>#REF!</v>
      </c>
      <c r="F264" t="s">
        <v>9</v>
      </c>
      <c r="G264" s="3" t="s">
        <v>807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e">
        <f>VLOOKUP(F265,#REF!,2, FALSE)</f>
        <v>#REF!</v>
      </c>
      <c r="F265" t="s">
        <v>7</v>
      </c>
      <c r="G265" s="3" t="s">
        <v>877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e">
        <f>VLOOKUP(F267,#REF!,2, FALSE)</f>
        <v>#REF!</v>
      </c>
      <c r="F267" t="s">
        <v>9</v>
      </c>
      <c r="G267" s="3" t="s">
        <v>673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e">
        <f>VLOOKUP(F268,#REF!,2, FALSE)</f>
        <v>#REF!</v>
      </c>
      <c r="F268" t="s">
        <v>9</v>
      </c>
      <c r="G268" s="3" t="s">
        <v>681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e">
        <f>VLOOKUP(F269,#REF!,2, FALSE)</f>
        <v>#REF!</v>
      </c>
      <c r="F269" t="s">
        <v>7</v>
      </c>
      <c r="G269" s="3" t="s">
        <v>779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e">
        <f>VLOOKUP(F270,#REF!,2, FALSE)</f>
        <v>#REF!</v>
      </c>
      <c r="F270" t="s">
        <v>7</v>
      </c>
      <c r="G270" s="3" t="s">
        <v>842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e">
        <f>VLOOKUP(F271,#REF!,2, FALSE)</f>
        <v>#REF!</v>
      </c>
      <c r="F271" t="s">
        <v>9</v>
      </c>
      <c r="G271" s="3" t="s">
        <v>776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e">
        <f>VLOOKUP(F272,#REF!,2, FALSE)</f>
        <v>#REF!</v>
      </c>
      <c r="F272" t="s">
        <v>7</v>
      </c>
      <c r="G272" s="3" t="s">
        <v>780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e">
        <f>VLOOKUP(F273,#REF!,2, FALSE)</f>
        <v>#REF!</v>
      </c>
      <c r="F273" t="s">
        <v>9</v>
      </c>
      <c r="G273" s="3" t="s">
        <v>682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e">
        <f>VLOOKUP(F274,#REF!,2, FALSE)</f>
        <v>#REF!</v>
      </c>
      <c r="F274" t="s">
        <v>7</v>
      </c>
      <c r="G274" s="3" t="s">
        <v>841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e">
        <f>VLOOKUP(F275,#REF!,2, FALSE)</f>
        <v>#REF!</v>
      </c>
      <c r="F275" t="s">
        <v>9</v>
      </c>
      <c r="G275" s="3" t="s">
        <v>683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e">
        <f>VLOOKUP(F276,#REF!,2, FALSE)</f>
        <v>#REF!</v>
      </c>
      <c r="F276" t="s">
        <v>7</v>
      </c>
      <c r="G276" s="3" t="s">
        <v>778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e">
        <f>VLOOKUP(F277,#REF!,2, FALSE)</f>
        <v>#REF!</v>
      </c>
      <c r="F277" t="s">
        <v>7</v>
      </c>
      <c r="G277" s="3" t="s">
        <v>781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e">
        <f>VLOOKUP(F278,#REF!,2, FALSE)</f>
        <v>#REF!</v>
      </c>
      <c r="F278" t="s">
        <v>9</v>
      </c>
      <c r="G278" s="3" t="s">
        <v>684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e">
        <f>VLOOKUP(F279,#REF!,2, FALSE)</f>
        <v>#REF!</v>
      </c>
      <c r="F279" t="s">
        <v>7</v>
      </c>
      <c r="G279" s="3" t="s">
        <v>708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e">
        <f>VLOOKUP(F280,#REF!,2, FALSE)</f>
        <v>#REF!</v>
      </c>
      <c r="F280" t="s">
        <v>9</v>
      </c>
      <c r="G280" s="3" t="s">
        <v>833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e">
        <f>VLOOKUP(F281,#REF!,2, FALSE)</f>
        <v>#REF!</v>
      </c>
      <c r="F281" t="s">
        <v>7</v>
      </c>
      <c r="G281" s="3" t="s">
        <v>811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e">
        <f>VLOOKUP(F282,#REF!,2, FALSE)</f>
        <v>#REF!</v>
      </c>
      <c r="F282" t="s">
        <v>689</v>
      </c>
      <c r="G282" s="3" t="s">
        <v>831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e">
        <f>VLOOKUP(F283,#REF!,2, FALSE)</f>
        <v>#REF!</v>
      </c>
      <c r="F283" t="s">
        <v>9</v>
      </c>
      <c r="G283" s="3" t="s">
        <v>593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e">
        <f>VLOOKUP(F284,#REF!,2, FALSE)</f>
        <v>#REF!</v>
      </c>
      <c r="F284" t="s">
        <v>689</v>
      </c>
      <c r="G284" s="3" t="s">
        <v>816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e">
        <f>VLOOKUP(F285,#REF!,2, FALSE)</f>
        <v>#REF!</v>
      </c>
      <c r="F285" t="s">
        <v>690</v>
      </c>
      <c r="G285" s="3" t="s">
        <v>832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e">
        <f>VLOOKUP(F286,#REF!,2, FALSE)</f>
        <v>#REF!</v>
      </c>
      <c r="F286" t="s">
        <v>690</v>
      </c>
      <c r="G286" s="3" t="s">
        <v>817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e">
        <f>VLOOKUP(F287,#REF!,2, FALSE)</f>
        <v>#REF!</v>
      </c>
      <c r="F287" t="s">
        <v>9</v>
      </c>
      <c r="G287" s="3" t="s">
        <v>812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e">
        <f>VLOOKUP(F288,#REF!,2, FALSE)</f>
        <v>#REF!</v>
      </c>
      <c r="F288" t="s">
        <v>7</v>
      </c>
      <c r="G288" s="3" t="s">
        <v>813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e">
        <f>VLOOKUP(F289,#REF!,2, FALSE)</f>
        <v>#REF!</v>
      </c>
      <c r="F289" t="s">
        <v>7</v>
      </c>
      <c r="G289" s="3" t="s">
        <v>814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e">
        <f>VLOOKUP(F290,#REF!,2, FALSE)</f>
        <v>#REF!</v>
      </c>
      <c r="F290" t="s">
        <v>7</v>
      </c>
      <c r="G290" s="3" t="s">
        <v>815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e">
        <f>VLOOKUP(F291,#REF!,2, FALSE)</f>
        <v>#REF!</v>
      </c>
      <c r="F291" t="s">
        <v>11</v>
      </c>
      <c r="G291" s="3" t="s">
        <v>685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e">
        <f>VLOOKUP(F292,#REF!,2, FALSE)</f>
        <v>#REF!</v>
      </c>
      <c r="F292" t="s">
        <v>11</v>
      </c>
      <c r="G292" s="3" t="s">
        <v>828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e">
        <f>VLOOKUP(F293,#REF!,2, FALSE)</f>
        <v>#REF!</v>
      </c>
      <c r="F293" t="s">
        <v>11</v>
      </c>
      <c r="G293" s="3" t="s">
        <v>879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e">
        <f>VLOOKUP(F294,#REF!,2, FALSE)</f>
        <v>#REF!</v>
      </c>
      <c r="F294" t="s">
        <v>5</v>
      </c>
      <c r="G294" s="3" t="s">
        <v>686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e">
        <f>VLOOKUP(F295,#REF!,2, FALSE)</f>
        <v>#REF!</v>
      </c>
      <c r="F295" t="s">
        <v>5</v>
      </c>
      <c r="G295" s="3" t="s">
        <v>802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e">
        <f>VLOOKUP(F296,#REF!,2, FALSE)</f>
        <v>#REF!</v>
      </c>
      <c r="F296" t="s">
        <v>5</v>
      </c>
      <c r="G296" s="3" t="s">
        <v>829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e">
        <f>VLOOKUP(F297,#REF!,2, FALSE)</f>
        <v>#REF!</v>
      </c>
      <c r="F297" t="s">
        <v>5</v>
      </c>
      <c r="G297" s="3" t="s">
        <v>830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e">
        <f>VLOOKUP(F298,#REF!,2, FALSE)</f>
        <v>#REF!</v>
      </c>
      <c r="F298" t="s">
        <v>5</v>
      </c>
      <c r="G298" s="3" t="s">
        <v>687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e">
        <f>VLOOKUP(F299,#REF!,2, FALSE)</f>
        <v>#REF!</v>
      </c>
      <c r="F299" t="s">
        <v>5</v>
      </c>
      <c r="G299" s="3" t="s">
        <v>688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e">
        <f>VLOOKUP(F300,#REF!,2, FALSE)</f>
        <v>#REF!</v>
      </c>
      <c r="F300" t="s">
        <v>5</v>
      </c>
      <c r="G300" s="3" t="s">
        <v>840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537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585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535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693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694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695</v>
      </c>
      <c r="F36" s="21"/>
    </row>
    <row r="37" spans="1:6" x14ac:dyDescent="0.3">
      <c r="A37" s="21" t="s">
        <v>364</v>
      </c>
      <c r="B37" s="19" t="s">
        <v>538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539</v>
      </c>
      <c r="C38" s="19"/>
      <c r="D38" s="20" t="str">
        <f t="shared" si="2"/>
        <v>NODE_30B_TITLE</v>
      </c>
      <c r="E38" s="33" t="s">
        <v>529</v>
      </c>
      <c r="F38" s="21"/>
    </row>
    <row r="39" spans="1:6" x14ac:dyDescent="0.3">
      <c r="A39" s="21" t="s">
        <v>364</v>
      </c>
      <c r="B39" s="19" t="s">
        <v>540</v>
      </c>
      <c r="C39" s="19"/>
      <c r="D39" s="20" t="str">
        <f t="shared" si="2"/>
        <v>NODE_30C_TITLE</v>
      </c>
      <c r="E39" s="33" t="s">
        <v>532</v>
      </c>
      <c r="F39" s="21"/>
    </row>
    <row r="40" spans="1:6" x14ac:dyDescent="0.3">
      <c r="A40" s="21" t="s">
        <v>364</v>
      </c>
      <c r="B40" s="19" t="s">
        <v>692</v>
      </c>
      <c r="C40" s="19"/>
      <c r="D40" s="20" t="str">
        <f t="shared" si="2"/>
        <v>NODE_31_TITLE</v>
      </c>
      <c r="E40" s="28" t="s">
        <v>696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534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536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697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698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742</v>
      </c>
      <c r="F74" s="21"/>
    </row>
    <row r="75" spans="1:7" x14ac:dyDescent="0.3">
      <c r="A75" s="27" t="s">
        <v>369</v>
      </c>
      <c r="B75" s="19" t="s">
        <v>538</v>
      </c>
      <c r="C75" s="19"/>
      <c r="D75" s="20" t="str">
        <f t="shared" ref="D75:D76" si="5">UPPER(B75)&amp;"_DESC"</f>
        <v>NODE_30A_DESC</v>
      </c>
      <c r="E75" s="33" t="s">
        <v>530</v>
      </c>
      <c r="F75" s="33"/>
    </row>
    <row r="76" spans="1:7" x14ac:dyDescent="0.3">
      <c r="A76" s="27" t="s">
        <v>369</v>
      </c>
      <c r="B76" s="19" t="s">
        <v>539</v>
      </c>
      <c r="C76" s="22"/>
      <c r="D76" s="20" t="str">
        <f t="shared" si="5"/>
        <v>NODE_30B_DESC</v>
      </c>
      <c r="E76" s="33" t="s">
        <v>531</v>
      </c>
      <c r="F76" s="24"/>
    </row>
    <row r="77" spans="1:7" x14ac:dyDescent="0.3">
      <c r="A77" s="27" t="s">
        <v>369</v>
      </c>
      <c r="B77" s="19" t="s">
        <v>540</v>
      </c>
      <c r="C77" s="19"/>
      <c r="D77" s="20" t="str">
        <f>UPPER(B77)&amp;"_DESC"</f>
        <v>NODE_30C_DESC</v>
      </c>
      <c r="E77" s="33" t="s">
        <v>533</v>
      </c>
      <c r="F77" s="21"/>
    </row>
    <row r="78" spans="1:7" x14ac:dyDescent="0.3">
      <c r="A78" s="27" t="s">
        <v>369</v>
      </c>
      <c r="B78" s="19" t="s">
        <v>692</v>
      </c>
      <c r="C78" s="19"/>
      <c r="D78" s="20" t="str">
        <f>UPPER(B78)&amp;"_DESC"</f>
        <v>NODE_31_DESC</v>
      </c>
      <c r="E78" s="33" t="s">
        <v>699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608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609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843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844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850</v>
      </c>
      <c r="C3" s="21" t="s">
        <v>849</v>
      </c>
      <c r="D3" s="41" t="str">
        <f>B3&amp;"_"&amp;TEXT(C3,"0000")&amp;"_"&amp;A3</f>
        <v>GUIDE_MOVE_TITLE</v>
      </c>
      <c r="E3" s="49" t="s">
        <v>845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871</v>
      </c>
      <c r="D4" s="41" t="str">
        <f t="shared" ref="D4:D9" si="0">B4&amp;"_"&amp;TEXT(C4,"0000")&amp;"_"&amp;A4</f>
        <v>GUIDE_NORMAL_ATTACK_TITLE</v>
      </c>
      <c r="E4" s="49" t="s">
        <v>846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872</v>
      </c>
      <c r="D5" s="41" t="str">
        <f t="shared" si="0"/>
        <v>GUIDE_MAIN_SKILL_USE_TITLE</v>
      </c>
      <c r="E5" s="49" t="s">
        <v>847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873</v>
      </c>
      <c r="D6" s="41" t="str">
        <f t="shared" si="0"/>
        <v>GUIDE_DASH_USE_TITLE</v>
      </c>
      <c r="E6" s="49" t="s">
        <v>848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874</v>
      </c>
      <c r="D7" s="41" t="str">
        <f t="shared" si="0"/>
        <v>GUIDE_STORYMODE_PLAY_TITLE</v>
      </c>
      <c r="E7" s="57" t="s">
        <v>876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875</v>
      </c>
      <c r="D8" s="41" t="str">
        <f t="shared" si="0"/>
        <v>GUIDE_CHARACTER_DEPLOY_TITLE</v>
      </c>
      <c r="E8" s="56" t="s">
        <v>851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860</v>
      </c>
      <c r="D9" s="41" t="str">
        <f t="shared" si="0"/>
        <v>GUIDE_DAILY_DUNGEON_PLAY_TITLE</v>
      </c>
      <c r="E9" s="49" t="s">
        <v>878</v>
      </c>
      <c r="F9" s="43"/>
    </row>
    <row r="10" spans="1:7" x14ac:dyDescent="0.3">
      <c r="A10" s="21" t="str">
        <f t="shared" si="1"/>
        <v>TITLE</v>
      </c>
      <c r="B10" s="49" t="s">
        <v>852</v>
      </c>
      <c r="C10" s="27" t="s">
        <v>853</v>
      </c>
      <c r="D10" s="41" t="str">
        <f t="shared" ref="D10:D18" si="2">B10&amp;"_"&amp;TEXT(C10,"0000")&amp;"_"&amp;A10</f>
        <v>REPEAT_ENEMY_KILL_TITLE</v>
      </c>
      <c r="E10" s="49" t="s">
        <v>862</v>
      </c>
      <c r="F10" s="43"/>
    </row>
    <row r="11" spans="1:7" x14ac:dyDescent="0.3">
      <c r="A11" s="21" t="str">
        <f t="shared" si="1"/>
        <v>TITLE</v>
      </c>
      <c r="B11" s="49" t="s">
        <v>852</v>
      </c>
      <c r="C11" s="27" t="s">
        <v>854</v>
      </c>
      <c r="D11" s="41" t="str">
        <f t="shared" si="2"/>
        <v>REPEAT_TOURNAMENT_PLAY_TITLE</v>
      </c>
      <c r="E11" s="49" t="s">
        <v>863</v>
      </c>
      <c r="F11" s="43"/>
    </row>
    <row r="12" spans="1:7" x14ac:dyDescent="0.3">
      <c r="A12" s="21" t="str">
        <f t="shared" si="1"/>
        <v>TITLE</v>
      </c>
      <c r="B12" s="49" t="s">
        <v>852</v>
      </c>
      <c r="C12" s="27" t="s">
        <v>855</v>
      </c>
      <c r="D12" s="41" t="str">
        <f t="shared" si="2"/>
        <v>REPEAT_RAID_PLAY_TITLE</v>
      </c>
      <c r="E12" s="49" t="s">
        <v>864</v>
      </c>
      <c r="F12" s="43"/>
    </row>
    <row r="13" spans="1:7" x14ac:dyDescent="0.3">
      <c r="A13" s="21" t="str">
        <f t="shared" si="1"/>
        <v>TITLE</v>
      </c>
      <c r="B13" s="49" t="s">
        <v>852</v>
      </c>
      <c r="C13" s="27" t="s">
        <v>856</v>
      </c>
      <c r="D13" s="41" t="str">
        <f t="shared" si="2"/>
        <v>REPEAT_GACHA_PROGRESS_TITLE</v>
      </c>
      <c r="E13" s="49" t="s">
        <v>865</v>
      </c>
      <c r="F13" s="43"/>
    </row>
    <row r="14" spans="1:7" x14ac:dyDescent="0.3">
      <c r="A14" s="21" t="str">
        <f t="shared" si="1"/>
        <v>TITLE</v>
      </c>
      <c r="B14" s="49" t="s">
        <v>852</v>
      </c>
      <c r="C14" s="27" t="s">
        <v>857</v>
      </c>
      <c r="D14" s="41" t="str">
        <f t="shared" si="2"/>
        <v>REPEAT_FARM_RICE_EARN_TITLE</v>
      </c>
      <c r="E14" s="49" t="s">
        <v>866</v>
      </c>
      <c r="F14" s="43"/>
    </row>
    <row r="15" spans="1:7" x14ac:dyDescent="0.3">
      <c r="A15" s="21" t="str">
        <f t="shared" si="1"/>
        <v>TITLE</v>
      </c>
      <c r="B15" s="49" t="s">
        <v>852</v>
      </c>
      <c r="C15" s="27" t="s">
        <v>858</v>
      </c>
      <c r="D15" s="41" t="str">
        <f t="shared" si="2"/>
        <v>REPEAT_MARKET_GOLD_EARN_TITLE</v>
      </c>
      <c r="E15" s="49" t="s">
        <v>867</v>
      </c>
      <c r="F15" s="43"/>
    </row>
    <row r="16" spans="1:7" x14ac:dyDescent="0.3">
      <c r="A16" s="21" t="str">
        <f t="shared" si="1"/>
        <v>TITLE</v>
      </c>
      <c r="B16" s="49" t="s">
        <v>852</v>
      </c>
      <c r="C16" s="27" t="s">
        <v>859</v>
      </c>
      <c r="D16" s="41" t="str">
        <f t="shared" si="2"/>
        <v>REPEAT_OFFICE_MISSION_PROGRESS_TITLE</v>
      </c>
      <c r="E16" s="49" t="s">
        <v>868</v>
      </c>
      <c r="F16" s="43"/>
    </row>
    <row r="17" spans="1:6" x14ac:dyDescent="0.3">
      <c r="A17" s="21" t="str">
        <f t="shared" si="1"/>
        <v>TITLE</v>
      </c>
      <c r="B17" s="49" t="s">
        <v>852</v>
      </c>
      <c r="C17" s="27" t="s">
        <v>860</v>
      </c>
      <c r="D17" s="41" t="str">
        <f t="shared" si="2"/>
        <v>REPEAT_DAILY_DUNGEON_PLAY_TITLE</v>
      </c>
      <c r="E17" s="49" t="s">
        <v>869</v>
      </c>
      <c r="F17" s="43"/>
    </row>
    <row r="18" spans="1:6" x14ac:dyDescent="0.3">
      <c r="A18" s="21" t="str">
        <f t="shared" si="1"/>
        <v>TITLE</v>
      </c>
      <c r="B18" s="49" t="s">
        <v>852</v>
      </c>
      <c r="C18" s="27" t="s">
        <v>861</v>
      </c>
      <c r="D18" s="41" t="str">
        <f t="shared" si="2"/>
        <v>REPEAT_STAGE_BOSS_KILL_TITLE</v>
      </c>
      <c r="E18" s="49" t="s">
        <v>870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F2B8-C8CA-4434-8401-F4979C2748FC}">
  <dimension ref="A1:E52"/>
  <sheetViews>
    <sheetView topLeftCell="A22" workbookViewId="0">
      <selection activeCell="C52" sqref="C52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56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55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7" t="s">
        <v>2</v>
      </c>
      <c r="B2" s="7" t="s">
        <v>2</v>
      </c>
      <c r="C2" s="7" t="s">
        <v>2</v>
      </c>
      <c r="D2" s="9" t="s">
        <v>2</v>
      </c>
      <c r="E2" s="9"/>
    </row>
    <row r="3" spans="1:5" x14ac:dyDescent="0.3">
      <c r="A3" s="58" t="s">
        <v>929</v>
      </c>
      <c r="B3" s="52" t="str">
        <f t="shared" ref="B3:B26" si="0">UPPER(A3) &amp; "_DESC"</f>
        <v>LEADERSHIP_DESC</v>
      </c>
      <c r="C3" s="58" t="s">
        <v>904</v>
      </c>
      <c r="D3" s="11"/>
      <c r="E3" s="11"/>
    </row>
    <row r="4" spans="1:5" x14ac:dyDescent="0.3">
      <c r="A4" s="58" t="s">
        <v>930</v>
      </c>
      <c r="B4" s="52" t="str">
        <f t="shared" si="0"/>
        <v>STRENGTH_DESC</v>
      </c>
      <c r="C4" s="58" t="s">
        <v>905</v>
      </c>
      <c r="D4" s="11"/>
      <c r="E4" s="11"/>
    </row>
    <row r="5" spans="1:5" x14ac:dyDescent="0.3">
      <c r="A5" s="58" t="s">
        <v>931</v>
      </c>
      <c r="B5" s="52" t="str">
        <f t="shared" si="0"/>
        <v>INTELLECT_DESC</v>
      </c>
      <c r="C5" s="58" t="s">
        <v>906</v>
      </c>
      <c r="D5" s="11"/>
      <c r="E5" s="11"/>
    </row>
    <row r="6" spans="1:5" x14ac:dyDescent="0.3">
      <c r="A6" s="58" t="s">
        <v>932</v>
      </c>
      <c r="B6" s="52" t="str">
        <f t="shared" si="0"/>
        <v>POLITICS_DESC</v>
      </c>
      <c r="C6" s="58" t="s">
        <v>907</v>
      </c>
      <c r="D6" s="11"/>
      <c r="E6" s="11"/>
    </row>
    <row r="7" spans="1:5" x14ac:dyDescent="0.3">
      <c r="A7" s="58" t="s">
        <v>933</v>
      </c>
      <c r="B7" s="52" t="str">
        <f t="shared" si="0"/>
        <v>CHARISMA_DESC</v>
      </c>
      <c r="C7" s="58" t="s">
        <v>908</v>
      </c>
      <c r="D7" s="11"/>
      <c r="E7" s="11"/>
    </row>
    <row r="8" spans="1:5" x14ac:dyDescent="0.2">
      <c r="A8" s="59" t="s">
        <v>934</v>
      </c>
      <c r="B8" s="52" t="str">
        <f t="shared" si="0"/>
        <v>ATTACK_POWER_DESC</v>
      </c>
      <c r="C8" s="59" t="s">
        <v>909</v>
      </c>
      <c r="D8" s="11"/>
      <c r="E8" s="11"/>
    </row>
    <row r="9" spans="1:5" x14ac:dyDescent="0.2">
      <c r="A9" s="59" t="s">
        <v>935</v>
      </c>
      <c r="B9" s="52" t="str">
        <f t="shared" si="0"/>
        <v>DEFENCE_DESC</v>
      </c>
      <c r="C9" s="59" t="s">
        <v>910</v>
      </c>
      <c r="D9" s="11"/>
      <c r="E9" s="11"/>
    </row>
    <row r="10" spans="1:5" x14ac:dyDescent="0.2">
      <c r="A10" s="59" t="s">
        <v>936</v>
      </c>
      <c r="B10" s="52" t="str">
        <f t="shared" si="0"/>
        <v>ATTACK_SPEED_DESC</v>
      </c>
      <c r="C10" s="59" t="s">
        <v>911</v>
      </c>
      <c r="D10" s="11"/>
      <c r="E10" s="11"/>
    </row>
    <row r="11" spans="1:5" x14ac:dyDescent="0.2">
      <c r="A11" s="59" t="s">
        <v>937</v>
      </c>
      <c r="B11" s="52" t="str">
        <f t="shared" si="0"/>
        <v>HEALTH_MAX_DESC</v>
      </c>
      <c r="C11" s="59" t="s">
        <v>912</v>
      </c>
      <c r="D11" s="11"/>
      <c r="E11" s="11"/>
    </row>
    <row r="12" spans="1:5" x14ac:dyDescent="0.2">
      <c r="A12" s="59" t="s">
        <v>938</v>
      </c>
      <c r="B12" s="52" t="str">
        <f t="shared" si="0"/>
        <v>MOVE_SPEED_DESC</v>
      </c>
      <c r="C12" s="59" t="s">
        <v>913</v>
      </c>
      <c r="D12" s="11"/>
      <c r="E12" s="11"/>
    </row>
    <row r="13" spans="1:5" x14ac:dyDescent="0.2">
      <c r="A13" s="59" t="s">
        <v>939</v>
      </c>
      <c r="B13" s="52" t="str">
        <f t="shared" si="0"/>
        <v>LIFE_STEAL_DESC</v>
      </c>
      <c r="C13" s="59" t="s">
        <v>914</v>
      </c>
      <c r="D13" s="11"/>
      <c r="E13" s="11"/>
    </row>
    <row r="14" spans="1:5" x14ac:dyDescent="0.2">
      <c r="A14" s="59" t="s">
        <v>940</v>
      </c>
      <c r="B14" s="52" t="str">
        <f t="shared" si="0"/>
        <v>CRITICAL_RATE_DESC</v>
      </c>
      <c r="C14" s="59" t="s">
        <v>915</v>
      </c>
      <c r="D14" s="11"/>
      <c r="E14" s="11"/>
    </row>
    <row r="15" spans="1:5" x14ac:dyDescent="0.2">
      <c r="A15" s="59" t="s">
        <v>941</v>
      </c>
      <c r="B15" s="52" t="str">
        <f t="shared" si="0"/>
        <v>COOLDOWN_RATE_DESC</v>
      </c>
      <c r="C15" s="59" t="s">
        <v>916</v>
      </c>
      <c r="D15" s="11"/>
      <c r="E15" s="11"/>
    </row>
    <row r="16" spans="1:5" x14ac:dyDescent="0.2">
      <c r="A16" s="59" t="s">
        <v>942</v>
      </c>
      <c r="B16" s="52" t="str">
        <f t="shared" si="0"/>
        <v>CRITICAL_DAMAGE_DESC</v>
      </c>
      <c r="C16" s="59" t="s">
        <v>917</v>
      </c>
      <c r="D16" s="11"/>
      <c r="E16" s="11"/>
    </row>
    <row r="17" spans="1:5" x14ac:dyDescent="0.2">
      <c r="A17" s="59" t="s">
        <v>943</v>
      </c>
      <c r="B17" s="52" t="str">
        <f t="shared" si="0"/>
        <v>BOSS_DAMAGE_DESC</v>
      </c>
      <c r="C17" s="59" t="s">
        <v>918</v>
      </c>
      <c r="D17" s="11"/>
      <c r="E17" s="11"/>
    </row>
    <row r="18" spans="1:5" x14ac:dyDescent="0.2">
      <c r="A18" s="59" t="s">
        <v>944</v>
      </c>
      <c r="B18" s="52" t="str">
        <f t="shared" si="0"/>
        <v>COMBAT_STATUS_BUFF_DESC</v>
      </c>
      <c r="C18" s="59" t="s">
        <v>919</v>
      </c>
      <c r="D18" s="11"/>
      <c r="E18" s="11"/>
    </row>
    <row r="19" spans="1:5" x14ac:dyDescent="0.2">
      <c r="A19" s="59" t="s">
        <v>945</v>
      </c>
      <c r="B19" s="52" t="str">
        <f t="shared" si="0"/>
        <v>ATK_EFFECT_LIGHTNING_DESC</v>
      </c>
      <c r="C19" s="58" t="s">
        <v>920</v>
      </c>
      <c r="D19" s="11"/>
      <c r="E19" s="11"/>
    </row>
    <row r="20" spans="1:5" x14ac:dyDescent="0.2">
      <c r="A20" s="59" t="s">
        <v>946</v>
      </c>
      <c r="B20" s="52" t="str">
        <f t="shared" si="0"/>
        <v>ATK_EFFECT_BLEEDING_DESC</v>
      </c>
      <c r="C20" s="58" t="s">
        <v>921</v>
      </c>
      <c r="D20" s="11"/>
      <c r="E20" s="11"/>
    </row>
    <row r="21" spans="1:5" x14ac:dyDescent="0.2">
      <c r="A21" s="59" t="s">
        <v>947</v>
      </c>
      <c r="B21" s="52" t="str">
        <f t="shared" si="0"/>
        <v>ATK_EFFECT_BURN_DESC</v>
      </c>
      <c r="C21" s="58" t="s">
        <v>922</v>
      </c>
      <c r="D21" s="11"/>
      <c r="E21" s="11"/>
    </row>
    <row r="22" spans="1:5" x14ac:dyDescent="0.2">
      <c r="A22" s="59" t="s">
        <v>948</v>
      </c>
      <c r="B22" s="52" t="str">
        <f t="shared" si="0"/>
        <v>ATK_EFFECT_POISONING_DESC</v>
      </c>
      <c r="C22" s="58" t="s">
        <v>923</v>
      </c>
      <c r="D22" s="11"/>
      <c r="E22" s="11"/>
    </row>
    <row r="23" spans="1:5" x14ac:dyDescent="0.2">
      <c r="A23" s="59" t="s">
        <v>949</v>
      </c>
      <c r="B23" s="52" t="str">
        <f t="shared" si="0"/>
        <v>ATK_EFFECT_STUN_DESC</v>
      </c>
      <c r="C23" s="58" t="s">
        <v>924</v>
      </c>
      <c r="D23" s="11"/>
      <c r="E23" s="11"/>
    </row>
    <row r="24" spans="1:5" x14ac:dyDescent="0.2">
      <c r="A24" s="59" t="s">
        <v>950</v>
      </c>
      <c r="B24" s="52" t="str">
        <f t="shared" si="0"/>
        <v>ATK_EFFECT_SILENCE_DESC</v>
      </c>
      <c r="C24" s="58" t="s">
        <v>925</v>
      </c>
      <c r="D24" s="11"/>
      <c r="E24" s="11"/>
    </row>
    <row r="25" spans="1:5" x14ac:dyDescent="0.2">
      <c r="A25" s="59" t="s">
        <v>951</v>
      </c>
      <c r="B25" s="52" t="str">
        <f t="shared" si="0"/>
        <v>ATK_EFFECT_AOE_DESC</v>
      </c>
      <c r="C25" s="58" t="s">
        <v>926</v>
      </c>
      <c r="D25" s="11"/>
      <c r="E25" s="11"/>
    </row>
    <row r="26" spans="1:5" x14ac:dyDescent="0.2">
      <c r="A26" s="59" t="s">
        <v>952</v>
      </c>
      <c r="B26" s="52" t="str">
        <f t="shared" si="0"/>
        <v>DEF_EFFECT_SHIELD_DESC</v>
      </c>
      <c r="C26" s="58" t="s">
        <v>927</v>
      </c>
      <c r="D26" s="11"/>
      <c r="E26" s="11"/>
    </row>
    <row r="27" spans="1:5" x14ac:dyDescent="0.2">
      <c r="A27" s="59" t="s">
        <v>953</v>
      </c>
      <c r="B27" s="52" t="str">
        <f>UPPER(A27) &amp; "_DESC"</f>
        <v>DEF_EFFECT_DAMAGE_TAKEN_REDUCED_DESC</v>
      </c>
      <c r="C27" s="58" t="s">
        <v>928</v>
      </c>
      <c r="D27" s="11"/>
      <c r="E27" s="11"/>
    </row>
    <row r="28" spans="1:5" x14ac:dyDescent="0.3">
      <c r="A28" s="58" t="s">
        <v>929</v>
      </c>
      <c r="B28" s="52" t="str">
        <f t="shared" ref="B28:B51" si="1">UPPER(A28) &amp; "_TITLE"</f>
        <v>LEADERSHIP_TITLE</v>
      </c>
      <c r="C28" s="58" t="s">
        <v>904</v>
      </c>
      <c r="D28" s="11"/>
      <c r="E28" s="11"/>
    </row>
    <row r="29" spans="1:5" x14ac:dyDescent="0.3">
      <c r="A29" s="58" t="s">
        <v>930</v>
      </c>
      <c r="B29" s="52" t="str">
        <f t="shared" si="1"/>
        <v>STRENGTH_TITLE</v>
      </c>
      <c r="C29" s="58" t="s">
        <v>905</v>
      </c>
      <c r="D29" s="11"/>
      <c r="E29" s="11"/>
    </row>
    <row r="30" spans="1:5" x14ac:dyDescent="0.3">
      <c r="A30" s="58" t="s">
        <v>931</v>
      </c>
      <c r="B30" s="52" t="str">
        <f t="shared" si="1"/>
        <v>INTELLECT_TITLE</v>
      </c>
      <c r="C30" s="58" t="s">
        <v>906</v>
      </c>
      <c r="D30" s="11"/>
      <c r="E30" s="11"/>
    </row>
    <row r="31" spans="1:5" x14ac:dyDescent="0.3">
      <c r="A31" s="58" t="s">
        <v>932</v>
      </c>
      <c r="B31" s="52" t="str">
        <f t="shared" si="1"/>
        <v>POLITICS_TITLE</v>
      </c>
      <c r="C31" s="58" t="s">
        <v>907</v>
      </c>
      <c r="D31" s="11"/>
      <c r="E31" s="11"/>
    </row>
    <row r="32" spans="1:5" x14ac:dyDescent="0.3">
      <c r="A32" s="58" t="s">
        <v>933</v>
      </c>
      <c r="B32" s="52" t="str">
        <f t="shared" si="1"/>
        <v>CHARISMA_TITLE</v>
      </c>
      <c r="C32" s="58" t="s">
        <v>908</v>
      </c>
      <c r="D32" s="11"/>
      <c r="E32" s="11"/>
    </row>
    <row r="33" spans="1:5" x14ac:dyDescent="0.2">
      <c r="A33" s="59" t="s">
        <v>934</v>
      </c>
      <c r="B33" s="52" t="str">
        <f t="shared" si="1"/>
        <v>ATTACK_POWER_TITLE</v>
      </c>
      <c r="C33" s="59" t="s">
        <v>909</v>
      </c>
      <c r="D33" s="11"/>
      <c r="E33" s="11"/>
    </row>
    <row r="34" spans="1:5" x14ac:dyDescent="0.2">
      <c r="A34" s="59" t="s">
        <v>935</v>
      </c>
      <c r="B34" s="52" t="str">
        <f t="shared" si="1"/>
        <v>DEFENCE_TITLE</v>
      </c>
      <c r="C34" s="59" t="s">
        <v>910</v>
      </c>
      <c r="D34" s="11"/>
      <c r="E34" s="11"/>
    </row>
    <row r="35" spans="1:5" x14ac:dyDescent="0.2">
      <c r="A35" s="59" t="s">
        <v>936</v>
      </c>
      <c r="B35" s="52" t="str">
        <f t="shared" si="1"/>
        <v>ATTACK_SPEED_TITLE</v>
      </c>
      <c r="C35" s="59" t="s">
        <v>911</v>
      </c>
      <c r="D35" s="11"/>
      <c r="E35" s="11"/>
    </row>
    <row r="36" spans="1:5" x14ac:dyDescent="0.2">
      <c r="A36" s="59" t="s">
        <v>937</v>
      </c>
      <c r="B36" s="52" t="str">
        <f t="shared" si="1"/>
        <v>HEALTH_MAX_TITLE</v>
      </c>
      <c r="C36" s="59" t="s">
        <v>912</v>
      </c>
      <c r="D36" s="11"/>
      <c r="E36" s="11"/>
    </row>
    <row r="37" spans="1:5" x14ac:dyDescent="0.2">
      <c r="A37" s="59" t="s">
        <v>938</v>
      </c>
      <c r="B37" s="52" t="str">
        <f t="shared" si="1"/>
        <v>MOVE_SPEED_TITLE</v>
      </c>
      <c r="C37" s="59" t="s">
        <v>913</v>
      </c>
      <c r="D37" s="11"/>
      <c r="E37" s="11"/>
    </row>
    <row r="38" spans="1:5" x14ac:dyDescent="0.2">
      <c r="A38" s="59" t="s">
        <v>939</v>
      </c>
      <c r="B38" s="52" t="str">
        <f t="shared" si="1"/>
        <v>LIFE_STEAL_TITLE</v>
      </c>
      <c r="C38" s="59" t="s">
        <v>914</v>
      </c>
      <c r="D38" s="11"/>
      <c r="E38" s="11"/>
    </row>
    <row r="39" spans="1:5" x14ac:dyDescent="0.2">
      <c r="A39" s="59" t="s">
        <v>940</v>
      </c>
      <c r="B39" s="52" t="str">
        <f t="shared" si="1"/>
        <v>CRITICAL_RATE_TITLE</v>
      </c>
      <c r="C39" s="59" t="s">
        <v>915</v>
      </c>
      <c r="D39" s="11"/>
      <c r="E39" s="11"/>
    </row>
    <row r="40" spans="1:5" x14ac:dyDescent="0.2">
      <c r="A40" s="59" t="s">
        <v>941</v>
      </c>
      <c r="B40" s="52" t="str">
        <f t="shared" si="1"/>
        <v>COOLDOWN_RATE_TITLE</v>
      </c>
      <c r="C40" s="59" t="s">
        <v>916</v>
      </c>
      <c r="D40" s="11"/>
      <c r="E40" s="11"/>
    </row>
    <row r="41" spans="1:5" x14ac:dyDescent="0.2">
      <c r="A41" s="59" t="s">
        <v>942</v>
      </c>
      <c r="B41" s="52" t="str">
        <f t="shared" si="1"/>
        <v>CRITICAL_DAMAGE_TITLE</v>
      </c>
      <c r="C41" s="59" t="s">
        <v>917</v>
      </c>
      <c r="D41" s="11"/>
      <c r="E41" s="11"/>
    </row>
    <row r="42" spans="1:5" x14ac:dyDescent="0.2">
      <c r="A42" s="59" t="s">
        <v>943</v>
      </c>
      <c r="B42" s="52" t="str">
        <f t="shared" si="1"/>
        <v>BOSS_DAMAGE_TITLE</v>
      </c>
      <c r="C42" s="59" t="s">
        <v>918</v>
      </c>
      <c r="D42" s="11"/>
      <c r="E42" s="11"/>
    </row>
    <row r="43" spans="1:5" x14ac:dyDescent="0.2">
      <c r="A43" s="59" t="s">
        <v>944</v>
      </c>
      <c r="B43" s="52" t="str">
        <f t="shared" si="1"/>
        <v>COMBAT_STATUS_BUFF_TITLE</v>
      </c>
      <c r="C43" s="59" t="s">
        <v>962</v>
      </c>
      <c r="D43" s="11"/>
      <c r="E43" s="11"/>
    </row>
    <row r="44" spans="1:5" x14ac:dyDescent="0.2">
      <c r="A44" s="59" t="s">
        <v>945</v>
      </c>
      <c r="B44" s="52" t="str">
        <f t="shared" si="1"/>
        <v>ATK_EFFECT_LIGHTNING_TITLE</v>
      </c>
      <c r="C44" s="60" t="s">
        <v>969</v>
      </c>
      <c r="D44" s="11"/>
      <c r="E44" s="11"/>
    </row>
    <row r="45" spans="1:5" x14ac:dyDescent="0.2">
      <c r="A45" s="59" t="s">
        <v>946</v>
      </c>
      <c r="B45" s="52" t="str">
        <f t="shared" si="1"/>
        <v>ATK_EFFECT_BLEEDING_TITLE</v>
      </c>
      <c r="C45" s="60" t="s">
        <v>963</v>
      </c>
      <c r="D45" s="11"/>
      <c r="E45" s="11"/>
    </row>
    <row r="46" spans="1:5" x14ac:dyDescent="0.2">
      <c r="A46" s="59" t="s">
        <v>947</v>
      </c>
      <c r="B46" s="52" t="str">
        <f t="shared" si="1"/>
        <v>ATK_EFFECT_BURN_TITLE</v>
      </c>
      <c r="C46" s="60" t="s">
        <v>964</v>
      </c>
      <c r="D46" s="11"/>
      <c r="E46" s="11"/>
    </row>
    <row r="47" spans="1:5" x14ac:dyDescent="0.2">
      <c r="A47" s="59" t="s">
        <v>948</v>
      </c>
      <c r="B47" s="52" t="str">
        <f t="shared" si="1"/>
        <v>ATK_EFFECT_POISONING_TITLE</v>
      </c>
      <c r="C47" s="60" t="s">
        <v>965</v>
      </c>
      <c r="D47" s="11"/>
      <c r="E47" s="11"/>
    </row>
    <row r="48" spans="1:5" x14ac:dyDescent="0.2">
      <c r="A48" s="59" t="s">
        <v>949</v>
      </c>
      <c r="B48" s="52" t="str">
        <f t="shared" si="1"/>
        <v>ATK_EFFECT_STUN_TITLE</v>
      </c>
      <c r="C48" s="60" t="s">
        <v>966</v>
      </c>
    </row>
    <row r="49" spans="1:3" x14ac:dyDescent="0.2">
      <c r="A49" s="59" t="s">
        <v>950</v>
      </c>
      <c r="B49" s="52" t="str">
        <f t="shared" si="1"/>
        <v>ATK_EFFECT_SILENCE_TITLE</v>
      </c>
      <c r="C49" s="61" t="s">
        <v>967</v>
      </c>
    </row>
    <row r="50" spans="1:3" x14ac:dyDescent="0.2">
      <c r="A50" s="59" t="s">
        <v>951</v>
      </c>
      <c r="B50" s="52" t="str">
        <f t="shared" si="1"/>
        <v>ATK_EFFECT_AOE_TITLE</v>
      </c>
      <c r="C50" s="62" t="s">
        <v>968</v>
      </c>
    </row>
    <row r="51" spans="1:3" x14ac:dyDescent="0.2">
      <c r="A51" s="59" t="s">
        <v>952</v>
      </c>
      <c r="B51" s="52" t="str">
        <f t="shared" si="1"/>
        <v>DEF_EFFECT_SHIELD_TITLE</v>
      </c>
      <c r="C51" s="62" t="s">
        <v>970</v>
      </c>
    </row>
    <row r="52" spans="1:3" x14ac:dyDescent="0.2">
      <c r="A52" s="59" t="s">
        <v>953</v>
      </c>
      <c r="B52" s="52" t="str">
        <f>UPPER(A52) &amp; "_TITLE"</f>
        <v>DEF_EFFECT_DAMAGE_TAKEN_REDUCED_TITLE</v>
      </c>
      <c r="C52" s="62" t="s">
        <v>971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String_Traits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2026-09-01T02:41:38Z</dcterms:modified>
</cp:coreProperties>
</file>