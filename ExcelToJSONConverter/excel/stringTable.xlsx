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_WORK\Kingz_ThreeKingdoms\ExcelToJSONConverter\excel\"/>
    </mc:Choice>
  </mc:AlternateContent>
  <xr:revisionPtr revIDLastSave="0" documentId="13_ncr:1_{F17208C7-5B26-40CB-B8BB-4B5E62923734}" xr6:coauthVersionLast="47" xr6:coauthVersionMax="47" xr10:uidLastSave="{00000000-0000-0000-0000-000000000000}"/>
  <bookViews>
    <workbookView xWindow="-120" yWindow="-120" windowWidth="29040" windowHeight="15720" tabRatio="813" activeTab="7" xr2:uid="{00000000-000D-0000-FFFF-FFFF00000000}"/>
  </bookViews>
  <sheets>
    <sheet name="Overview" sheetId="1" r:id="rId1"/>
    <sheet name="String" sheetId="2" r:id="rId2"/>
    <sheet name="String_Item" sheetId="3" r:id="rId3"/>
    <sheet name="String_Shop" sheetId="14" r:id="rId4"/>
    <sheet name="String_Mission" sheetId="4" r:id="rId5"/>
    <sheet name="String_Hero" sheetId="5" r:id="rId6"/>
    <sheet name="String_Treasure" sheetId="6" r:id="rId7"/>
    <sheet name="String_ScenarioTalk" sheetId="7" r:id="rId8"/>
    <sheet name="String_Story" sheetId="8" r:id="rId9"/>
    <sheet name="String_GuideQuest" sheetId="9" r:id="rId10"/>
    <sheet name="String_Quest" sheetId="10" r:id="rId11"/>
    <sheet name="String_Traits" sheetId="11" r:id="rId12"/>
    <sheet name="String_Alert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zqOqZS5cA/7uDZeiF4op3Ledez0YNGzSfIJNJ8xPpTY="/>
    </ext>
  </extLst>
</workbook>
</file>

<file path=xl/calcChain.xml><?xml version="1.0" encoding="utf-8"?>
<calcChain xmlns="http://schemas.openxmlformats.org/spreadsheetml/2006/main">
  <c r="B4" i="14" l="1"/>
  <c r="B3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61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59" i="3"/>
  <c r="B15" i="3"/>
  <c r="B39" i="3"/>
  <c r="B17" i="3"/>
  <c r="B107" i="2"/>
  <c r="B106" i="2"/>
  <c r="B91" i="2"/>
  <c r="B89" i="2"/>
  <c r="B108" i="2"/>
  <c r="B13" i="14"/>
  <c r="B12" i="14"/>
  <c r="B11" i="14"/>
  <c r="B10" i="14"/>
  <c r="B9" i="14"/>
  <c r="B8" i="14"/>
  <c r="B7" i="14"/>
  <c r="B6" i="14"/>
  <c r="B5" i="14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8" i="3"/>
  <c r="B37" i="3"/>
  <c r="B58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6" i="3"/>
  <c r="B14" i="3"/>
  <c r="B36" i="3"/>
  <c r="B279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38" i="9"/>
  <c r="D37" i="9"/>
  <c r="D36" i="9"/>
  <c r="D35" i="9"/>
  <c r="D34" i="9"/>
  <c r="D33" i="9"/>
  <c r="D32" i="9"/>
  <c r="D31" i="9"/>
  <c r="D30" i="9"/>
  <c r="D21" i="9"/>
  <c r="B21" i="9"/>
  <c r="B22" i="9" s="1"/>
  <c r="D20" i="9"/>
  <c r="D19" i="9"/>
  <c r="B4" i="9"/>
  <c r="B5" i="9" s="1"/>
  <c r="A4" i="9"/>
  <c r="A5" i="9" s="1"/>
  <c r="A6" i="9" s="1"/>
  <c r="A7" i="9" s="1"/>
  <c r="A8" i="9" s="1"/>
  <c r="A9" i="9" s="1"/>
  <c r="A10" i="9" s="1"/>
  <c r="D3" i="9"/>
  <c r="E126" i="8"/>
  <c r="D126" i="8"/>
  <c r="E125" i="8"/>
  <c r="D125" i="8"/>
  <c r="E124" i="8"/>
  <c r="D124" i="8"/>
  <c r="E123" i="8"/>
  <c r="D123" i="8"/>
  <c r="E122" i="8"/>
  <c r="D122" i="8"/>
  <c r="E121" i="8"/>
  <c r="D121" i="8"/>
  <c r="D120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B242" i="7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A242" i="7"/>
  <c r="A243" i="7" s="1"/>
  <c r="E241" i="7"/>
  <c r="C241" i="7"/>
  <c r="E239" i="7"/>
  <c r="E238" i="7"/>
  <c r="E237" i="7"/>
  <c r="E236" i="7"/>
  <c r="E235" i="7"/>
  <c r="E234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B203" i="7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A203" i="7"/>
  <c r="A204" i="7" s="1"/>
  <c r="E202" i="7"/>
  <c r="C202" i="7"/>
  <c r="B202" i="7"/>
  <c r="A202" i="7"/>
  <c r="E201" i="7"/>
  <c r="C201" i="7"/>
  <c r="E199" i="7"/>
  <c r="E198" i="7"/>
  <c r="E193" i="7"/>
  <c r="E192" i="7"/>
  <c r="E190" i="7"/>
  <c r="E189" i="7"/>
  <c r="E188" i="7"/>
  <c r="E185" i="7"/>
  <c r="E184" i="7"/>
  <c r="E183" i="7"/>
  <c r="E182" i="7"/>
  <c r="E181" i="7"/>
  <c r="E180" i="7"/>
  <c r="E179" i="7"/>
  <c r="E178" i="7"/>
  <c r="B178" i="7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E177" i="7"/>
  <c r="E176" i="7"/>
  <c r="B176" i="7"/>
  <c r="B177" i="7" s="1"/>
  <c r="B175" i="7"/>
  <c r="B174" i="7"/>
  <c r="B173" i="7"/>
  <c r="E171" i="7"/>
  <c r="E170" i="7"/>
  <c r="E169" i="7"/>
  <c r="E168" i="7"/>
  <c r="E167" i="7"/>
  <c r="E166" i="7"/>
  <c r="E165" i="7"/>
  <c r="E164" i="7"/>
  <c r="E163" i="7"/>
  <c r="B163" i="7"/>
  <c r="B164" i="7" s="1"/>
  <c r="B165" i="7" s="1"/>
  <c r="B166" i="7" s="1"/>
  <c r="B167" i="7" s="1"/>
  <c r="B168" i="7" s="1"/>
  <c r="B169" i="7" s="1"/>
  <c r="B170" i="7" s="1"/>
  <c r="B171" i="7" s="1"/>
  <c r="A163" i="7"/>
  <c r="C163" i="7" s="1"/>
  <c r="E162" i="7"/>
  <c r="B162" i="7"/>
  <c r="A162" i="7"/>
  <c r="C162" i="7" s="1"/>
  <c r="E161" i="7"/>
  <c r="C161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B123" i="7"/>
  <c r="B124" i="7" s="1"/>
  <c r="C124" i="7" s="1"/>
  <c r="E122" i="7"/>
  <c r="C122" i="7"/>
  <c r="B122" i="7"/>
  <c r="E121" i="7"/>
  <c r="C121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B57" i="7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E56" i="7"/>
  <c r="B56" i="7"/>
  <c r="E55" i="7"/>
  <c r="B55" i="7"/>
  <c r="A55" i="7"/>
  <c r="A56" i="7" s="1"/>
  <c r="E54" i="7"/>
  <c r="C54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7" i="7"/>
  <c r="E36" i="7"/>
  <c r="E35" i="7"/>
  <c r="E34" i="7"/>
  <c r="E33" i="7"/>
  <c r="E32" i="7"/>
  <c r="E31" i="7"/>
  <c r="E30" i="7"/>
  <c r="E29" i="7"/>
  <c r="E28" i="7"/>
  <c r="B28" i="7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A28" i="7"/>
  <c r="E27" i="7"/>
  <c r="C27" i="7"/>
  <c r="E26" i="7"/>
  <c r="E25" i="7"/>
  <c r="E24" i="7"/>
  <c r="E23" i="7"/>
  <c r="E22" i="7"/>
  <c r="E21" i="7"/>
  <c r="E20" i="7"/>
  <c r="E18" i="7"/>
  <c r="E17" i="7"/>
  <c r="E15" i="7"/>
  <c r="E14" i="7"/>
  <c r="E13" i="7"/>
  <c r="E12" i="7"/>
  <c r="E11" i="7"/>
  <c r="E9" i="7"/>
  <c r="E8" i="7"/>
  <c r="E6" i="7"/>
  <c r="A6" i="7"/>
  <c r="A7" i="7" s="1"/>
  <c r="A8" i="7" s="1"/>
  <c r="B5" i="7"/>
  <c r="A5" i="7"/>
  <c r="E4" i="7"/>
  <c r="C4" i="7"/>
  <c r="B4" i="7"/>
  <c r="A4" i="7"/>
  <c r="E3" i="7"/>
  <c r="C3" i="7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B12" i="4"/>
  <c r="B11" i="4"/>
  <c r="B10" i="4"/>
  <c r="B9" i="4"/>
  <c r="B8" i="4"/>
  <c r="B7" i="4"/>
  <c r="B6" i="4"/>
  <c r="B5" i="4"/>
  <c r="B4" i="4"/>
  <c r="B3" i="4"/>
  <c r="B13" i="3"/>
  <c r="B12" i="3"/>
  <c r="B11" i="3"/>
  <c r="B10" i="3"/>
  <c r="B9" i="3"/>
  <c r="B8" i="3"/>
  <c r="B7" i="3"/>
  <c r="B6" i="3"/>
  <c r="B5" i="3"/>
  <c r="B4" i="3"/>
  <c r="B3" i="3"/>
  <c r="B302" i="2"/>
  <c r="B301" i="2"/>
  <c r="B300" i="2"/>
  <c r="B297" i="2"/>
  <c r="B296" i="2"/>
  <c r="B289" i="2"/>
  <c r="B288" i="2"/>
  <c r="B287" i="2"/>
  <c r="B286" i="2"/>
  <c r="B285" i="2"/>
  <c r="B282" i="2"/>
  <c r="B280" i="2"/>
  <c r="B278" i="2"/>
  <c r="B220" i="2"/>
  <c r="B219" i="2"/>
  <c r="B218" i="2"/>
  <c r="B217" i="2"/>
  <c r="B183" i="2"/>
  <c r="B182" i="2"/>
  <c r="B181" i="2"/>
  <c r="B180" i="2"/>
  <c r="B179" i="2"/>
  <c r="B161" i="2"/>
  <c r="B160" i="2"/>
  <c r="B159" i="2"/>
  <c r="B158" i="2"/>
  <c r="B157" i="2"/>
  <c r="B90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A9" i="7" l="1"/>
  <c r="C204" i="7"/>
  <c r="A205" i="7"/>
  <c r="A57" i="7"/>
  <c r="C56" i="7"/>
  <c r="C203" i="7"/>
  <c r="A164" i="7"/>
  <c r="C5" i="7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C7" i="7"/>
  <c r="A244" i="7"/>
  <c r="C243" i="7"/>
  <c r="B125" i="7"/>
  <c r="A29" i="7"/>
  <c r="C28" i="7"/>
  <c r="A11" i="9"/>
  <c r="D10" i="9"/>
  <c r="B6" i="9"/>
  <c r="D5" i="9"/>
  <c r="B23" i="9"/>
  <c r="D22" i="9"/>
  <c r="D4" i="9"/>
  <c r="C55" i="7"/>
  <c r="C242" i="7"/>
  <c r="C123" i="7"/>
  <c r="C6" i="7"/>
  <c r="C29" i="7" l="1"/>
  <c r="A30" i="7"/>
  <c r="D11" i="9"/>
  <c r="A12" i="9"/>
  <c r="B126" i="7"/>
  <c r="C125" i="7"/>
  <c r="C244" i="7"/>
  <c r="A245" i="7"/>
  <c r="C205" i="7"/>
  <c r="A206" i="7"/>
  <c r="B25" i="9"/>
  <c r="B24" i="9"/>
  <c r="D23" i="9"/>
  <c r="D6" i="9"/>
  <c r="B7" i="9"/>
  <c r="A165" i="7"/>
  <c r="C164" i="7"/>
  <c r="A58" i="7"/>
  <c r="C57" i="7"/>
  <c r="C8" i="7"/>
  <c r="A10" i="7"/>
  <c r="C9" i="7"/>
  <c r="A11" i="7" l="1"/>
  <c r="C10" i="7"/>
  <c r="A166" i="7"/>
  <c r="C165" i="7"/>
  <c r="D7" i="9"/>
  <c r="B8" i="9"/>
  <c r="B27" i="9"/>
  <c r="D25" i="9"/>
  <c r="A59" i="7"/>
  <c r="C58" i="7"/>
  <c r="B26" i="9"/>
  <c r="D26" i="9" s="1"/>
  <c r="D24" i="9"/>
  <c r="A207" i="7"/>
  <c r="C206" i="7"/>
  <c r="A13" i="9"/>
  <c r="D12" i="9"/>
  <c r="A31" i="7"/>
  <c r="C30" i="7"/>
  <c r="A246" i="7"/>
  <c r="C245" i="7"/>
  <c r="B127" i="7"/>
  <c r="C126" i="7"/>
  <c r="A32" i="7" l="1"/>
  <c r="C31" i="7"/>
  <c r="C127" i="7"/>
  <c r="B128" i="7"/>
  <c r="A247" i="7"/>
  <c r="C246" i="7"/>
  <c r="A60" i="7"/>
  <c r="C59" i="7"/>
  <c r="B28" i="9"/>
  <c r="D27" i="9"/>
  <c r="A14" i="9"/>
  <c r="D13" i="9"/>
  <c r="A208" i="7"/>
  <c r="C207" i="7"/>
  <c r="B9" i="9"/>
  <c r="D9" i="9" s="1"/>
  <c r="D8" i="9"/>
  <c r="A167" i="7"/>
  <c r="C166" i="7"/>
  <c r="A12" i="7"/>
  <c r="C11" i="7"/>
  <c r="C12" i="7" l="1"/>
  <c r="A13" i="7"/>
  <c r="A15" i="9"/>
  <c r="D14" i="9"/>
  <c r="A209" i="7"/>
  <c r="C208" i="7"/>
  <c r="B129" i="7"/>
  <c r="C128" i="7"/>
  <c r="A168" i="7"/>
  <c r="C167" i="7"/>
  <c r="B29" i="9"/>
  <c r="D29" i="9" s="1"/>
  <c r="D28" i="9"/>
  <c r="A61" i="7"/>
  <c r="C60" i="7"/>
  <c r="C247" i="7"/>
  <c r="A248" i="7"/>
  <c r="A33" i="7"/>
  <c r="C32" i="7"/>
  <c r="C248" i="7" l="1"/>
  <c r="A249" i="7"/>
  <c r="A62" i="7"/>
  <c r="C61" i="7"/>
  <c r="B130" i="7"/>
  <c r="C129" i="7"/>
  <c r="A210" i="7"/>
  <c r="C209" i="7"/>
  <c r="A169" i="7"/>
  <c r="C168" i="7"/>
  <c r="A14" i="7"/>
  <c r="C13" i="7"/>
  <c r="A34" i="7"/>
  <c r="C33" i="7"/>
  <c r="A16" i="9"/>
  <c r="D15" i="9"/>
  <c r="C34" i="7" l="1"/>
  <c r="A35" i="7"/>
  <c r="C14" i="7"/>
  <c r="A15" i="7"/>
  <c r="C169" i="7"/>
  <c r="A170" i="7"/>
  <c r="A211" i="7"/>
  <c r="C210" i="7"/>
  <c r="A250" i="7"/>
  <c r="C249" i="7"/>
  <c r="A17" i="9"/>
  <c r="D16" i="9"/>
  <c r="B131" i="7"/>
  <c r="C130" i="7"/>
  <c r="C62" i="7"/>
  <c r="A63" i="7"/>
  <c r="B132" i="7" l="1"/>
  <c r="C131" i="7"/>
  <c r="A212" i="7"/>
  <c r="C211" i="7"/>
  <c r="A64" i="7"/>
  <c r="C63" i="7"/>
  <c r="A36" i="7"/>
  <c r="C35" i="7"/>
  <c r="A18" i="9"/>
  <c r="D18" i="9" s="1"/>
  <c r="D17" i="9"/>
  <c r="A251" i="7"/>
  <c r="C250" i="7"/>
  <c r="A171" i="7"/>
  <c r="C170" i="7"/>
  <c r="A16" i="7"/>
  <c r="C15" i="7"/>
  <c r="A65" i="7" l="1"/>
  <c r="C64" i="7"/>
  <c r="A17" i="7"/>
  <c r="C16" i="7"/>
  <c r="A172" i="7"/>
  <c r="C171" i="7"/>
  <c r="C251" i="7"/>
  <c r="A252" i="7"/>
  <c r="C36" i="7"/>
  <c r="A37" i="7"/>
  <c r="C212" i="7"/>
  <c r="A213" i="7"/>
  <c r="B133" i="7"/>
  <c r="C132" i="7"/>
  <c r="C133" i="7" l="1"/>
  <c r="B134" i="7"/>
  <c r="A38" i="7"/>
  <c r="C37" i="7"/>
  <c r="C172" i="7"/>
  <c r="A173" i="7"/>
  <c r="C17" i="7"/>
  <c r="A18" i="7"/>
  <c r="A214" i="7"/>
  <c r="C213" i="7"/>
  <c r="A253" i="7"/>
  <c r="C252" i="7"/>
  <c r="A66" i="7"/>
  <c r="C65" i="7"/>
  <c r="A19" i="7" l="1"/>
  <c r="C18" i="7"/>
  <c r="C173" i="7"/>
  <c r="A174" i="7"/>
  <c r="C38" i="7"/>
  <c r="A39" i="7"/>
  <c r="B135" i="7"/>
  <c r="C134" i="7"/>
  <c r="C66" i="7"/>
  <c r="A67" i="7"/>
  <c r="A254" i="7"/>
  <c r="C253" i="7"/>
  <c r="A215" i="7"/>
  <c r="C214" i="7"/>
  <c r="A255" i="7" l="1"/>
  <c r="C254" i="7"/>
  <c r="A68" i="7"/>
  <c r="C67" i="7"/>
  <c r="A175" i="7"/>
  <c r="C174" i="7"/>
  <c r="A216" i="7"/>
  <c r="C215" i="7"/>
  <c r="B136" i="7"/>
  <c r="C135" i="7"/>
  <c r="C39" i="7"/>
  <c r="A40" i="7"/>
  <c r="A20" i="7"/>
  <c r="C19" i="7"/>
  <c r="A21" i="7" l="1"/>
  <c r="C20" i="7"/>
  <c r="C136" i="7"/>
  <c r="B137" i="7"/>
  <c r="C216" i="7"/>
  <c r="A217" i="7"/>
  <c r="A41" i="7"/>
  <c r="C40" i="7"/>
  <c r="A176" i="7"/>
  <c r="C175" i="7"/>
  <c r="A69" i="7"/>
  <c r="C68" i="7"/>
  <c r="C255" i="7"/>
  <c r="A256" i="7"/>
  <c r="A70" i="7" l="1"/>
  <c r="C69" i="7"/>
  <c r="A257" i="7"/>
  <c r="C256" i="7"/>
  <c r="C176" i="7"/>
  <c r="A177" i="7"/>
  <c r="A42" i="7"/>
  <c r="C41" i="7"/>
  <c r="A218" i="7"/>
  <c r="C217" i="7"/>
  <c r="C137" i="7"/>
  <c r="B138" i="7"/>
  <c r="A22" i="7"/>
  <c r="C21" i="7"/>
  <c r="A178" i="7" l="1"/>
  <c r="C177" i="7"/>
  <c r="A258" i="7"/>
  <c r="C257" i="7"/>
  <c r="B139" i="7"/>
  <c r="C138" i="7"/>
  <c r="A219" i="7"/>
  <c r="C218" i="7"/>
  <c r="A43" i="7"/>
  <c r="C42" i="7"/>
  <c r="C22" i="7"/>
  <c r="A23" i="7"/>
  <c r="A71" i="7"/>
  <c r="C70" i="7"/>
  <c r="C23" i="7" l="1"/>
  <c r="A24" i="7"/>
  <c r="C43" i="7"/>
  <c r="A44" i="7"/>
  <c r="A220" i="7"/>
  <c r="C219" i="7"/>
  <c r="C258" i="7"/>
  <c r="A259" i="7"/>
  <c r="A72" i="7"/>
  <c r="C71" i="7"/>
  <c r="B140" i="7"/>
  <c r="C139" i="7"/>
  <c r="A179" i="7"/>
  <c r="C178" i="7"/>
  <c r="B141" i="7" l="1"/>
  <c r="C140" i="7"/>
  <c r="A180" i="7"/>
  <c r="C179" i="7"/>
  <c r="A221" i="7"/>
  <c r="C220" i="7"/>
  <c r="A25" i="7"/>
  <c r="C24" i="7"/>
  <c r="A73" i="7"/>
  <c r="C72" i="7"/>
  <c r="A260" i="7"/>
  <c r="C259" i="7"/>
  <c r="A45" i="7"/>
  <c r="C44" i="7"/>
  <c r="A26" i="7" l="1"/>
  <c r="C26" i="7" s="1"/>
  <c r="C25" i="7"/>
  <c r="A222" i="7"/>
  <c r="C221" i="7"/>
  <c r="C180" i="7"/>
  <c r="A181" i="7"/>
  <c r="A46" i="7"/>
  <c r="C45" i="7"/>
  <c r="A261" i="7"/>
  <c r="C260" i="7"/>
  <c r="C73" i="7"/>
  <c r="A74" i="7"/>
  <c r="B142" i="7"/>
  <c r="C141" i="7"/>
  <c r="A75" i="7" l="1"/>
  <c r="C74" i="7"/>
  <c r="B143" i="7"/>
  <c r="C142" i="7"/>
  <c r="A262" i="7"/>
  <c r="C261" i="7"/>
  <c r="A47" i="7"/>
  <c r="C46" i="7"/>
  <c r="A182" i="7"/>
  <c r="C181" i="7"/>
  <c r="A223" i="7"/>
  <c r="C222" i="7"/>
  <c r="A183" i="7" l="1"/>
  <c r="C182" i="7"/>
  <c r="A224" i="7"/>
  <c r="C223" i="7"/>
  <c r="A48" i="7"/>
  <c r="C47" i="7"/>
  <c r="C262" i="7"/>
  <c r="A263" i="7"/>
  <c r="B144" i="7"/>
  <c r="C143" i="7"/>
  <c r="C75" i="7"/>
  <c r="A76" i="7"/>
  <c r="A77" i="7" l="1"/>
  <c r="C76" i="7"/>
  <c r="A49" i="7"/>
  <c r="C48" i="7"/>
  <c r="B145" i="7"/>
  <c r="C144" i="7"/>
  <c r="A264" i="7"/>
  <c r="C263" i="7"/>
  <c r="C224" i="7"/>
  <c r="A225" i="7"/>
  <c r="A184" i="7"/>
  <c r="C183" i="7"/>
  <c r="A185" i="7" l="1"/>
  <c r="C184" i="7"/>
  <c r="A226" i="7"/>
  <c r="C225" i="7"/>
  <c r="A265" i="7"/>
  <c r="C264" i="7"/>
  <c r="B146" i="7"/>
  <c r="C145" i="7"/>
  <c r="A50" i="7"/>
  <c r="C49" i="7"/>
  <c r="A78" i="7"/>
  <c r="C77" i="7"/>
  <c r="B147" i="7" l="1"/>
  <c r="C146" i="7"/>
  <c r="C265" i="7"/>
  <c r="A266" i="7"/>
  <c r="A79" i="7"/>
  <c r="C78" i="7"/>
  <c r="C50" i="7"/>
  <c r="A51" i="7"/>
  <c r="C226" i="7"/>
  <c r="A227" i="7"/>
  <c r="C185" i="7"/>
  <c r="A186" i="7"/>
  <c r="C51" i="7" l="1"/>
  <c r="A52" i="7"/>
  <c r="C52" i="7" s="1"/>
  <c r="A267" i="7"/>
  <c r="C266" i="7"/>
  <c r="A228" i="7"/>
  <c r="C227" i="7"/>
  <c r="A80" i="7"/>
  <c r="C79" i="7"/>
  <c r="A187" i="7"/>
  <c r="C186" i="7"/>
  <c r="C147" i="7"/>
  <c r="B148" i="7"/>
  <c r="A229" i="7" l="1"/>
  <c r="C228" i="7"/>
  <c r="B149" i="7"/>
  <c r="C148" i="7"/>
  <c r="C187" i="7"/>
  <c r="A188" i="7"/>
  <c r="A81" i="7"/>
  <c r="C80" i="7"/>
  <c r="A268" i="7"/>
  <c r="C267" i="7"/>
  <c r="A189" i="7" l="1"/>
  <c r="C188" i="7"/>
  <c r="C268" i="7"/>
  <c r="A269" i="7"/>
  <c r="A82" i="7"/>
  <c r="C81" i="7"/>
  <c r="B150" i="7"/>
  <c r="C149" i="7"/>
  <c r="A230" i="7"/>
  <c r="C229" i="7"/>
  <c r="C150" i="7" l="1"/>
  <c r="B151" i="7"/>
  <c r="A231" i="7"/>
  <c r="C230" i="7"/>
  <c r="C82" i="7"/>
  <c r="A83" i="7"/>
  <c r="A270" i="7"/>
  <c r="C269" i="7"/>
  <c r="A190" i="7"/>
  <c r="C189" i="7"/>
  <c r="A271" i="7" l="1"/>
  <c r="C270" i="7"/>
  <c r="A191" i="7"/>
  <c r="C190" i="7"/>
  <c r="A232" i="7"/>
  <c r="C231" i="7"/>
  <c r="B152" i="7"/>
  <c r="C151" i="7"/>
  <c r="A84" i="7"/>
  <c r="C83" i="7"/>
  <c r="A233" i="7" l="1"/>
  <c r="C232" i="7"/>
  <c r="A85" i="7"/>
  <c r="C84" i="7"/>
  <c r="C152" i="7"/>
  <c r="B153" i="7"/>
  <c r="A192" i="7"/>
  <c r="C191" i="7"/>
  <c r="A272" i="7"/>
  <c r="C271" i="7"/>
  <c r="A273" i="7" l="1"/>
  <c r="C272" i="7"/>
  <c r="C192" i="7"/>
  <c r="A193" i="7"/>
  <c r="C153" i="7"/>
  <c r="B154" i="7"/>
  <c r="A86" i="7"/>
  <c r="C85" i="7"/>
  <c r="A234" i="7"/>
  <c r="C233" i="7"/>
  <c r="A87" i="7" l="1"/>
  <c r="C86" i="7"/>
  <c r="B155" i="7"/>
  <c r="C154" i="7"/>
  <c r="A194" i="7"/>
  <c r="C193" i="7"/>
  <c r="A235" i="7"/>
  <c r="C234" i="7"/>
  <c r="A274" i="7"/>
  <c r="C273" i="7"/>
  <c r="A236" i="7" l="1"/>
  <c r="C235" i="7"/>
  <c r="C274" i="7"/>
  <c r="A275" i="7"/>
  <c r="A195" i="7"/>
  <c r="C194" i="7"/>
  <c r="B156" i="7"/>
  <c r="C155" i="7"/>
  <c r="C87" i="7"/>
  <c r="A88" i="7"/>
  <c r="A89" i="7" l="1"/>
  <c r="C88" i="7"/>
  <c r="B157" i="7"/>
  <c r="C156" i="7"/>
  <c r="C195" i="7"/>
  <c r="A196" i="7"/>
  <c r="A276" i="7"/>
  <c r="C275" i="7"/>
  <c r="A237" i="7"/>
  <c r="C236" i="7"/>
  <c r="A197" i="7" l="1"/>
  <c r="C196" i="7"/>
  <c r="B158" i="7"/>
  <c r="C157" i="7"/>
  <c r="C237" i="7"/>
  <c r="A238" i="7"/>
  <c r="C276" i="7"/>
  <c r="A277" i="7"/>
  <c r="A90" i="7"/>
  <c r="C89" i="7"/>
  <c r="A239" i="7" l="1"/>
  <c r="C239" i="7" s="1"/>
  <c r="C238" i="7"/>
  <c r="A91" i="7"/>
  <c r="C90" i="7"/>
  <c r="C277" i="7"/>
  <c r="A278" i="7"/>
  <c r="B159" i="7"/>
  <c r="C159" i="7" s="1"/>
  <c r="C158" i="7"/>
  <c r="A198" i="7"/>
  <c r="C197" i="7"/>
  <c r="A279" i="7" l="1"/>
  <c r="C278" i="7"/>
  <c r="A92" i="7"/>
  <c r="C91" i="7"/>
  <c r="A199" i="7"/>
  <c r="C199" i="7" s="1"/>
  <c r="C198" i="7"/>
  <c r="A93" i="7" l="1"/>
  <c r="C92" i="7"/>
  <c r="A280" i="7"/>
  <c r="C279" i="7"/>
  <c r="A281" i="7" l="1"/>
  <c r="C280" i="7"/>
  <c r="A94" i="7"/>
  <c r="C93" i="7"/>
  <c r="A95" i="7" l="1"/>
  <c r="C94" i="7"/>
  <c r="A282" i="7"/>
  <c r="C281" i="7"/>
  <c r="A283" i="7" l="1"/>
  <c r="C282" i="7"/>
  <c r="A96" i="7"/>
  <c r="C95" i="7"/>
  <c r="C96" i="7" l="1"/>
  <c r="A97" i="7"/>
  <c r="C283" i="7"/>
  <c r="A284" i="7"/>
  <c r="C284" i="7" l="1"/>
  <c r="A285" i="7"/>
  <c r="A98" i="7"/>
  <c r="C97" i="7"/>
  <c r="A286" i="7" l="1"/>
  <c r="C285" i="7"/>
  <c r="A99" i="7"/>
  <c r="C98" i="7"/>
  <c r="A100" i="7" l="1"/>
  <c r="C99" i="7"/>
  <c r="A287" i="7"/>
  <c r="C286" i="7"/>
  <c r="A288" i="7" l="1"/>
  <c r="C287" i="7"/>
  <c r="A101" i="7"/>
  <c r="C100" i="7"/>
  <c r="C101" i="7" l="1"/>
  <c r="A102" i="7"/>
  <c r="A289" i="7"/>
  <c r="C288" i="7"/>
  <c r="A290" i="7" l="1"/>
  <c r="C289" i="7"/>
  <c r="A103" i="7"/>
  <c r="C102" i="7"/>
  <c r="A104" i="7" l="1"/>
  <c r="C103" i="7"/>
  <c r="A291" i="7"/>
  <c r="C290" i="7"/>
  <c r="A105" i="7" l="1"/>
  <c r="C104" i="7"/>
  <c r="C291" i="7"/>
  <c r="A292" i="7"/>
  <c r="A293" i="7" l="1"/>
  <c r="C292" i="7"/>
  <c r="A106" i="7"/>
  <c r="C105" i="7"/>
  <c r="A107" i="7" l="1"/>
  <c r="C106" i="7"/>
  <c r="A294" i="7"/>
  <c r="C293" i="7"/>
  <c r="A295" i="7" l="1"/>
  <c r="C294" i="7"/>
  <c r="A108" i="7"/>
  <c r="C107" i="7"/>
  <c r="C108" i="7" l="1"/>
  <c r="A109" i="7"/>
  <c r="A296" i="7"/>
  <c r="C295" i="7"/>
  <c r="A110" i="7" l="1"/>
  <c r="C109" i="7"/>
  <c r="A297" i="7"/>
  <c r="C296" i="7"/>
  <c r="C297" i="7" l="1"/>
  <c r="A298" i="7"/>
  <c r="A111" i="7"/>
  <c r="C110" i="7"/>
  <c r="C298" i="7" l="1"/>
  <c r="A299" i="7"/>
  <c r="A112" i="7"/>
  <c r="C111" i="7"/>
  <c r="A300" i="7" l="1"/>
  <c r="C300" i="7" s="1"/>
  <c r="C299" i="7"/>
  <c r="A113" i="7"/>
  <c r="C112" i="7"/>
  <c r="A114" i="7" l="1"/>
  <c r="C113" i="7"/>
  <c r="A115" i="7" l="1"/>
  <c r="C114" i="7"/>
  <c r="C115" i="7" l="1"/>
  <c r="A116" i="7"/>
  <c r="A117" i="7" l="1"/>
  <c r="C116" i="7"/>
  <c r="C117" i="7" l="1"/>
  <c r="A118" i="7"/>
  <c r="A119" i="7" l="1"/>
  <c r="C119" i="7" s="1"/>
  <c r="C118" i="7"/>
</calcChain>
</file>

<file path=xl/sharedStrings.xml><?xml version="1.0" encoding="utf-8"?>
<sst xmlns="http://schemas.openxmlformats.org/spreadsheetml/2006/main" count="5291" uniqueCount="3797">
  <si>
    <t>#</t>
  </si>
  <si>
    <t>유비</t>
  </si>
  <si>
    <t>#Mission Key</t>
  </si>
  <si>
    <t>key</t>
  </si>
  <si>
    <t>kr</t>
  </si>
  <si>
    <t>LiuBei</t>
  </si>
  <si>
    <t>en</t>
  </si>
  <si>
    <t>관우</t>
  </si>
  <si>
    <t>GuanYu</t>
  </si>
  <si>
    <t>cn</t>
  </si>
  <si>
    <t>장비</t>
  </si>
  <si>
    <t>string</t>
  </si>
  <si>
    <t>ZhangFei</t>
  </si>
  <si>
    <t>조운</t>
  </si>
  <si>
    <t>ZhaoYun</t>
  </si>
  <si>
    <t>none</t>
  </si>
  <si>
    <t>황충</t>
  </si>
  <si>
    <t>HuangZhong</t>
  </si>
  <si>
    <t>제갈량</t>
  </si>
  <si>
    <t>ZhugeLiang</t>
  </si>
  <si>
    <t>조조</t>
  </si>
  <si>
    <t>CaoCao</t>
  </si>
  <si>
    <t>조인</t>
  </si>
  <si>
    <t>CaoRen</t>
  </si>
  <si>
    <t>하후돈</t>
  </si>
  <si>
    <t>XiahouDun</t>
  </si>
  <si>
    <t>장료</t>
  </si>
  <si>
    <t>ZhangLiao</t>
  </si>
  <si>
    <t>하후연</t>
  </si>
  <si>
    <t>XiahouYuan</t>
  </si>
  <si>
    <t>BATTLESTAT_ATTACK_POWER</t>
  </si>
  <si>
    <t>공격력</t>
  </si>
  <si>
    <t>ATK</t>
  </si>
  <si>
    <t>攻击力</t>
  </si>
  <si>
    <t>BATTLESTAT_ATTACK_SPEED</t>
  </si>
  <si>
    <t>military_training</t>
  </si>
  <si>
    <t>공격속도</t>
  </si>
  <si>
    <t>A.SPD</t>
  </si>
  <si>
    <t>攻击速度</t>
  </si>
  <si>
    <t>BATTLESTAT_BOSS_DAMAGE</t>
  </si>
  <si>
    <t>보스피해량</t>
  </si>
  <si>
    <t>BossDMG</t>
  </si>
  <si>
    <t>Boss伤害</t>
  </si>
  <si>
    <t>순욱</t>
  </si>
  <si>
    <t>XunYu</t>
  </si>
  <si>
    <t>전체</t>
  </si>
  <si>
    <t>BATTLESTAT_COOLDOWN_RATE</t>
  </si>
  <si>
    <t>All</t>
  </si>
  <si>
    <t>쿨타임감소</t>
  </si>
  <si>
    <t>全部</t>
  </si>
  <si>
    <t>손견</t>
  </si>
  <si>
    <t>SunJian</t>
  </si>
  <si>
    <t>Cooldown</t>
  </si>
  <si>
    <t>冷却缩减</t>
  </si>
  <si>
    <t>Currency</t>
  </si>
  <si>
    <t>손권</t>
  </si>
  <si>
    <t>SunQuan</t>
  </si>
  <si>
    <t>BATTLESTAT_CRITICAL_DAMAGE</t>
  </si>
  <si>
    <t>치명위력</t>
  </si>
  <si>
    <t>Cri.DMG</t>
  </si>
  <si>
    <t>황개</t>
  </si>
  <si>
    <t>재화</t>
  </si>
  <si>
    <t>暴击威力</t>
  </si>
  <si>
    <t>HuangGai</t>
  </si>
  <si>
    <t>货币</t>
  </si>
  <si>
    <t>손책</t>
  </si>
  <si>
    <t>BATTLESTAT_CRITICAL_RATE</t>
  </si>
  <si>
    <t>Soul_Stone</t>
  </si>
  <si>
    <t>SunCe</t>
  </si>
  <si>
    <t>치명타율</t>
  </si>
  <si>
    <t>Cri.Rate</t>
  </si>
  <si>
    <t>暴击率</t>
  </si>
  <si>
    <t>태사자</t>
  </si>
  <si>
    <t>영혼석</t>
  </si>
  <si>
    <t>TaishiCi</t>
  </si>
  <si>
    <t>Soul Stone</t>
  </si>
  <si>
    <t>BATTLESTAT_DEFENCE</t>
  </si>
  <si>
    <t>魂石</t>
  </si>
  <si>
    <t>한당</t>
  </si>
  <si>
    <t>방어력</t>
  </si>
  <si>
    <t>HanDang</t>
  </si>
  <si>
    <t>DEF</t>
  </si>
  <si>
    <t>Bundle</t>
  </si>
  <si>
    <t>防御力</t>
  </si>
  <si>
    <t>주유</t>
  </si>
  <si>
    <t>ZhouYu</t>
  </si>
  <si>
    <t>번들</t>
  </si>
  <si>
    <t>BATTLESTAT_HEALTH_MAX</t>
  </si>
  <si>
    <t>체력</t>
  </si>
  <si>
    <t>여포</t>
  </si>
  <si>
    <t>礼包</t>
  </si>
  <si>
    <t>LuBu</t>
  </si>
  <si>
    <t>HP</t>
  </si>
  <si>
    <t>生命值</t>
  </si>
  <si>
    <t>Item</t>
  </si>
  <si>
    <t>원소</t>
  </si>
  <si>
    <t>BATTLESTAT_LIFE_STEAL</t>
  </si>
  <si>
    <t>YuanShao</t>
  </si>
  <si>
    <t>아이템</t>
  </si>
  <si>
    <t>군사 훈련 지휘</t>
  </si>
  <si>
    <t>체력흡수</t>
  </si>
  <si>
    <t>Command Military Training</t>
  </si>
  <si>
    <t>道具</t>
  </si>
  <si>
    <t>Lifesteal</t>
  </si>
  <si>
    <t>안량</t>
  </si>
  <si>
    <t>生命汲取</t>
  </si>
  <si>
    <t>YanLiang</t>
  </si>
  <si>
    <t>TreasurePiece</t>
  </si>
  <si>
    <t>BATTLESTAT_MOVE_SPEED</t>
  </si>
  <si>
    <t>문추</t>
  </si>
  <si>
    <t>이동속도</t>
  </si>
  <si>
    <t>WenChou</t>
  </si>
  <si>
    <t>보물 파편</t>
  </si>
  <si>
    <t>指挥军事训练</t>
  </si>
  <si>
    <t>M.SPD</t>
  </si>
  <si>
    <t>Treasure Shard</t>
  </si>
  <si>
    <t>移动速度</t>
  </si>
  <si>
    <t>宝物碎片</t>
  </si>
  <si>
    <t>송헌</t>
  </si>
  <si>
    <t>SongXian</t>
  </si>
  <si>
    <t>BUTTON_BACK</t>
  </si>
  <si>
    <t>rally_remnants</t>
  </si>
  <si>
    <t>위속</t>
  </si>
  <si>
    <t>WeiXU</t>
  </si>
  <si>
    <t>연회권</t>
  </si>
  <si>
    <t>Banquet Ticket</t>
  </si>
  <si>
    <t>돌아가기</t>
  </si>
  <si>
    <t>서황</t>
  </si>
  <si>
    <t>宴会券</t>
  </si>
  <si>
    <t>패잔병 수습</t>
  </si>
  <si>
    <t>XuHuang</t>
  </si>
  <si>
    <t>Rally the Remnants</t>
  </si>
  <si>
    <t>Treasure</t>
  </si>
  <si>
    <t>收拢残兵</t>
  </si>
  <si>
    <t>범강</t>
  </si>
  <si>
    <t>FanJiang</t>
  </si>
  <si>
    <t>보물</t>
  </si>
  <si>
    <t>返回</t>
  </si>
  <si>
    <t>장달</t>
  </si>
  <si>
    <t>bandit_subjugation</t>
  </si>
  <si>
    <t>宝物</t>
  </si>
  <si>
    <t>ZhangDa</t>
  </si>
  <si>
    <t>BUTTON_CANCEL</t>
  </si>
  <si>
    <t>취소</t>
  </si>
  <si>
    <t>ContentsTicket</t>
  </si>
  <si>
    <t>산적 토벌</t>
  </si>
  <si>
    <t>取消</t>
  </si>
  <si>
    <t>Subjugate Bandits</t>
  </si>
  <si>
    <t>입장권</t>
  </si>
  <si>
    <t>Entry Ticket</t>
  </si>
  <si>
    <t>讨伐山贼</t>
  </si>
  <si>
    <t>入场券</t>
  </si>
  <si>
    <t>BUTTON_CHOICE</t>
  </si>
  <si>
    <t>선택하기</t>
  </si>
  <si>
    <t>Select</t>
  </si>
  <si>
    <t>选择</t>
  </si>
  <si>
    <t>MAX</t>
  </si>
  <si>
    <t>border_defense</t>
  </si>
  <si>
    <t>BUTTON_CHOICE_RUN</t>
  </si>
  <si>
    <t>기타</t>
  </si>
  <si>
    <t>변경 수비</t>
  </si>
  <si>
    <t>선택중</t>
  </si>
  <si>
    <t>Other</t>
  </si>
  <si>
    <t>Selecting</t>
  </si>
  <si>
    <t>Defend the Frontier</t>
  </si>
  <si>
    <t>其他</t>
  </si>
  <si>
    <t>选择中</t>
  </si>
  <si>
    <t>镇守边境</t>
  </si>
  <si>
    <t>BUTTON_COMPLETE</t>
  </si>
  <si>
    <t>완료</t>
  </si>
  <si>
    <t>tax_reform</t>
  </si>
  <si>
    <t>Complete</t>
  </si>
  <si>
    <t>完成</t>
  </si>
  <si>
    <t>조세 제도 정비</t>
  </si>
  <si>
    <t>BUTTON_CONFIRM</t>
  </si>
  <si>
    <t>Reform the Tax System</t>
  </si>
  <si>
    <t>확인</t>
  </si>
  <si>
    <t>整顿税制</t>
  </si>
  <si>
    <t>确认</t>
  </si>
  <si>
    <t>BUTTON_EDIT</t>
  </si>
  <si>
    <t>foreign_diplomacy</t>
  </si>
  <si>
    <t>편집</t>
  </si>
  <si>
    <t>编辑</t>
  </si>
  <si>
    <t>인근 제후국 외교</t>
  </si>
  <si>
    <t>BUTTON_ENCHANT</t>
  </si>
  <si>
    <t>Diplomacy with Neighboring Lords</t>
  </si>
  <si>
    <t>[{0}] 영혼석</t>
  </si>
  <si>
    <t>성장</t>
  </si>
  <si>
    <t>[{0}] Soul Stone</t>
  </si>
  <si>
    <t>邻近诸侯外交</t>
  </si>
  <si>
    <t>[{0}]魂石</t>
  </si>
  <si>
    <t>成长</t>
  </si>
  <si>
    <t>enemy_intelligence</t>
  </si>
  <si>
    <t>BUTTON_GET</t>
  </si>
  <si>
    <t>획득하기</t>
  </si>
  <si>
    <t>금화</t>
  </si>
  <si>
    <t>Gold</t>
  </si>
  <si>
    <t>获得</t>
  </si>
  <si>
    <t>적진 첩보 수집</t>
  </si>
  <si>
    <t>Gather Enemy Intelligence</t>
  </si>
  <si>
    <t>金币</t>
  </si>
  <si>
    <t>BUTTON_GIVE_UP</t>
  </si>
  <si>
    <t>收集敌营情报</t>
  </si>
  <si>
    <t>포기하기</t>
  </si>
  <si>
    <t>rice</t>
  </si>
  <si>
    <t>Give Up</t>
  </si>
  <si>
    <t>放弃</t>
  </si>
  <si>
    <t>tactics_research</t>
  </si>
  <si>
    <t>군량</t>
  </si>
  <si>
    <t>Provisions</t>
  </si>
  <si>
    <t>军粮</t>
  </si>
  <si>
    <t>BUTTON_NAVIGATION</t>
  </si>
  <si>
    <t>이동</t>
  </si>
  <si>
    <t>병법서 연구</t>
  </si>
  <si>
    <t>Study the Art of War</t>
  </si>
  <si>
    <t>移动</t>
  </si>
  <si>
    <t>研读兵书</t>
  </si>
  <si>
    <t>시간석</t>
  </si>
  <si>
    <t>BUTTON_PLAY_RUN</t>
  </si>
  <si>
    <t>Time Stone</t>
  </si>
  <si>
    <t>재생중</t>
  </si>
  <si>
    <t>时之石</t>
  </si>
  <si>
    <t>refugee_persuasion</t>
  </si>
  <si>
    <t>播放中</t>
  </si>
  <si>
    <t>유랑민 귀순 설득</t>
  </si>
  <si>
    <t>BUTTON_PLAY</t>
  </si>
  <si>
    <t>재생하기</t>
  </si>
  <si>
    <t>Persuade Refugees to Submit</t>
  </si>
  <si>
    <t>劝降流民归顺</t>
  </si>
  <si>
    <t>播放</t>
  </si>
  <si>
    <t>BUTTON_READ</t>
  </si>
  <si>
    <t>recruit_talent</t>
  </si>
  <si>
    <t>보기</t>
  </si>
  <si>
    <t>查看</t>
  </si>
  <si>
    <t>재야 인재 영입</t>
  </si>
  <si>
    <t>BUTTON_RECEIVE</t>
  </si>
  <si>
    <t>Recruit Hidden Talent</t>
  </si>
  <si>
    <t>받기</t>
  </si>
  <si>
    <t>招揽在野人才</t>
  </si>
  <si>
    <t>领取</t>
  </si>
  <si>
    <t>BUTTON_SAVE</t>
  </si>
  <si>
    <t>저장</t>
  </si>
  <si>
    <t>保存</t>
  </si>
  <si>
    <t>BUTTON_TRAITS_CREATE</t>
  </si>
  <si>
    <t>부여</t>
  </si>
  <si>
    <t>赋予</t>
  </si>
  <si>
    <t>BUTTON_UPGRADE_GRADE</t>
  </si>
  <si>
    <t>승급</t>
  </si>
  <si>
    <t>晋级</t>
  </si>
  <si>
    <t>CASTLE_JOB</t>
  </si>
  <si>
    <t>파견</t>
  </si>
  <si>
    <t>派遣</t>
  </si>
  <si>
    <t>CASTLE_MENU_INFO</t>
  </si>
  <si>
    <t>개요</t>
  </si>
  <si>
    <t>Overview</t>
  </si>
  <si>
    <t>概要</t>
  </si>
  <si>
    <t>CASTLE_MENU_MERCHANT</t>
  </si>
  <si>
    <t>행상</t>
  </si>
  <si>
    <t>行商</t>
  </si>
  <si>
    <t>CASTLE_MENU_OFFICE</t>
  </si>
  <si>
    <t>전용 영혼석</t>
  </si>
  <si>
    <t>CASTLE_MENU_SETTING</t>
  </si>
  <si>
    <t>관리</t>
  </si>
  <si>
    <t>Manage</t>
  </si>
  <si>
    <t>管理</t>
  </si>
  <si>
    <t>CASTLE_NEED_VALUE_STAT</t>
  </si>
  <si>
    <t>필요 {0} 수치</t>
  </si>
  <si>
    <t>Required {0}</t>
  </si>
  <si>
    <t>所需{0}数值</t>
  </si>
  <si>
    <t>CASTLE_OBJECT_FARM</t>
  </si>
  <si>
    <t>농지</t>
  </si>
  <si>
    <t>农田</t>
  </si>
  <si>
    <t>CASTLE_OBJECT_GATE</t>
  </si>
  <si>
    <t>성문</t>
  </si>
  <si>
    <t>城门</t>
  </si>
  <si>
    <t>CASTLE_OBJECT_MARKET</t>
  </si>
  <si>
    <t>시장</t>
  </si>
  <si>
    <t>市场</t>
  </si>
  <si>
    <t>CASTLE_OBJECT_MERCHANT</t>
  </si>
  <si>
    <t>보물 조각</t>
  </si>
  <si>
    <t>CASTLE_OBJECT_OFFICE</t>
  </si>
  <si>
    <t>관아</t>
  </si>
  <si>
    <t>官府</t>
  </si>
  <si>
    <t>CASTLE_OBJECT_PALACE</t>
  </si>
  <si>
    <t>궁성</t>
  </si>
  <si>
    <t>宫城</t>
  </si>
  <si>
    <t>CASTLE_SET_GATE_AD_MINUS_RATE</t>
  </si>
  <si>
    <t>도적 유지 시간</t>
  </si>
  <si>
    <t>Bandit Duration</t>
  </si>
  <si>
    <t>盗贼持续时间</t>
  </si>
  <si>
    <t>CASTLE_SET_GATE_CLAIM</t>
  </si>
  <si>
    <t>군량/금화 수령시 획득량</t>
  </si>
  <si>
    <t>Provisions/Gold per Claim</t>
  </si>
  <si>
    <t>领取军粮/金币时的获得量</t>
  </si>
  <si>
    <t>CASTLE_SET_GATE_DC_RATE</t>
  </si>
  <si>
    <t>상점 할인율</t>
  </si>
  <si>
    <t>Shop Discount</t>
  </si>
  <si>
    <t>商店折扣率</t>
  </si>
  <si>
    <t>CASTLE_SET_GATE_HIGH_GRADE_RATE</t>
  </si>
  <si>
    <t>높은 등급 등장 확률 감소</t>
  </si>
  <si>
    <t>Reduced High-Grade Rate</t>
  </si>
  <si>
    <t>高品阶出现概率降低</t>
  </si>
  <si>
    <t>CASTLE_SET_GATE_TITLE</t>
  </si>
  <si>
    <t>청렴도 영향</t>
  </si>
  <si>
    <t>Integrity Effects</t>
  </si>
  <si>
    <t>廉洁度影响</t>
  </si>
  <si>
    <t>CASTLE_SET_PAL_AD_MINUS_RATE</t>
  </si>
  <si>
    <t>광고 회당 단축</t>
  </si>
  <si>
    <t>레이드 포인트</t>
  </si>
  <si>
    <t>Time reduced per ad</t>
  </si>
  <si>
    <t>每次广告缩短时间</t>
  </si>
  <si>
    <t>CASTLE_SET_PAL_FARM</t>
  </si>
  <si>
    <t>Commander</t>
  </si>
  <si>
    <t>군량 획득량</t>
  </si>
  <si>
    <t>Provisions Yield</t>
  </si>
  <si>
    <t>军粮获得量</t>
  </si>
  <si>
    <t>CASTLE_SET_PAL_LEVEL_MAX</t>
  </si>
  <si>
    <t>건물 레벨 상한선</t>
  </si>
  <si>
    <t>Building Level Cap</t>
  </si>
  <si>
    <t>建筑等级上限</t>
  </si>
  <si>
    <t>CASTLE_SET_PAL_MARKET</t>
  </si>
  <si>
    <t>금화 획득량</t>
  </si>
  <si>
    <t>Gold Yield</t>
  </si>
  <si>
    <t>金币获得量</t>
  </si>
  <si>
    <t>CASTLE_SET_PAL_TIME_STONE_RATE</t>
  </si>
  <si>
    <t>시간석 개당 단축</t>
  </si>
  <si>
    <t>Time reduced per Time Stone</t>
  </si>
  <si>
    <t>每个时之石缩短时间</t>
  </si>
  <si>
    <t>Champion</t>
  </si>
  <si>
    <t>CASTLE_SETTING_BATCH_COUNT</t>
  </si>
  <si>
    <t>Deployed Officers</t>
  </si>
  <si>
    <t>部署武将数</t>
  </si>
  <si>
    <t>Vanguard</t>
  </si>
  <si>
    <t>CASTLE_SETTING_CLAIM_PER_SECOND</t>
  </si>
  <si>
    <t>초당 획득량</t>
  </si>
  <si>
    <t>Yield per Second</t>
  </si>
  <si>
    <t>每秒获得量</t>
  </si>
  <si>
    <t>CASTLE_SETTING_MAX</t>
  </si>
  <si>
    <t>Chaser</t>
  </si>
  <si>
    <t>보유량 한도</t>
  </si>
  <si>
    <t>Storage Limit</t>
  </si>
  <si>
    <t>保有量上限</t>
  </si>
  <si>
    <t>CASTLE_SETTING_REWARD</t>
  </si>
  <si>
    <t>효과</t>
  </si>
  <si>
    <t>Effect</t>
  </si>
  <si>
    <t>效果</t>
  </si>
  <si>
    <t>Archer</t>
  </si>
  <si>
    <t>Strategist</t>
  </si>
  <si>
    <t>CASTLE_SETTING_STAT_MAX</t>
  </si>
  <si>
    <t>고유 능력치 요구</t>
  </si>
  <si>
    <t>Core Stat Required</t>
  </si>
  <si>
    <t>固有属性要求</t>
  </si>
  <si>
    <t>CASTLE_SETTING_UPGRADE_INVALID</t>
  </si>
  <si>
    <t>CASTLE_SETTING_UPGRADE_TIME</t>
  </si>
  <si>
    <t>증축 시간</t>
  </si>
  <si>
    <t>Expansion Time</t>
  </si>
  <si>
    <t>扩建时间</t>
  </si>
  <si>
    <t>CASTLE_SETTING_UPGRADE_VALID</t>
  </si>
  <si>
    <t>증축 시작</t>
  </si>
  <si>
    <t>开始扩建</t>
  </si>
  <si>
    <t>CASTLE_STAT_EFF_GATE</t>
  </si>
  <si>
    <t>(청렴도 {0})</t>
  </si>
  <si>
    <t>(Integrity {0})</t>
  </si>
  <si>
    <t>（廉洁度{0}）</t>
  </si>
  <si>
    <t>CASTLE_STAT_EFF_GATE_SEC</t>
  </si>
  <si>
    <t>(치안율 {0})</t>
  </si>
  <si>
    <t>(Security {0})</t>
  </si>
  <si>
    <t>（治安率{0}）</t>
  </si>
  <si>
    <t>CASTLE_STAT_EFF_MARKET</t>
  </si>
  <si>
    <t>(획득량 {0})</t>
  </si>
  <si>
    <t>(Yield {0})</t>
  </si>
  <si>
    <t>（获得量{0}）</t>
  </si>
  <si>
    <t>CASTLE_STAT_EFF_MARKET_SEC</t>
  </si>
  <si>
    <t>(최대치 {0})</t>
  </si>
  <si>
    <t>(Max {0})</t>
  </si>
  <si>
    <t>（最大值{0}）</t>
  </si>
  <si>
    <t>CASTLE_STAT_EFF_MERCHANT</t>
  </si>
  <si>
    <t>(할인율 {0})</t>
  </si>
  <si>
    <t>(Discount {0})</t>
  </si>
  <si>
    <t>（折扣率{0}）</t>
  </si>
  <si>
    <t>CASTLE_STAT_EFF_MERCHANT_SEC</t>
  </si>
  <si>
    <t>(판매 개수 {0})</t>
  </si>
  <si>
    <t>(Stock {0})</t>
  </si>
  <si>
    <t>（售卖数量{0}）</t>
  </si>
  <si>
    <t>CASTLE_STAT_EFF_PALACE</t>
  </si>
  <si>
    <t>(고유 능력치 감소 {0})</t>
  </si>
  <si>
    <t>(Core Stat Reduction {0})</t>
  </si>
  <si>
    <t>（固有属性降低{0}）</t>
  </si>
  <si>
    <t>CASTLE_TITLE</t>
  </si>
  <si>
    <t>영지</t>
  </si>
  <si>
    <t>Domain</t>
  </si>
  <si>
    <t>领地</t>
  </si>
  <si>
    <t>군사중랑장</t>
  </si>
  <si>
    <t>Chief Military Adviser</t>
  </si>
  <si>
    <t>军师中郎将</t>
  </si>
  <si>
    <t>상서령</t>
  </si>
  <si>
    <t>Secretariat Director</t>
  </si>
  <si>
    <t>尚书令</t>
  </si>
  <si>
    <t>용의 전사</t>
  </si>
  <si>
    <t>Dragon Warrior</t>
  </si>
  <si>
    <t>龙之战士</t>
  </si>
  <si>
    <t>좌장군</t>
  </si>
  <si>
    <t>左将军</t>
  </si>
  <si>
    <t>후장군</t>
  </si>
  <si>
    <t>后将军</t>
  </si>
  <si>
    <t>우장군</t>
  </si>
  <si>
    <t>右将军</t>
  </si>
  <si>
    <t>전장군</t>
  </si>
  <si>
    <t>前将军</t>
  </si>
  <si>
    <t>대장군</t>
  </si>
  <si>
    <t>Grand General</t>
  </si>
  <si>
    <t>大将军</t>
  </si>
  <si>
    <t>군사</t>
  </si>
  <si>
    <t>Grand Strategist</t>
  </si>
  <si>
    <t>军师</t>
  </si>
  <si>
    <t>어사중승</t>
  </si>
  <si>
    <t>Vice Censor-in-Chief</t>
  </si>
  <si>
    <t>御史中丞</t>
  </si>
  <si>
    <t>승상</t>
  </si>
  <si>
    <t>Prime Minister</t>
  </si>
  <si>
    <t>丞相</t>
  </si>
  <si>
    <t>탕구장군</t>
  </si>
  <si>
    <t>荡寇将军</t>
  </si>
  <si>
    <t>아문장군</t>
  </si>
  <si>
    <t>牙门将军</t>
  </si>
  <si>
    <t>파적장군</t>
  </si>
  <si>
    <t>破贼将军</t>
  </si>
  <si>
    <t>COMPLETE</t>
  </si>
  <si>
    <t>COMPLETE_REWARD</t>
  </si>
  <si>
    <t>획득완료</t>
  </si>
  <si>
    <t>Claimed</t>
  </si>
  <si>
    <t>已获得</t>
  </si>
  <si>
    <t>CONTENTS_MARKET_TAB_DAILY</t>
  </si>
  <si>
    <t>일일상점</t>
  </si>
  <si>
    <t>每日商店</t>
  </si>
  <si>
    <t>CONTENTS_MARKET_TAB_DAILY_DESC</t>
  </si>
  <si>
    <t>상품은 매일 정해진 시간에 초기화되며, 등급에 따라 등장할 확률이 구분됩니다.&lt;br&gt;&lt;size=85%&gt;일반 : 50%&lt;pos=200&gt;정예 28%&lt;pos=400&gt;명장 : 14%&lt;br&gt;영웅 : 6%&lt;pos=200&gt;전설 : 2%&lt;/size&gt;</t>
  </si>
  <si>
    <t>商品每日在固定时间刷新，出现概率依品阶区分。&lt;br&gt;&lt;size=85%&gt;普通：50%&lt;pos=200&gt;精锐：28%&lt;pos=400&gt;名将：14%&lt;br&gt;英雄：6%&lt;pos=200&gt;传说：2%&lt;/size&gt;</t>
  </si>
  <si>
    <t>CONTENTS_MARKET_TAB_RAID</t>
  </si>
  <si>
    <t>파편상점</t>
  </si>
  <si>
    <t>碎片商店</t>
  </si>
  <si>
    <t>CONTENTS_MARKET_TAB_RAID_DESC</t>
  </si>
  <si>
    <t>레이드 처치 후 포인트를 획득하여 원하는 아이템으로 교환하세요!&lt;br&gt;*종료 기간까지 포인트를 사용하지 않을 경우 포인트는 소멸됩니다.</t>
  </si>
  <si>
    <t>Defeat raid bosses to earn points and trade them for the items you want!&lt;br&gt;*Any points left unspent by the end of the period will be lost.</t>
  </si>
  <si>
    <t>讨伐首领获得积分，兑换你想要的道具！&lt;br&gt;*若在结束期限前未使用积分，积分将会消失。</t>
  </si>
  <si>
    <t>CONTENTS_MARKET_TAB_TOURNAMENT</t>
  </si>
  <si>
    <t>비무상점</t>
  </si>
  <si>
    <t>比武商店</t>
  </si>
  <si>
    <t>#type</t>
  </si>
  <si>
    <t>CONTENTS_MARKET_TAB_TOURNAMENT_DESC</t>
  </si>
  <si>
    <t>비무대회 참여 후 포인트를 획득하여 원하는 아이템으로 교환하세요!</t>
  </si>
  <si>
    <t>Take part in the Tournament to earn points and trade them for the items you want!</t>
  </si>
  <si>
    <t>#key</t>
  </si>
  <si>
    <t>参加比武大会获得积分，兑换你想要的道具！</t>
  </si>
  <si>
    <t>#region</t>
  </si>
  <si>
    <t>CORESTAT_CHARISMA</t>
  </si>
  <si>
    <t>매력</t>
  </si>
  <si>
    <t>Charisma</t>
  </si>
  <si>
    <t>魅力</t>
  </si>
  <si>
    <t>CORESTAT_INTELLECT</t>
  </si>
  <si>
    <t>지력</t>
  </si>
  <si>
    <t>Intellect</t>
  </si>
  <si>
    <t>智力</t>
  </si>
  <si>
    <t>CORESTAT_LEADERSHIP</t>
  </si>
  <si>
    <t>통솔</t>
  </si>
  <si>
    <t>Leadership</t>
  </si>
  <si>
    <t>统率</t>
  </si>
  <si>
    <t>CORESTAT_POLITICS</t>
  </si>
  <si>
    <t>정치</t>
  </si>
  <si>
    <t>Politics</t>
  </si>
  <si>
    <t>政治</t>
  </si>
  <si>
    <t>CORESTAT_STRENGTH</t>
  </si>
  <si>
    <t>무력</t>
  </si>
  <si>
    <t>Strength</t>
  </si>
  <si>
    <t>武力</t>
  </si>
  <si>
    <t>GRADE_DIFFICULT_ELITE</t>
  </si>
  <si>
    <t>난세</t>
  </si>
  <si>
    <t>乱世</t>
  </si>
  <si>
    <t>GRADE_DIFFICULT_GENERAL</t>
  </si>
  <si>
    <t>극한</t>
  </si>
  <si>
    <t>极限</t>
  </si>
  <si>
    <t>GRADE_DIFFICULT_HERO</t>
  </si>
  <si>
    <t>지옥</t>
  </si>
  <si>
    <t>地狱</t>
  </si>
  <si>
    <t>GRADE_DIFFICULT_LEGEND</t>
  </si>
  <si>
    <t>심연</t>
  </si>
  <si>
    <t>深渊</t>
  </si>
  <si>
    <t>GRADE_DIFFICULT_NORMAL</t>
  </si>
  <si>
    <t>일반</t>
  </si>
  <si>
    <t>普通</t>
  </si>
  <si>
    <t>GRADE_ELITE</t>
  </si>
  <si>
    <t>정예</t>
  </si>
  <si>
    <t>CLASSTYPE_ARCHER</t>
  </si>
  <si>
    <t>精锐</t>
  </si>
  <si>
    <t>궁장</t>
  </si>
  <si>
    <t>GRADE_GENERAL</t>
  </si>
  <si>
    <t>弓将</t>
  </si>
  <si>
    <t>명장</t>
  </si>
  <si>
    <t>名将</t>
  </si>
  <si>
    <t>GRADE_HERO</t>
  </si>
  <si>
    <t>영웅</t>
  </si>
  <si>
    <t>英雄</t>
  </si>
  <si>
    <t>GRADE_LEGEND</t>
  </si>
  <si>
    <t>CLASSTYPE_CHAMPION</t>
  </si>
  <si>
    <t>전설</t>
  </si>
  <si>
    <t>용장</t>
  </si>
  <si>
    <t>传说</t>
  </si>
  <si>
    <t>勇将</t>
  </si>
  <si>
    <t>GRADE_NORMAL</t>
  </si>
  <si>
    <t>GRADE_QUALITY_ELITE</t>
  </si>
  <si>
    <t>고급</t>
  </si>
  <si>
    <t>CLASSTYPE_CHASER</t>
  </si>
  <si>
    <t>高级</t>
  </si>
  <si>
    <t>추격자</t>
  </si>
  <si>
    <t>追击者</t>
  </si>
  <si>
    <t>GRADE_QUALITY_GENERAL</t>
  </si>
  <si>
    <t>희귀</t>
  </si>
  <si>
    <t>稀有</t>
  </si>
  <si>
    <t>GRADE_QUALITY_HERO</t>
  </si>
  <si>
    <t>명품</t>
  </si>
  <si>
    <t>珍品</t>
  </si>
  <si>
    <t>CLASSTYPE_COMMANDER</t>
  </si>
  <si>
    <t>지휘관</t>
  </si>
  <si>
    <t>GRADE_QUALITY_LEGEND</t>
  </si>
  <si>
    <t>국보</t>
  </si>
  <si>
    <t>指挥官</t>
  </si>
  <si>
    <t>国宝</t>
  </si>
  <si>
    <t>GRADE_QUALITY_NORMAL</t>
  </si>
  <si>
    <t>GRADE_RANK_ELITE</t>
  </si>
  <si>
    <t>CLASSTYPE_STRATEGIST</t>
  </si>
  <si>
    <t>책사</t>
  </si>
  <si>
    <t>谋士</t>
  </si>
  <si>
    <t>GRADE_RANK_GENERAL</t>
  </si>
  <si>
    <t>GRADE_RANK_HERO</t>
  </si>
  <si>
    <t>CLASSTYPE_VANGUARD</t>
  </si>
  <si>
    <t>선봉장</t>
  </si>
  <si>
    <t>先锋将</t>
  </si>
  <si>
    <t>GRADE_RANK_LEGEND</t>
  </si>
  <si>
    <t>GRADE_RANK_NORMAL</t>
  </si>
  <si>
    <t>COURTESY</t>
  </si>
  <si>
    <t>etc</t>
  </si>
  <si>
    <t>ITEM_NAME_DEDICATED_SOUL_STONE</t>
  </si>
  <si>
    <t>ITEM_NAME_GOLD</t>
  </si>
  <si>
    <t>ITEM_NAME_NORMAL_GACHA_TICKET</t>
  </si>
  <si>
    <t>ITEM_NAME_RICE</t>
  </si>
  <si>
    <t>ITEM_NAME_TIME_STONE</t>
  </si>
  <si>
    <t>L_BOT_BOSS</t>
  </si>
  <si>
    <t>던전</t>
  </si>
  <si>
    <t>副本</t>
  </si>
  <si>
    <t>L_BOT_CASTLE</t>
  </si>
  <si>
    <t>봉선</t>
  </si>
  <si>
    <t>Fengxian</t>
  </si>
  <si>
    <t>奉先</t>
  </si>
  <si>
    <t>L_BOT_HERO</t>
  </si>
  <si>
    <t>武将</t>
  </si>
  <si>
    <t>L_BOT_SHOP</t>
  </si>
  <si>
    <t>상점</t>
  </si>
  <si>
    <t>Shop</t>
  </si>
  <si>
    <t>shu</t>
  </si>
  <si>
    <t>商店</t>
  </si>
  <si>
    <t>L_BOT_SUMMON</t>
  </si>
  <si>
    <t>운장</t>
  </si>
  <si>
    <t>연회</t>
  </si>
  <si>
    <t>Yunchang</t>
  </si>
  <si>
    <t>Banquet</t>
  </si>
  <si>
    <t>云长</t>
  </si>
  <si>
    <t>宴会</t>
  </si>
  <si>
    <t>L_HERO_RELIC_CHOICE_COUNT</t>
  </si>
  <si>
    <t>선택한 보물</t>
  </si>
  <si>
    <t>已选宝物</t>
  </si>
  <si>
    <t>L_HERO_TITLE_COLLECTION</t>
  </si>
  <si>
    <t>인연</t>
  </si>
  <si>
    <t>Bonds</t>
  </si>
  <si>
    <t>羁绊</t>
  </si>
  <si>
    <t>L_HERO_TITLE_HERO</t>
  </si>
  <si>
    <t>항승</t>
  </si>
  <si>
    <t>Hansheng</t>
  </si>
  <si>
    <t>汉升</t>
  </si>
  <si>
    <t>L_HERO_TITLE_RELIC</t>
  </si>
  <si>
    <t>유물</t>
  </si>
  <si>
    <t>遗物</t>
  </si>
  <si>
    <t>MENU_EXIT</t>
  </si>
  <si>
    <t>나가기</t>
  </si>
  <si>
    <t>退出</t>
  </si>
  <si>
    <t>현덕</t>
  </si>
  <si>
    <t>Xuande</t>
  </si>
  <si>
    <t>INVENTORY</t>
  </si>
  <si>
    <t>玄德</t>
  </si>
  <si>
    <t>익덕</t>
  </si>
  <si>
    <t>Yide</t>
  </si>
  <si>
    <t>益德</t>
  </si>
  <si>
    <t>보관함</t>
  </si>
  <si>
    <t>Inventory</t>
  </si>
  <si>
    <t>仓库</t>
  </si>
  <si>
    <t>NOTI</t>
  </si>
  <si>
    <t>공지사항</t>
  </si>
  <si>
    <t>公告</t>
  </si>
  <si>
    <t>PASS</t>
  </si>
  <si>
    <t>자룡</t>
  </si>
  <si>
    <t>Zilong</t>
  </si>
  <si>
    <t>논공행상</t>
  </si>
  <si>
    <t>子龙</t>
  </si>
  <si>
    <t>论功行赏</t>
  </si>
  <si>
    <t>POST</t>
  </si>
  <si>
    <t>우편함</t>
  </si>
  <si>
    <t>Mailbox</t>
  </si>
  <si>
    <t>邮箱</t>
  </si>
  <si>
    <t>QUEST</t>
  </si>
  <si>
    <t>공명</t>
  </si>
  <si>
    <t>임무</t>
  </si>
  <si>
    <t>Quests</t>
  </si>
  <si>
    <t>Kongming</t>
  </si>
  <si>
    <t>任务</t>
  </si>
  <si>
    <t>孔明</t>
  </si>
  <si>
    <t>MENU_REBIRTH</t>
  </si>
  <si>
    <t>회귀</t>
  </si>
  <si>
    <t>Rewind</t>
  </si>
  <si>
    <t>轮回</t>
  </si>
  <si>
    <t>MENU_SETTING</t>
  </si>
  <si>
    <t>설정</t>
  </si>
  <si>
    <t>Settings</t>
  </si>
  <si>
    <t>设置</t>
  </si>
  <si>
    <t>wei</t>
  </si>
  <si>
    <t>일일</t>
  </si>
  <si>
    <t>Daily</t>
  </si>
  <si>
    <t>每日</t>
  </si>
  <si>
    <t>맹덕</t>
  </si>
  <si>
    <t>Mengde</t>
  </si>
  <si>
    <t>Seasonal</t>
  </si>
  <si>
    <t>孟德</t>
  </si>
  <si>
    <t>限期</t>
  </si>
  <si>
    <t>주간</t>
  </si>
  <si>
    <t>Weekly</t>
  </si>
  <si>
    <t>每周</t>
  </si>
  <si>
    <t>POPUP_HERO_INFO_AUTO_CLOSE</t>
  </si>
  <si>
    <t>{0}초 후 닫힘. 터치하면 취소됩니다.</t>
  </si>
  <si>
    <t>Closes in {0}s. Tap to cancel.</t>
  </si>
  <si>
    <t>{0}秒后关闭。点击即可取消。</t>
  </si>
  <si>
    <t>POPUP_REGION_CHARACTERS</t>
  </si>
  <si>
    <t>Signature Officers</t>
  </si>
  <si>
    <t>代表武将</t>
  </si>
  <si>
    <t>자효</t>
  </si>
  <si>
    <t>Zixiao</t>
  </si>
  <si>
    <t>POPUP_REGION_SELECT_INFO</t>
  </si>
  <si>
    <t>子孝</t>
  </si>
  <si>
    <t>군주를 선택해 주세요.</t>
  </si>
  <si>
    <t>Please choose your lord.</t>
  </si>
  <si>
    <t>请选择君主。</t>
  </si>
  <si>
    <t>REGION_NAME_ETC</t>
  </si>
  <si>
    <t>군</t>
  </si>
  <si>
    <t>群</t>
  </si>
  <si>
    <t>REGION_NAME_FULL_ETC</t>
  </si>
  <si>
    <t>군웅</t>
  </si>
  <si>
    <t>群雄</t>
  </si>
  <si>
    <t>REGION_NAME_FULL_SHU</t>
  </si>
  <si>
    <t>촉나라</t>
  </si>
  <si>
    <t>蜀国</t>
  </si>
  <si>
    <t>원양</t>
  </si>
  <si>
    <t>Yuanrang</t>
  </si>
  <si>
    <t>元让</t>
  </si>
  <si>
    <t>위나라</t>
  </si>
  <si>
    <t>魏国</t>
  </si>
  <si>
    <t>REGION_NAME_FULL_WU</t>
  </si>
  <si>
    <t>오나라</t>
  </si>
  <si>
    <t>吴国</t>
  </si>
  <si>
    <t>REGION_NAME_SHU</t>
  </si>
  <si>
    <t>촉</t>
  </si>
  <si>
    <t>Shu</t>
  </si>
  <si>
    <t>蜀</t>
  </si>
  <si>
    <t>REGION_NAME_WEI</t>
  </si>
  <si>
    <t>위</t>
  </si>
  <si>
    <t>묘재</t>
  </si>
  <si>
    <t>Wei</t>
  </si>
  <si>
    <t>魏</t>
  </si>
  <si>
    <t>Miaocai</t>
  </si>
  <si>
    <t>妙才</t>
  </si>
  <si>
    <t>REGION_NAME_WU</t>
  </si>
  <si>
    <t>오</t>
  </si>
  <si>
    <t>Wu</t>
  </si>
  <si>
    <t>吴</t>
  </si>
  <si>
    <t>SCREEN_DD_TITLE</t>
  </si>
  <si>
    <t>고대 무장전</t>
  </si>
  <si>
    <t>古代武将战</t>
  </si>
  <si>
    <t>CLASS</t>
  </si>
  <si>
    <t>문약</t>
  </si>
  <si>
    <t>Wenruo</t>
  </si>
  <si>
    <t>文若</t>
  </si>
  <si>
    <t>역할</t>
  </si>
  <si>
    <t>Class</t>
  </si>
  <si>
    <t>职业</t>
  </si>
  <si>
    <t>GRADE</t>
  </si>
  <si>
    <t>등급</t>
  </si>
  <si>
    <t>Grade</t>
  </si>
  <si>
    <t>品阶</t>
  </si>
  <si>
    <t>LEVEL</t>
  </si>
  <si>
    <t>문원</t>
  </si>
  <si>
    <t>Wenyuan</t>
  </si>
  <si>
    <t>레벨</t>
  </si>
  <si>
    <t>文远</t>
  </si>
  <si>
    <t>Level</t>
  </si>
  <si>
    <t>等级</t>
  </si>
  <si>
    <t>POWER</t>
  </si>
  <si>
    <t>전투력</t>
  </si>
  <si>
    <t>Combat Power</t>
  </si>
  <si>
    <t>战斗力</t>
  </si>
  <si>
    <t>REGION</t>
  </si>
  <si>
    <t>wu</t>
  </si>
  <si>
    <t>국가</t>
  </si>
  <si>
    <t>Nation</t>
  </si>
  <si>
    <t>国家</t>
  </si>
  <si>
    <t>의공</t>
  </si>
  <si>
    <t>Yigong</t>
  </si>
  <si>
    <t>SUMMON_DESC_REWARD_INFO</t>
  </si>
  <si>
    <t>义公</t>
  </si>
  <si>
    <t>영혼석 10개 획득 100%</t>
  </si>
  <si>
    <t>10 Soul Stones, 100% guaranteed</t>
  </si>
  <si>
    <t>100%获得10个魂石</t>
  </si>
  <si>
    <t>SUMMON_HOST</t>
  </si>
  <si>
    <t>주최자</t>
  </si>
  <si>
    <t>Host</t>
  </si>
  <si>
    <t>主办者</t>
  </si>
  <si>
    <t>SUMMON_REMAIN_TIME_HOST_CHANGE</t>
  </si>
  <si>
    <t>주최자 변경까지 남은시간</t>
  </si>
  <si>
    <t>Time Until Host Change</t>
  </si>
  <si>
    <t>主办者更换倒计时</t>
  </si>
  <si>
    <t>SUMMON_TICKET_COUNT</t>
  </si>
  <si>
    <t>공복</t>
  </si>
  <si>
    <t>연회권 {0}장</t>
  </si>
  <si>
    <t>Gongfu</t>
  </si>
  <si>
    <t>{0} Banquet Tickets</t>
  </si>
  <si>
    <t>公覆</t>
  </si>
  <si>
    <t>宴会券{0}张</t>
  </si>
  <si>
    <t>SUMMON_TITLE</t>
  </si>
  <si>
    <t>SUMMON_TYPE_ALL</t>
  </si>
  <si>
    <t>All Officers</t>
  </si>
  <si>
    <t>全部武将</t>
  </si>
  <si>
    <t>SUMMON_TYPE_COUNTRY</t>
  </si>
  <si>
    <t>{0} 확률 증가</t>
  </si>
  <si>
    <t>{0} Rate Up</t>
  </si>
  <si>
    <t>백부</t>
  </si>
  <si>
    <t>{0}概率提升</t>
  </si>
  <si>
    <t>Bofu</t>
  </si>
  <si>
    <t>伯符</t>
  </si>
  <si>
    <t>TAB_ALL</t>
  </si>
  <si>
    <t>UI_ACTIVATE</t>
  </si>
  <si>
    <t>활성화</t>
  </si>
  <si>
    <t>Enabled</t>
  </si>
  <si>
    <t>启用</t>
  </si>
  <si>
    <t>UI_AFK_TITLE</t>
  </si>
  <si>
    <t>방치보상</t>
  </si>
  <si>
    <t>Idle Rewards</t>
  </si>
  <si>
    <t>挂机奖励</t>
  </si>
  <si>
    <t>UI_BANNER_STORY</t>
  </si>
  <si>
    <t>스토리</t>
  </si>
  <si>
    <t>Story</t>
  </si>
  <si>
    <t>剧情</t>
  </si>
  <si>
    <t>문대</t>
  </si>
  <si>
    <t>Wentai</t>
  </si>
  <si>
    <t>UI_BASE_STAT</t>
  </si>
  <si>
    <t>기본 능력치</t>
  </si>
  <si>
    <t>文台</t>
  </si>
  <si>
    <t>Base Stats</t>
  </si>
  <si>
    <t>基础属性</t>
  </si>
  <si>
    <t>UI_BATCH</t>
  </si>
  <si>
    <t>배치</t>
  </si>
  <si>
    <t>Deploy</t>
  </si>
  <si>
    <t>部署</t>
  </si>
  <si>
    <t>UI_BATTLE_STAT</t>
  </si>
  <si>
    <t>전투능력치</t>
  </si>
  <si>
    <t>Combat Stats</t>
  </si>
  <si>
    <t>战斗属性</t>
  </si>
  <si>
    <t>UI_BOSSRAID_JIN_BOSS_TITLE</t>
  </si>
  <si>
    <t>진</t>
  </si>
  <si>
    <t>True</t>
  </si>
  <si>
    <t>真</t>
  </si>
  <si>
    <t>중모</t>
  </si>
  <si>
    <t>Zhongmou</t>
  </si>
  <si>
    <t>UI_BOSSRAID_NOT_APPEARED</t>
  </si>
  <si>
    <t>仲谋</t>
  </si>
  <si>
    <t>미출현</t>
  </si>
  <si>
    <t>未出现</t>
  </si>
  <si>
    <t>UI_BOSSRAID_RANK_DAMAGE</t>
  </si>
  <si>
    <t>피해량 랭킹</t>
  </si>
  <si>
    <t>伤害量排行</t>
  </si>
  <si>
    <t>UI_BOSSRAID_RANK_POINT</t>
  </si>
  <si>
    <t>포인트 랭킹</t>
  </si>
  <si>
    <t>积分排行</t>
  </si>
  <si>
    <t>UI_BOSSRAID_TITLE</t>
  </si>
  <si>
    <t>보스 레이드</t>
  </si>
  <si>
    <t>Boss Raid</t>
  </si>
  <si>
    <t>首领讨伐战</t>
  </si>
  <si>
    <t>자의</t>
  </si>
  <si>
    <t>Ziyi</t>
  </si>
  <si>
    <t>UI_CALCULATING</t>
  </si>
  <si>
    <t>子义</t>
  </si>
  <si>
    <t>정산중</t>
  </si>
  <si>
    <t>Calculating</t>
  </si>
  <si>
    <t>结算中</t>
  </si>
  <si>
    <t>UI_CHARACTER</t>
  </si>
  <si>
    <t>Officer</t>
  </si>
  <si>
    <t>UI_CHARACTER_LIST</t>
  </si>
  <si>
    <t>Officer List</t>
  </si>
  <si>
    <t>武将列表</t>
  </si>
  <si>
    <t>UI_CONTENTMARKET_TITLE</t>
  </si>
  <si>
    <t>콘텐츠 상점</t>
  </si>
  <si>
    <t>Content Shop</t>
  </si>
  <si>
    <t>玩法商店</t>
  </si>
  <si>
    <t>공근</t>
  </si>
  <si>
    <t>Gongjin</t>
  </si>
  <si>
    <t>UI_COOLTIME_SEC</t>
  </si>
  <si>
    <t>公瑾</t>
  </si>
  <si>
    <t>재사용시간 {0}초</t>
  </si>
  <si>
    <t>Cooldown {0}s</t>
  </si>
  <si>
    <t>冷却时间{0}秒</t>
  </si>
  <si>
    <t>UI_DEACTIVATE</t>
  </si>
  <si>
    <t>비활성화</t>
  </si>
  <si>
    <t>Disabled</t>
  </si>
  <si>
    <t>停用</t>
  </si>
  <si>
    <t>DESC_TALK</t>
  </si>
  <si>
    <t>UI_ENCHANT_COMPLETE_RATE</t>
  </si>
  <si>
    <t>성장 성공 확률</t>
  </si>
  <si>
    <t>成长成功概率</t>
  </si>
  <si>
    <t>UI_ENCHANT_POINT</t>
  </si>
  <si>
    <t>성장 포인트</t>
  </si>
  <si>
    <t>Growth Points</t>
  </si>
  <si>
    <t>成长点数</t>
  </si>
  <si>
    <t>"누가 감히 나와 싸우겠느냐?
귀큰 놈, 네 놈이냐?!"</t>
  </si>
  <si>
    <t>"Who dares cross blades with me?
You there, big-ears. Is it you?!"</t>
  </si>
  <si>
    <t>UI_ENTER</t>
  </si>
  <si>
    <t>입장</t>
  </si>
  <si>
    <t>Enter</t>
  </si>
  <si>
    <t>“谁敢与我一战？
大耳贼，是你吗？！”</t>
  </si>
  <si>
    <t>入场</t>
  </si>
  <si>
    <t>UI_ENTER_LIMIT_DAILY</t>
  </si>
  <si>
    <t>일일 입장 가능 횟수: {0}</t>
  </si>
  <si>
    <t>Daily entries: {0}</t>
  </si>
  <si>
    <t>每日可入场次数：{0}</t>
  </si>
  <si>
    <t>UI_EXP</t>
  </si>
  <si>
    <t>경험치</t>
  </si>
  <si>
    <t>EXP</t>
  </si>
  <si>
    <t>经验值</t>
  </si>
  <si>
    <t>UI_FILTER</t>
  </si>
  <si>
    <t>필터</t>
  </si>
  <si>
    <t>Filter</t>
  </si>
  <si>
    <t>筛选</t>
  </si>
  <si>
    <t>"이 술은 따라 두시오.
술이 식기 전에 돌아오겠소."</t>
  </si>
  <si>
    <t>class</t>
  </si>
  <si>
    <t>"Pour that wine and set it aside.
I will return before it cools."</t>
  </si>
  <si>
    <t>“此酒且为我斟上。
酒未凉时，我便归来。”</t>
  </si>
  <si>
    <t>grade</t>
  </si>
  <si>
    <t>"천하는 곧 백성이며, 백성의 마음을
얻는 것이 곧 천하를 얻는 것이다."</t>
  </si>
  <si>
    <t>"The realm is its people, and to win
the hearts of the people is to win the realm."</t>
  </si>
  <si>
    <t>“天下即百姓，得百姓之心，
便是得天下。”</t>
  </si>
  <si>
    <t>region</t>
  </si>
  <si>
    <t>sort</t>
  </si>
  <si>
    <t>정렬</t>
  </si>
  <si>
    <t>Sort</t>
  </si>
  <si>
    <t>排序</t>
  </si>
  <si>
    <t>UI_FINISH_CONFIRM</t>
  </si>
  <si>
    <t>마무리</t>
  </si>
  <si>
    <t>Finish</t>
  </si>
  <si>
    <t>收尾</t>
  </si>
  <si>
    <t>"연인 장익덕이 여기 있다!
목숨이 아깝지 않은 놈부터 나와라!"</t>
  </si>
  <si>
    <t>UI_FRIENDSHIP</t>
  </si>
  <si>
    <t>"Zhang Yide of Yan stands here!
Whoever holds his life cheap, step up first!"</t>
  </si>
  <si>
    <t>“燕人张益德在此！
不惜命的，先站出来！”</t>
  </si>
  <si>
    <t>UI_GRADE</t>
  </si>
  <si>
    <t>UI_JOIN</t>
  </si>
  <si>
    <t>참가</t>
  </si>
  <si>
    <t>Join</t>
  </si>
  <si>
    <t>参加</t>
  </si>
  <si>
    <t>UI_LOCK</t>
  </si>
  <si>
    <t>잠김</t>
  </si>
  <si>
    <t>Locked</t>
  </si>
  <si>
    <t>已锁定</t>
  </si>
  <si>
    <t>UI_MAIN_POSITION</t>
  </si>
  <si>
    <t>주장 위치</t>
  </si>
  <si>
    <t>"죽음을 각오한 자 만이
나의 창을 마주할 것이다."</t>
  </si>
  <si>
    <t>主将位置</t>
  </si>
  <si>
    <t>"Only those resolved to die
will ever face my spear."</t>
  </si>
  <si>
    <t>“唯有决死之人，
才能面对我的长枪。”</t>
  </si>
  <si>
    <t>UI_MAX</t>
  </si>
  <si>
    <t>최대</t>
  </si>
  <si>
    <t>Max</t>
  </si>
  <si>
    <t>最大</t>
  </si>
  <si>
    <t>UI_MIN</t>
  </si>
  <si>
    <t>최소</t>
  </si>
  <si>
    <t>Min</t>
  </si>
  <si>
    <t>最小</t>
  </si>
  <si>
    <t>UI_MOST_RECORD</t>
  </si>
  <si>
    <t>"하늘의 뜻은 이미 정해졌소.
그대가 어찌 내 계책을 벗어나겠소?"</t>
  </si>
  <si>
    <t>최고기록</t>
  </si>
  <si>
    <t>"Heaven's will is already settled.
How could you slip past my design?"</t>
  </si>
  <si>
    <t>Best Record</t>
  </si>
  <si>
    <t>“天意早已定下。
你又怎能逃出我的谋算？”</t>
  </si>
  <si>
    <t>最高记录</t>
  </si>
  <si>
    <t>UI_NONE</t>
  </si>
  <si>
    <t>없음</t>
  </si>
  <si>
    <t>None</t>
  </si>
  <si>
    <t>无</t>
  </si>
  <si>
    <t>UI_POSITION_BACK</t>
  </si>
  <si>
    <t>후열</t>
  </si>
  <si>
    <t>后排</t>
  </si>
  <si>
    <t>칭호</t>
  </si>
  <si>
    <t>Title</t>
  </si>
  <si>
    <t>称号</t>
  </si>
  <si>
    <t>UI_POSITION_FRONT</t>
  </si>
  <si>
    <t>전열</t>
  </si>
  <si>
    <t>前排</t>
  </si>
  <si>
    <t>"아직 젊은이들에게 뒤처질 순 없지.
허허허"</t>
  </si>
  <si>
    <t>"I cannot fall behind the young ones just yet.
Heh heh heh."</t>
  </si>
  <si>
    <t>“还不能落在年轻人后头呀。
呵呵呵”</t>
  </si>
  <si>
    <t>관직</t>
  </si>
  <si>
    <t>Official Post</t>
  </si>
  <si>
    <t>官职</t>
  </si>
  <si>
    <t>수장</t>
  </si>
  <si>
    <t>Leader</t>
  </si>
  <si>
    <t>首席</t>
  </si>
  <si>
    <t>"내가 천하를 등질지언정,
천하가 나를 등지게 하지는 않겠소."</t>
  </si>
  <si>
    <t>UI_POSITION_MAIN</t>
  </si>
  <si>
    <t>주장</t>
  </si>
  <si>
    <t>"Sooner would I turn my back on the realm
than let the realm turn its back on me."</t>
  </si>
  <si>
    <t>“宁教我负天下人，
不教天下人负我。”</t>
  </si>
  <si>
    <t>主将</t>
  </si>
  <si>
    <t>UI_POSITION_SUB</t>
  </si>
  <si>
    <t>부장</t>
  </si>
  <si>
    <t>副将</t>
  </si>
  <si>
    <t>UI_PREV_ROUND</t>
  </si>
  <si>
    <t>이전 라운드</t>
  </si>
  <si>
    <t>Previous Round</t>
  </si>
  <si>
    <t>上一轮</t>
  </si>
  <si>
    <t>UI_PREV_ROUND_NO_INFO</t>
  </si>
  <si>
    <t>이전 라운드 정보 없음</t>
  </si>
  <si>
    <t>"내 검과 방패가 살아있는 한,
위나라의 깃발은 꺾이지 않는다."</t>
  </si>
  <si>
    <t>No Previous Round Data</t>
  </si>
  <si>
    <t>"While my sword and shield yet live,
the banner of Wei will never break."</t>
  </si>
  <si>
    <t>暂无上一轮的信息</t>
  </si>
  <si>
    <t>“只要我的剑与盾还在，
魏国的旗帜就绝不会折。”</t>
  </si>
  <si>
    <t>UI_RANKING</t>
  </si>
  <si>
    <t>순위</t>
  </si>
  <si>
    <t>Rank</t>
  </si>
  <si>
    <t>排名</t>
  </si>
  <si>
    <t>UI_RECORD</t>
  </si>
  <si>
    <t>기록</t>
  </si>
  <si>
    <t>Record</t>
  </si>
  <si>
    <t>记录</t>
  </si>
  <si>
    <t>"내 눈이 뭐 어떻다고??
찢어발겨주마!!"</t>
  </si>
  <si>
    <t>UI_REGION</t>
  </si>
  <si>
    <t>"What of my eye??
I will tear you to shreds!!"</t>
  </si>
  <si>
    <t>소속</t>
  </si>
  <si>
    <t>“我这只眼睛怎么了？？
撕碎你！！”</t>
  </si>
  <si>
    <t>所属</t>
  </si>
  <si>
    <t>UI_REMAIN_TIME</t>
  </si>
  <si>
    <t>남은 시간</t>
  </si>
  <si>
    <t>Time Left</t>
  </si>
  <si>
    <t>剩余时间</t>
  </si>
  <si>
    <t>UI_RIGHT_NOW</t>
  </si>
  <si>
    <t>즉시</t>
  </si>
  <si>
    <t>Instant</t>
  </si>
  <si>
    <t>立即</t>
  </si>
  <si>
    <t>"지체할 시간 없다.
전군, 숨도 쉬지 말고 달려라."</t>
  </si>
  <si>
    <t>UI_RUNNING</t>
  </si>
  <si>
    <t>"There is no time to lose.
All troops, run and do not even breathe."</t>
  </si>
  <si>
    <t>진행중</t>
  </si>
  <si>
    <t>“没有耽搁的时间。
全军，连气都别喘，跑。”</t>
  </si>
  <si>
    <t>进行中</t>
  </si>
  <si>
    <t>UI_SHOP</t>
  </si>
  <si>
    <t>UI_SKIP</t>
  </si>
  <si>
    <t>건너뛰기</t>
  </si>
  <si>
    <t>Skip</t>
  </si>
  <si>
    <t>跳过</t>
  </si>
  <si>
    <t>"천하를 도모할 판을 짜드리지요.
가만, 누가 내 도시락에 손을 댄 것이오!?"</t>
  </si>
  <si>
    <t>"I shall set the board for taking the realm.
Hold on, who touched my lunchbox?!"</t>
  </si>
  <si>
    <t>UI_START</t>
  </si>
  <si>
    <t>“谋取天下的棋局，由我来布。
且慢，谁动了我的食盒？！”</t>
  </si>
  <si>
    <t>시작하기</t>
  </si>
  <si>
    <t>Start</t>
  </si>
  <si>
    <t>开始</t>
  </si>
  <si>
    <t>UI_START_AFTER_SEC</t>
  </si>
  <si>
    <t>{0} 후 시작</t>
  </si>
  <si>
    <t>Starts in {0}</t>
  </si>
  <si>
    <t>{0}后开始</t>
  </si>
  <si>
    <t>UI_STORY_PROGRESS</t>
  </si>
  <si>
    <t>달성도</t>
  </si>
  <si>
    <t>Progress</t>
  </si>
  <si>
    <t>"사나이란 죽을 때 깨끗이 죽는 법이다."</t>
  </si>
  <si>
    <t>达成度</t>
  </si>
  <si>
    <t>"A true man dies cleanly when his time comes."</t>
  </si>
  <si>
    <t>“大丈夫死时，当死得干净。”</t>
  </si>
  <si>
    <t>UI_STORY_TITLE</t>
  </si>
  <si>
    <t>스토리모드</t>
  </si>
  <si>
    <t>Story Mode</t>
  </si>
  <si>
    <t>剧情模式</t>
  </si>
  <si>
    <t>UI_STORY_UNLOCK_STAGE</t>
  </si>
  <si>
    <t>클리어시 해제</t>
  </si>
  <si>
    <t>Unlocks on clear</t>
  </si>
  <si>
    <t>通关后解锁</t>
  </si>
  <si>
    <t>UI_SWEEP</t>
  </si>
  <si>
    <t>토벌</t>
  </si>
  <si>
    <t>"손가 3대를 모셨다!
내 이름은 대체 언제 외워줄텐가?!"</t>
  </si>
  <si>
    <t>Sweep</t>
  </si>
  <si>
    <t>"I have served three generations of Sun!
When will you finally learn my name?!"</t>
  </si>
  <si>
    <t>扫荡</t>
  </si>
  <si>
    <t>“孙家三代我都侍奉过！
我的名字你到底何时才记得住？！”</t>
  </si>
  <si>
    <t>UI_TRAITS</t>
  </si>
  <si>
    <t>특성</t>
  </si>
  <si>
    <t>Traits</t>
  </si>
  <si>
    <t>特性</t>
  </si>
  <si>
    <t>UI_TREASURE</t>
  </si>
  <si>
    <t>Treasures</t>
  </si>
  <si>
    <t>"등짝은 조금 따끔했지만,
적벽을 불태울 준비는 끝났다."</t>
  </si>
  <si>
    <t>UI_TREASURE_RELIC</t>
  </si>
  <si>
    <t>"My back still stings a little,
but I am ready to set Red Cliff ablaze."</t>
  </si>
  <si>
    <t>Officer's Weapon</t>
  </si>
  <si>
    <t>“背上是有些疼，
可烧尽赤壁的准备已经妥了。”</t>
  </si>
  <si>
    <t>武将武器</t>
  </si>
  <si>
    <t>UI_TREASURE_TREASURE</t>
  </si>
  <si>
    <t>Standard</t>
  </si>
  <si>
    <t>UI_UPGRADE</t>
  </si>
  <si>
    <t>강화</t>
  </si>
  <si>
    <t>Enhance</t>
  </si>
  <si>
    <t>强化</t>
  </si>
  <si>
    <t>"비켜라!
강동을 평정하는 데는 한 달도 길다."</t>
  </si>
  <si>
    <t>UI_USERINFO_TITLE</t>
  </si>
  <si>
    <t>"Out of my way!
A month is too long to pacify Jiangdong."</t>
  </si>
  <si>
    <t>유저정보</t>
  </si>
  <si>
    <t>“让开！
平定江东，一个月都算长。”</t>
  </si>
  <si>
    <t>Player Info</t>
  </si>
  <si>
    <t>玩家信息</t>
  </si>
  <si>
    <t>UI_VALID_REWARD_LIST</t>
  </si>
  <si>
    <t>획득 가능 보상</t>
  </si>
  <si>
    <t>Available Rewards</t>
  </si>
  <si>
    <t>可获得奖励</t>
  </si>
  <si>
    <t>UI_WAIT</t>
  </si>
  <si>
    <t>대기</t>
  </si>
  <si>
    <t>Waiting</t>
  </si>
  <si>
    <t>等待</t>
  </si>
  <si>
    <t>"화웅을 벤 자가 누구라고?"</t>
  </si>
  <si>
    <t>UI_YEAR</t>
  </si>
  <si>
    <t>"Who did you say cut down Hua Xiong?"</t>
  </si>
  <si>
    <t>{0}년</t>
  </si>
  <si>
    <t>{0} AD</t>
  </si>
  <si>
    <t>“你说斩了华雄的，是谁？”</t>
  </si>
  <si>
    <t>{0}年</t>
  </si>
  <si>
    <t>UPGRADE_GUIDE_CASTLE_DESC</t>
  </si>
  <si>
    <t>재화 획득 / 관리</t>
  </si>
  <si>
    <t>Earn Currency / Manage</t>
  </si>
  <si>
    <t>获得货币 / 管理</t>
  </si>
  <si>
    <t>UPGRADE_GUIDE_CASTLE_TITLE</t>
  </si>
  <si>
    <t>영지 방문</t>
  </si>
  <si>
    <t>Visit the Domain</t>
  </si>
  <si>
    <t>访问领地</t>
  </si>
  <si>
    <t>"나의 검이 책상을 벤 뜻을 모르는가!
이제 수성의 시간이다."</t>
  </si>
  <si>
    <t>"Do you not see why my sword split the desk!
Now is the time to hold what we have."</t>
  </si>
  <si>
    <t>UPGRADE_GUIDE_GACHA_DESC</t>
  </si>
  <si>
    <t>“我这一剑斩案，你还不明白吗！
如今是守成之时。”</t>
  </si>
  <si>
    <t>Earn Soul Stones / Recruit Officers</t>
  </si>
  <si>
    <t>获得魂石 / 招募武将</t>
  </si>
  <si>
    <t>UPGRADE_GUIDE_GACHA_TITLE</t>
  </si>
  <si>
    <t>연회 열기</t>
  </si>
  <si>
    <t>Hold a Banquet</t>
  </si>
  <si>
    <t>举办宴会</t>
  </si>
  <si>
    <t>UPGRADE_GUIDE_SCREEN_HERO_DESC</t>
  </si>
  <si>
    <t>승급 / 강화 / 유물강화 / 보물</t>
  </si>
  <si>
    <t>Promote / Enhance / Relic Enhancement / Treasures</t>
  </si>
  <si>
    <t>晋级 / 强化 / 遗物强化 / 宝物</t>
  </si>
  <si>
    <t>UPGRADE_GUIDE_SCREEN_HERO_TITLE</t>
  </si>
  <si>
    <t>Manage Officers</t>
  </si>
  <si>
    <t>"백부가 가리키는 곳이 곧
내가 화살을 날릴 과녁이다."</t>
  </si>
  <si>
    <t>武将管理</t>
  </si>
  <si>
    <t>"Wherever Bofu points
is the mark my arrow flies to."</t>
  </si>
  <si>
    <t>UPGRADE_GUIDE_TIMELOOP_DESC</t>
  </si>
  <si>
    <t>“伯符所指之处，
便是我箭矢所向之靶。”</t>
  </si>
  <si>
    <t>스테이지 초기화 / 시간석 획득</t>
  </si>
  <si>
    <t>Reset Stages / Earn Time Stones</t>
  </si>
  <si>
    <t>重置关卡 / 获得时之石</t>
  </si>
  <si>
    <t>UPGRADE_GUIDE_TIMELOOP_TITLE</t>
  </si>
  <si>
    <t>시간 되돌리기</t>
  </si>
  <si>
    <t>Turn Back Time</t>
  </si>
  <si>
    <t>倒转时间</t>
  </si>
  <si>
    <t>WEEKDAY_FRIDAY_FULL</t>
  </si>
  <si>
    <t>금요일</t>
  </si>
  <si>
    <t>Friday</t>
  </si>
  <si>
    <t>星期五</t>
  </si>
  <si>
    <t>WEEKDAY_MONDAY_FULL</t>
  </si>
  <si>
    <t>월요일</t>
  </si>
  <si>
    <t>Monday</t>
  </si>
  <si>
    <t>星期一</t>
  </si>
  <si>
    <t>"불의 연주가 시작되었다.
잔을 들어라."</t>
  </si>
  <si>
    <t>WEEKDAY_SATURDAY_FULL</t>
  </si>
  <si>
    <t>"The music of fire has begun.
Raise your cup."</t>
  </si>
  <si>
    <t>토요일</t>
  </si>
  <si>
    <t>Saturday</t>
  </si>
  <si>
    <t>“火的乐章已经奏响。
举杯吧。”</t>
  </si>
  <si>
    <t>星期六</t>
  </si>
  <si>
    <t>WEEKDAY_SUNDAY_FULL</t>
  </si>
  <si>
    <t>일요일</t>
  </si>
  <si>
    <t>Sunday</t>
  </si>
  <si>
    <t>星期日</t>
  </si>
  <si>
    <t>WEEKDAY_THURSDAY_FULL</t>
  </si>
  <si>
    <t>목요일</t>
  </si>
  <si>
    <t>Thursday</t>
  </si>
  <si>
    <t>星期四</t>
  </si>
  <si>
    <t>HISTORICAL_NAME_JIANGSHANG</t>
  </si>
  <si>
    <t>WEEKDAY_TUESDAY_FULL</t>
  </si>
  <si>
    <t>강상</t>
  </si>
  <si>
    <t>화요일</t>
  </si>
  <si>
    <t>Jiang Shang</t>
  </si>
  <si>
    <t>Tuesday</t>
  </si>
  <si>
    <t>星期二</t>
  </si>
  <si>
    <t>姜尚</t>
  </si>
  <si>
    <t>WEEKDAY_WEDNESDAY_FULL</t>
  </si>
  <si>
    <t>수요일</t>
  </si>
  <si>
    <t>Wednesday</t>
  </si>
  <si>
    <t>星期三</t>
  </si>
  <si>
    <t>title</t>
  </si>
  <si>
    <t>HISTORICAL_NAME_JIANGSHANG_DESC</t>
  </si>
  <si>
    <t>낚시꾼의 시조</t>
  </si>
  <si>
    <t>Father of Anglers</t>
  </si>
  <si>
    <t>垂钓者之祖</t>
  </si>
  <si>
    <t>비무대회</t>
  </si>
  <si>
    <t>Tournament</t>
  </si>
  <si>
    <t>比武大会</t>
  </si>
  <si>
    <t>rank_now</t>
  </si>
  <si>
    <t>현재순위</t>
  </si>
  <si>
    <t>Current Rank</t>
  </si>
  <si>
    <t>HISTORICAL_NAME_LIANPO</t>
  </si>
  <si>
    <t>염파</t>
  </si>
  <si>
    <t>当前排名</t>
  </si>
  <si>
    <t>Lian Po</t>
  </si>
  <si>
    <t>廉颇</t>
  </si>
  <si>
    <t>UI_POINT</t>
  </si>
  <si>
    <t>점수</t>
  </si>
  <si>
    <t>Score</t>
  </si>
  <si>
    <t>分数</t>
  </si>
  <si>
    <t>challenge</t>
  </si>
  <si>
    <t>HISTORICAL_NAME_LIANPO_DESC</t>
  </si>
  <si>
    <t>백전백승의 노익장</t>
  </si>
  <si>
    <t>Undefeated Old Warhorse</t>
  </si>
  <si>
    <t>百战百胜的老将</t>
  </si>
  <si>
    <t>HISTORICAL_NAME_QINSHIHUANG</t>
  </si>
  <si>
    <t>진시황</t>
  </si>
  <si>
    <t>Qin Shi Huang</t>
  </si>
  <si>
    <t>秦始皇</t>
  </si>
  <si>
    <t>도전</t>
  </si>
  <si>
    <t>Challenge</t>
  </si>
  <si>
    <t>挑战</t>
  </si>
  <si>
    <t>UI_REFRESH</t>
  </si>
  <si>
    <t>갱신</t>
  </si>
  <si>
    <t>Refresh</t>
  </si>
  <si>
    <t>刷新</t>
  </si>
  <si>
    <t>HISTORICAL_NAME_QINSHIHUANG_DESC</t>
  </si>
  <si>
    <t>최초의 황제</t>
  </si>
  <si>
    <t>The First Emperor</t>
  </si>
  <si>
    <t>UI_REFRESH_LIST</t>
  </si>
  <si>
    <t>목록갱신</t>
  </si>
  <si>
    <t>最初的皇帝</t>
  </si>
  <si>
    <t>Refresh List</t>
  </si>
  <si>
    <t>刷新列表</t>
  </si>
  <si>
    <t>history</t>
  </si>
  <si>
    <t>HISTORICAL_NAME_XIANGYU</t>
  </si>
  <si>
    <t>항우</t>
  </si>
  <si>
    <t>Xiang Yu</t>
  </si>
  <si>
    <t>项羽</t>
  </si>
  <si>
    <t>전투\n기록</t>
  </si>
  <si>
    <t>Battle
Log</t>
  </si>
  <si>
    <t>战斗
记录</t>
  </si>
  <si>
    <t>INFO_REWARD</t>
  </si>
  <si>
    <t>HISTORICAL_NAME_XIANGYU_DESC</t>
  </si>
  <si>
    <t>보상\n정보</t>
  </si>
  <si>
    <t>최강의 역발산 패왕</t>
  </si>
  <si>
    <t>Reward
Info</t>
  </si>
  <si>
    <t>Mountain-Lifting Overlord</t>
  </si>
  <si>
    <t>奖励
信息</t>
  </si>
  <si>
    <t>力拔山河的最强霸王</t>
  </si>
  <si>
    <t>point</t>
  </si>
  <si>
    <t>점수 랭킹</t>
  </si>
  <si>
    <t>Score Ranking</t>
  </si>
  <si>
    <t>分数排行</t>
  </si>
  <si>
    <t>win</t>
  </si>
  <si>
    <t>HISTORICAL_NAME_YANGYOUJI</t>
  </si>
  <si>
    <t>양유기</t>
  </si>
  <si>
    <t>다승</t>
  </si>
  <si>
    <t>Wins</t>
  </si>
  <si>
    <t>Yang Youji</t>
  </si>
  <si>
    <t>胜场</t>
  </si>
  <si>
    <t>养由基</t>
  </si>
  <si>
    <t>winning</t>
  </si>
  <si>
    <t>연승</t>
  </si>
  <si>
    <t>Win Streak</t>
  </si>
  <si>
    <t>连胜</t>
  </si>
  <si>
    <t>UI_RANK_DIGIT_POINT</t>
  </si>
  <si>
    <t>HISTORICAL_NAME_YANGYOUJI_DESC</t>
  </si>
  <si>
    <t>백발백중의 신궁</t>
  </si>
  <si>
    <t>p</t>
  </si>
  <si>
    <t>Divine Archer Who Never Misses</t>
  </si>
  <si>
    <t>百发百中的神射手</t>
  </si>
  <si>
    <t>UI_RANK_DIGIT_WIN</t>
  </si>
  <si>
    <t>승</t>
  </si>
  <si>
    <t>W</t>
  </si>
  <si>
    <t>胜</t>
  </si>
  <si>
    <t>UI_RANK_DIGIT_WINNING</t>
  </si>
  <si>
    <t>HISTORICAL_NAME_YUEYI</t>
  </si>
  <si>
    <t>Streak</t>
  </si>
  <si>
    <t>악의</t>
  </si>
  <si>
    <t>Yue Yi</t>
  </si>
  <si>
    <t>乐毅</t>
  </si>
  <si>
    <t>UI_RANKER_DIGIT</t>
  </si>
  <si>
    <t>th</t>
  </si>
  <si>
    <t>位</t>
  </si>
  <si>
    <t>UI_HIT_DAMAGE_AMOUNT</t>
  </si>
  <si>
    <t>입힌 피해량</t>
  </si>
  <si>
    <t>Damage Dealt</t>
  </si>
  <si>
    <t>造成伤害量</t>
  </si>
  <si>
    <t>HISTORICAL_NAME_YUEYI_DESC</t>
  </si>
  <si>
    <t>연나라의 구국명장</t>
  </si>
  <si>
    <t>Savior General of Yan</t>
  </si>
  <si>
    <t>UI_GET_POINT_AMOUNT</t>
  </si>
  <si>
    <t>燕国的救国名将</t>
  </si>
  <si>
    <t>획득 포인트</t>
  </si>
  <si>
    <t>Points Earned</t>
  </si>
  <si>
    <t>获得积分</t>
  </si>
  <si>
    <t>batch</t>
  </si>
  <si>
    <t>NAME</t>
  </si>
  <si>
    <t>편성</t>
  </si>
  <si>
    <t>Formation</t>
  </si>
  <si>
    <t>编成</t>
  </si>
  <si>
    <t>AFTER_ADD_REFRESH_COUNT</t>
  </si>
  <si>
    <t>{0} 후 무료 갱신 횟수 추가</t>
  </si>
  <si>
    <t>Free refreshes added in {0}</t>
  </si>
  <si>
    <t>{0}后补充免费刷新次数</t>
  </si>
  <si>
    <t>Lu Bu</t>
  </si>
  <si>
    <t>吕布</t>
  </si>
  <si>
    <t>UI_ATTACK</t>
  </si>
  <si>
    <t>공격</t>
  </si>
  <si>
    <t>Attack</t>
  </si>
  <si>
    <t>进攻</t>
  </si>
  <si>
    <t>UI_DEFENCE</t>
  </si>
  <si>
    <t>방어</t>
  </si>
  <si>
    <t>Defense</t>
  </si>
  <si>
    <t>防守</t>
  </si>
  <si>
    <t>batch_title</t>
  </si>
  <si>
    <t>Guan Yu</t>
  </si>
  <si>
    <t>关羽</t>
  </si>
  <si>
    <t>Officer Formation</t>
  </si>
  <si>
    <t>武将编成</t>
  </si>
  <si>
    <t>AUTO_BATCH</t>
  </si>
  <si>
    <t>Huang Zhong</t>
  </si>
  <si>
    <t>자동 편성</t>
  </si>
  <si>
    <t>黄忠</t>
  </si>
  <si>
    <t>Auto Formation</t>
  </si>
  <si>
    <t>自动编成</t>
  </si>
  <si>
    <t>BATCH_FINISH</t>
  </si>
  <si>
    <t>편성 완료</t>
  </si>
  <si>
    <t>Formation Complete</t>
  </si>
  <si>
    <t>编成完成</t>
  </si>
  <si>
    <t>UI_TOUR_HIST_TITLE</t>
  </si>
  <si>
    <t>전투 기록</t>
  </si>
  <si>
    <t>Battle Log</t>
  </si>
  <si>
    <t>Liu Bei</t>
  </si>
  <si>
    <t>战斗记录</t>
  </si>
  <si>
    <t>刘备</t>
  </si>
  <si>
    <t>UI_TOUR_HIST_REVENGE</t>
  </si>
  <si>
    <t>복수혈전</t>
  </si>
  <si>
    <t>Blood Revenge</t>
  </si>
  <si>
    <t>复仇血战</t>
  </si>
  <si>
    <t>UI_TOUR_HIST_REVENGE_SUCCESS</t>
  </si>
  <si>
    <t>복수성공</t>
  </si>
  <si>
    <t>Revenge Successful</t>
  </si>
  <si>
    <t>复仇成功</t>
  </si>
  <si>
    <t>UI_TOUR_HIST_EMPTY</t>
  </si>
  <si>
    <t>전투 기록이 없습니다.</t>
  </si>
  <si>
    <t>No battle records yet.</t>
  </si>
  <si>
    <t>Zhang Fei</t>
  </si>
  <si>
    <t>张飞</t>
  </si>
  <si>
    <t>暂无战斗记录。</t>
  </si>
  <si>
    <t>UI_TOUR_HIST_OTHER_INFO</t>
  </si>
  <si>
    <t>상세정보</t>
  </si>
  <si>
    <t>Details</t>
  </si>
  <si>
    <t>详细信息</t>
  </si>
  <si>
    <t>UI_TOUR_HIST_OTHER_BATCH</t>
  </si>
  <si>
    <t>상대조합</t>
  </si>
  <si>
    <t>Opponent's Team</t>
  </si>
  <si>
    <t>对手阵容</t>
  </si>
  <si>
    <t>UI_TOUR_HIST_REVENGE_POINT_WIN</t>
  </si>
  <si>
    <t>Zhao Yun</t>
  </si>
  <si>
    <t>승리시</t>
  </si>
  <si>
    <t>赵云</t>
  </si>
  <si>
    <t>On Victory</t>
  </si>
  <si>
    <t>胜利时</t>
  </si>
  <si>
    <t>UI_TOUR_HIST_REVENGE_POINT_LOSE</t>
  </si>
  <si>
    <t>패배시</t>
  </si>
  <si>
    <t>On Defeat</t>
  </si>
  <si>
    <t>失败时</t>
  </si>
  <si>
    <t>UI_CHALLENGE_FULL</t>
  </si>
  <si>
    <t>도전하기</t>
  </si>
  <si>
    <t>发起挑战</t>
  </si>
  <si>
    <t>UI_TOGGLE_INFO</t>
  </si>
  <si>
    <t>Zhuge Liang</t>
  </si>
  <si>
    <t>정보</t>
  </si>
  <si>
    <t>诸葛亮</t>
  </si>
  <si>
    <t>Info</t>
  </si>
  <si>
    <t>信息</t>
  </si>
  <si>
    <t>UI_TIMEOVER</t>
  </si>
  <si>
    <t>시간초과</t>
  </si>
  <si>
    <t>Time Up</t>
  </si>
  <si>
    <t>超时</t>
  </si>
  <si>
    <t>UI_REVENGE</t>
  </si>
  <si>
    <t>복수</t>
  </si>
  <si>
    <t>Revenge</t>
  </si>
  <si>
    <t>复仇</t>
  </si>
  <si>
    <t>Cao Cao</t>
  </si>
  <si>
    <t>曹操</t>
  </si>
  <si>
    <t>UI_TOUR_REWARD_TITLE</t>
  </si>
  <si>
    <t>보상 정보</t>
  </si>
  <si>
    <t>Reward Info</t>
  </si>
  <si>
    <t>奖励信息</t>
  </si>
  <si>
    <t>UI_TIER_RANK_1</t>
  </si>
  <si>
    <t>천하제일</t>
  </si>
  <si>
    <t>First Under Heaven</t>
  </si>
  <si>
    <t>天下第一</t>
  </si>
  <si>
    <t>UI_TIER_RANK_2</t>
  </si>
  <si>
    <t>만인지적</t>
  </si>
  <si>
    <t>Match for Ten Thousand</t>
  </si>
  <si>
    <t>万人之敌</t>
  </si>
  <si>
    <t>Cao Ren</t>
  </si>
  <si>
    <t>曹仁</t>
  </si>
  <si>
    <t>UI_TIER_RANK_3</t>
  </si>
  <si>
    <t>일기당천</t>
  </si>
  <si>
    <t>One Against a Thousand</t>
  </si>
  <si>
    <t>一骑当千</t>
  </si>
  <si>
    <t>UI_TIER_RANK</t>
  </si>
  <si>
    <t>제 {0} 군단장</t>
  </si>
  <si>
    <t>Corps Commander {0}</t>
  </si>
  <si>
    <t>第{0}军团长</t>
  </si>
  <si>
    <t>UI_TOUR_REWARD_INFO</t>
  </si>
  <si>
    <t>랭킹 {0}이내\n점수 {1}이상</t>
  </si>
  <si>
    <t>Rank {0} or higher
Score {1} or more</t>
  </si>
  <si>
    <t>排名{0}以内
分数{1}以上</t>
  </si>
  <si>
    <t>Xiahou Dun</t>
  </si>
  <si>
    <t>夏侯惇</t>
  </si>
  <si>
    <t>UI_AUTO_PLAY</t>
  </si>
  <si>
    <t>자동재생</t>
  </si>
  <si>
    <t>Auto Play</t>
  </si>
  <si>
    <t>自动播放</t>
  </si>
  <si>
    <t>UI_DAMAGE_AMOUNT</t>
  </si>
  <si>
    <t>피해량</t>
  </si>
  <si>
    <t>Damage</t>
  </si>
  <si>
    <t>伤害量</t>
  </si>
  <si>
    <t>UI_RESULT_TITLE</t>
  </si>
  <si>
    <t>결과</t>
  </si>
  <si>
    <t>Result</t>
  </si>
  <si>
    <t>结果</t>
  </si>
  <si>
    <t>UI_FINAL_RESULT</t>
  </si>
  <si>
    <t>최종 결과</t>
  </si>
  <si>
    <t>Final Result</t>
  </si>
  <si>
    <t>Xiahou Yuan</t>
  </si>
  <si>
    <t>最终结果</t>
  </si>
  <si>
    <t>夏侯渊</t>
  </si>
  <si>
    <t>UI_DD_SUCCESS_SWEEP</t>
  </si>
  <si>
    <t>토벌 성공</t>
  </si>
  <si>
    <t>Sweep Successful</t>
  </si>
  <si>
    <t>扫荡成功</t>
  </si>
  <si>
    <t>UI_DD_SUCCESS_BATTLE</t>
  </si>
  <si>
    <t>처치 성공</t>
  </si>
  <si>
    <t>Enemy Defeated</t>
  </si>
  <si>
    <t>Xun Yu</t>
  </si>
  <si>
    <t>击杀成功</t>
  </si>
  <si>
    <t>荀彧</t>
  </si>
  <si>
    <t>BUTTON_SWEEP</t>
  </si>
  <si>
    <t>토벌 하기</t>
  </si>
  <si>
    <t>BUTTON_RESTART</t>
  </si>
  <si>
    <t>다시 하기</t>
  </si>
  <si>
    <t>Retry</t>
  </si>
  <si>
    <t>再来一次</t>
  </si>
  <si>
    <t>BUTTON_ADS</t>
  </si>
  <si>
    <t>광고 보기</t>
  </si>
  <si>
    <t>Watch Ad</t>
  </si>
  <si>
    <t>Zhang Liao</t>
  </si>
  <si>
    <t>观看广告</t>
  </si>
  <si>
    <t>张辽</t>
  </si>
  <si>
    <t>UI_INVEN_TITLE</t>
  </si>
  <si>
    <t>UI_INVEN_EMPTY</t>
  </si>
  <si>
    <t>보유한 아이템이 없습니다.</t>
  </si>
  <si>
    <t>You have no items.</t>
  </si>
  <si>
    <t>暂无道具。</t>
  </si>
  <si>
    <t>Han Dang</t>
  </si>
  <si>
    <t>UI_POST_BOX_TITLE</t>
  </si>
  <si>
    <t>韩当</t>
  </si>
  <si>
    <t>모두 받기</t>
  </si>
  <si>
    <t>Collect All</t>
  </si>
  <si>
    <t>全部领取</t>
  </si>
  <si>
    <t>BUTTON_DELETE_ALL</t>
  </si>
  <si>
    <t>일괄 삭제</t>
  </si>
  <si>
    <t>Delete All</t>
  </si>
  <si>
    <t>批量删除</t>
  </si>
  <si>
    <t>Huang Gai</t>
  </si>
  <si>
    <t>UI_POST_TITLE</t>
  </si>
  <si>
    <t>黄盖</t>
  </si>
  <si>
    <t>우편</t>
  </si>
  <si>
    <t>Mail</t>
  </si>
  <si>
    <t>邮件</t>
  </si>
  <si>
    <t>UI_POST_NAME</t>
  </si>
  <si>
    <t>우편 제목</t>
  </si>
  <si>
    <t>Mail Subject</t>
  </si>
  <si>
    <t>邮件标题</t>
  </si>
  <si>
    <t>BUTTON_DELETE</t>
  </si>
  <si>
    <t>삭제</t>
  </si>
  <si>
    <t>Delete</t>
  </si>
  <si>
    <t>删除</t>
  </si>
  <si>
    <t>Sun Ce</t>
  </si>
  <si>
    <t>UI_REWARD_LIST</t>
  </si>
  <si>
    <t>孙策</t>
  </si>
  <si>
    <t>획득 보상</t>
  </si>
  <si>
    <t>Rewards Earned</t>
  </si>
  <si>
    <t>获得奖励</t>
  </si>
  <si>
    <t>UI_QUEST_TITLE</t>
  </si>
  <si>
    <t>UI_REBIRTH_TITLE</t>
  </si>
  <si>
    <t>Sun Jian</t>
  </si>
  <si>
    <t>UI_DIFFICULT_NOW</t>
  </si>
  <si>
    <t>孙坚</t>
  </si>
  <si>
    <t>현재 난이도</t>
  </si>
  <si>
    <t>当前难度</t>
  </si>
  <si>
    <t>UI_DIFFICULT_AFTER_REBIRTH</t>
  </si>
  <si>
    <t>회귀 후 난이도</t>
  </si>
  <si>
    <t>轮回后难度</t>
  </si>
  <si>
    <t>UI_RECEIVE_AMOUNT_TIME_STONE</t>
  </si>
  <si>
    <t>시간석 획득량</t>
  </si>
  <si>
    <t>时之石获得量</t>
  </si>
  <si>
    <t>Sun Quan</t>
  </si>
  <si>
    <t>孙权</t>
  </si>
  <si>
    <t>UI_REBIRTH_INFO</t>
  </si>
  <si>
    <t>{0} 도달 후 회귀 가능</t>
  </si>
  <si>
    <t>达到{0}后可轮回</t>
  </si>
  <si>
    <t>BUTTON_REBIRTH_START</t>
  </si>
  <si>
    <t>회귀 시작</t>
  </si>
  <si>
    <t>Start Rewind</t>
  </si>
  <si>
    <t>开始轮回</t>
  </si>
  <si>
    <t>UI_REWARD_SUCCESS</t>
  </si>
  <si>
    <t>획득성공</t>
  </si>
  <si>
    <t>获得成功</t>
  </si>
  <si>
    <t>UI_CLOSE_PUSH_OUTLINE</t>
  </si>
  <si>
    <t>빈 곳을 눌러 닫기</t>
  </si>
  <si>
    <t>Tap outside to close</t>
  </si>
  <si>
    <t>点击空白处关闭</t>
  </si>
  <si>
    <t>UI_RESULT_WIN</t>
  </si>
  <si>
    <t>승리</t>
  </si>
  <si>
    <t>Victory</t>
  </si>
  <si>
    <t>胜利</t>
  </si>
  <si>
    <t>UI_RESULT_LOSE</t>
  </si>
  <si>
    <t>패배</t>
  </si>
  <si>
    <t>Defeat</t>
  </si>
  <si>
    <t>失败</t>
  </si>
  <si>
    <t>UI_AUTOCLOSE_AFTER_SEC</t>
  </si>
  <si>
    <t>{0}초 후 자동으로 나가집니다.</t>
  </si>
  <si>
    <t>Exiting in {0}s.</t>
  </si>
  <si>
    <t>{0}秒后将自动退出。</t>
  </si>
  <si>
    <t>Taishi Ci</t>
  </si>
  <si>
    <t>太史慈</t>
  </si>
  <si>
    <t>UI_USE_TIMESTORN_TITLE</t>
  </si>
  <si>
    <t>시간 단축</t>
  </si>
  <si>
    <t>Reduce Time</t>
  </si>
  <si>
    <t>缩短时间</t>
  </si>
  <si>
    <t>UI_MINUTE</t>
  </si>
  <si>
    <t>{0}분</t>
  </si>
  <si>
    <t>{0} min</t>
  </si>
  <si>
    <t>{0}分</t>
  </si>
  <si>
    <t>UI_UPGRADE_GUIDE_TITLE</t>
  </si>
  <si>
    <t>전략상 후퇴!!</t>
  </si>
  <si>
    <t>Strategic Retreat!!</t>
  </si>
  <si>
    <t>Zhou Yu</t>
  </si>
  <si>
    <t>战略性撤退！！</t>
  </si>
  <si>
    <t>周瑜</t>
  </si>
  <si>
    <t>UI_PASS_TITLE</t>
  </si>
  <si>
    <t>REGION_MASTER_DESC_SHU</t>
  </si>
  <si>
    <t>고결한 이상주의자</t>
  </si>
  <si>
    <t>UI_PASS_DESC</t>
  </si>
  <si>
    <t>The Noble Idealist</t>
  </si>
  <si>
    <t>광고제거\n특사 임무 가능\n&lt;size=150%&gt;&lt;color=#000000&gt;[{0}]&lt;/size&gt;&lt;/color&gt; 스킨 확정 획득</t>
  </si>
  <si>
    <t>高洁的理想主义者</t>
  </si>
  <si>
    <t>Remove ads
Envoy quests unlocked
&lt;size=150%&gt;&lt;color=#000000&gt;[{0}]&lt;/size&gt;&lt;/color&gt; skin guaranteed</t>
  </si>
  <si>
    <t>去除广告
可进行特使任务
&lt;size=150%&gt;&lt;color=#000000&gt;[{0}]&lt;/size&gt;&lt;/color&gt; 皮肤必得</t>
  </si>
  <si>
    <t>UI_PASS_BUY_DESC</t>
  </si>
  <si>
    <t>특사 활성화</t>
  </si>
  <si>
    <t>激活特使</t>
  </si>
  <si>
    <t>UI_PASS_QUEST_PAID</t>
  </si>
  <si>
    <t>REGION_MASTER_DESC_SUB_SHU</t>
  </si>
  <si>
    <t>특사임무</t>
  </si>
  <si>
    <t>인의와 명분으로 민심을 결속시키고 대업을 꿈꾸는 왕도</t>
  </si>
  <si>
    <t>特使任务</t>
  </si>
  <si>
    <t>The kingly way: binding the people's hearts with virtue and just cause, dreaming of a great destiny</t>
  </si>
  <si>
    <t>以仁义与名分凝聚民心、胸怀大业的王道</t>
  </si>
  <si>
    <t>UI_PASS_REWARD</t>
  </si>
  <si>
    <t>보상</t>
  </si>
  <si>
    <t>Rewards</t>
  </si>
  <si>
    <t>奖励</t>
  </si>
  <si>
    <t>UI_PASS_MISSION</t>
  </si>
  <si>
    <t>REGION_MASTER_DESC_SUB_WEI</t>
  </si>
  <si>
    <t>천하의 인재를 거느리며 판도를 흔드는 패도</t>
  </si>
  <si>
    <t>UI_SET_TITLE</t>
  </si>
  <si>
    <t>The conqueror's way: commanding the realm's finest talent and shaking the balance of power</t>
  </si>
  <si>
    <t>统御天下英才、搅动天下格局的霸道</t>
  </si>
  <si>
    <t>UI_SET_GAME_TITLE</t>
  </si>
  <si>
    <t>게임 설정</t>
  </si>
  <si>
    <t>Game Settings</t>
  </si>
  <si>
    <t>游戏设置</t>
  </si>
  <si>
    <t>UI_SET_GAME_LANG</t>
  </si>
  <si>
    <t>REGION_MASTER_DESC_SUB_WU</t>
  </si>
  <si>
    <t>언어</t>
  </si>
  <si>
    <t>지형과 인재의 화합으로 세운 철벽의 수성</t>
  </si>
  <si>
    <t>An iron wall raised from terrain and talent in harmony</t>
  </si>
  <si>
    <t>Language</t>
  </si>
  <si>
    <t>语言</t>
  </si>
  <si>
    <t>凭地利与人和筑成的铁壁守势</t>
  </si>
  <si>
    <t>UI_SET_GAME_BGM</t>
  </si>
  <si>
    <t>배경음악</t>
  </si>
  <si>
    <t>Music</t>
  </si>
  <si>
    <t>背景音乐</t>
  </si>
  <si>
    <t>UI_SET_GAME_SFX</t>
  </si>
  <si>
    <t>효과음</t>
  </si>
  <si>
    <t>REGION_MASTER_DESC_WEI</t>
  </si>
  <si>
    <t>Sound Effects</t>
  </si>
  <si>
    <t>난세의 간웅</t>
  </si>
  <si>
    <t>音效</t>
  </si>
  <si>
    <t>The Cunning Hero of Chaos</t>
  </si>
  <si>
    <t>乱世奸雄</t>
  </si>
  <si>
    <t>UI_SET_GAME_HAPTIC</t>
  </si>
  <si>
    <t>진동</t>
  </si>
  <si>
    <t>Vibration</t>
  </si>
  <si>
    <t>振动</t>
  </si>
  <si>
    <t>UI_SET_GAME_SHAKE</t>
  </si>
  <si>
    <t>화면 흔들림</t>
  </si>
  <si>
    <t>Screen Shake</t>
  </si>
  <si>
    <t>画面震动</t>
  </si>
  <si>
    <t>REGION_MASTER_DESC_WU</t>
  </si>
  <si>
    <t>실용적인 수호자</t>
  </si>
  <si>
    <t>UI_SET_ADMIN_CONNECT</t>
  </si>
  <si>
    <t>The Pragmatic Guardian</t>
  </si>
  <si>
    <t>务实的守护者</t>
  </si>
  <si>
    <t>계정 연동</t>
  </si>
  <si>
    <t>Account Link</t>
  </si>
  <si>
    <t>账号绑定</t>
  </si>
  <si>
    <t>UI_SET_ADMIN_GOOGLE</t>
  </si>
  <si>
    <t>구글</t>
  </si>
  <si>
    <t>Google</t>
  </si>
  <si>
    <t>谷歌</t>
  </si>
  <si>
    <t>UI_SET_TERMS</t>
  </si>
  <si>
    <t>서비스 이용 약관</t>
  </si>
  <si>
    <t>Terms of Service</t>
  </si>
  <si>
    <t>服务使用条款</t>
  </si>
  <si>
    <t>UI_SET_POLICY</t>
  </si>
  <si>
    <t>개인정보 수집</t>
  </si>
  <si>
    <t>Personal Data Collection</t>
  </si>
  <si>
    <t>个人信息收集</t>
  </si>
  <si>
    <t>UI_SET_AS</t>
  </si>
  <si>
    <t>고객센터</t>
  </si>
  <si>
    <t>Support</t>
  </si>
  <si>
    <t>客服中心</t>
  </si>
  <si>
    <t>UI_SET_DELETE_ACCOUNT</t>
  </si>
  <si>
    <t>계정 삭제</t>
  </si>
  <si>
    <t>Delete Account</t>
  </si>
  <si>
    <t>删除账号</t>
  </si>
  <si>
    <t>UI_SET_LOGOUT</t>
  </si>
  <si>
    <t>로그아웃</t>
  </si>
  <si>
    <t>Log Out</t>
  </si>
  <si>
    <t>退出登录</t>
  </si>
  <si>
    <t>UI_SET_LANGUAGE</t>
  </si>
  <si>
    <t>한국어</t>
  </si>
  <si>
    <t>English</t>
  </si>
  <si>
    <t>简体中文</t>
  </si>
  <si>
    <t>Yuan Shao</t>
  </si>
  <si>
    <t>袁绍</t>
  </si>
  <si>
    <t>BUTTON_ADMIN_CONNECT</t>
  </si>
  <si>
    <t>연동하기</t>
  </si>
  <si>
    <t>Link</t>
  </si>
  <si>
    <t>Yan Liang</t>
  </si>
  <si>
    <t>绑定</t>
  </si>
  <si>
    <t>颜良</t>
  </si>
  <si>
    <t>Wen Chou</t>
  </si>
  <si>
    <t>文丑</t>
  </si>
  <si>
    <t>Song Xian</t>
  </si>
  <si>
    <t>宋宪</t>
  </si>
  <si>
    <t>Wei Xu</t>
  </si>
  <si>
    <t>魏续</t>
  </si>
  <si>
    <t>Xu Huang</t>
  </si>
  <si>
    <t>徐晃</t>
  </si>
  <si>
    <t>Fan Jiang</t>
  </si>
  <si>
    <t>范疆</t>
  </si>
  <si>
    <t>Zhang Da</t>
  </si>
  <si>
    <t>张达</t>
  </si>
  <si>
    <t>본초</t>
  </si>
  <si>
    <t>Benchu</t>
  </si>
  <si>
    <t>本初</t>
  </si>
  <si>
    <t>-</t>
  </si>
  <si>
    <t>Gongming</t>
  </si>
  <si>
    <t>公明</t>
  </si>
  <si>
    <t>"사세삼공 명문가인 나 원본초를
감히 누가 감당하겠는가!"</t>
  </si>
  <si>
    <t>"I am Yuan Benchu, of a house with three excellencies in four generations.
Who would dare stand against me!"</t>
  </si>
  <si>
    <t>“我袁本初出身四世三公的名门，
谁敢与我相抗！”</t>
  </si>
  <si>
    <t>"내 도끼 앞에 무릎 꿇지 않을 자,
어디 나와 보아라!"</t>
  </si>
  <si>
    <t>"Any who will not kneel before my axe,
step forward and let me see you!"</t>
  </si>
  <si>
    <t>“不肯在我斧下跪倒的，
站出来让我看看！”</t>
  </si>
  <si>
    <t>"안량 형제와 나를 막을 자는
천하에 존재하지 않는다!"</t>
  </si>
  <si>
    <t>"No one in all the realm
can stop my brother Yan Liang and me!"</t>
  </si>
  <si>
    <t>“能挡住颜良兄弟与我的人，
天下绝无！”</t>
  </si>
  <si>
    <t>"내 도끼에 자비란 없다.
각오를 단단히 해야 할 것이야!"</t>
  </si>
  <si>
    <t>"My axe knows no mercy.
You had best brace yourself!"</t>
  </si>
  <si>
    <t>“我的斧下没有慈悲。
你可要做好准备！”</t>
  </si>
  <si>
    <t>SKILL</t>
  </si>
  <si>
    <t>의용장</t>
  </si>
  <si>
    <t>Righteous Valor</t>
  </si>
  <si>
    <t>义勇将</t>
  </si>
  <si>
    <t>desc</t>
  </si>
  <si>
    <t xml:space="preserve">아군의 이동속도가 증가하고, 5초간 최대 체력의 50%를 회복한다. </t>
  </si>
  <si>
    <t>Increases allies' move speed and restores 50% of max health over 5 seconds.</t>
  </si>
  <si>
    <t>提升友军移动速度，并在5秒内恢复最大生命值的50%。</t>
  </si>
  <si>
    <t>#Treasure_key</t>
  </si>
  <si>
    <t>liutao</t>
  </si>
  <si>
    <t>육도</t>
  </si>
  <si>
    <t>Six Secret Teachings</t>
  </si>
  <si>
    <t>六韬</t>
  </si>
  <si>
    <t>sanlue</t>
  </si>
  <si>
    <t>삼략</t>
  </si>
  <si>
    <t>Three Strategies</t>
  </si>
  <si>
    <t>三略</t>
  </si>
  <si>
    <t>weiliaozi</t>
  </si>
  <si>
    <t>위료자</t>
  </si>
  <si>
    <t>Wei Liaozi</t>
  </si>
  <si>
    <t>尉缭子</t>
  </si>
  <si>
    <t>commanders_banner</t>
  </si>
  <si>
    <t>장수기</t>
  </si>
  <si>
    <t>Banner of Command</t>
  </si>
  <si>
    <t>将旗</t>
  </si>
  <si>
    <t>tiger_tally</t>
  </si>
  <si>
    <t>호부</t>
  </si>
  <si>
    <t>Tiger Tally</t>
  </si>
  <si>
    <t>虎符</t>
  </si>
  <si>
    <t>war_drum_gong</t>
  </si>
  <si>
    <t>금고</t>
  </si>
  <si>
    <t>War Drum and Gong</t>
  </si>
  <si>
    <t>金鼓</t>
  </si>
  <si>
    <t>sima_fa</t>
  </si>
  <si>
    <t>사마법</t>
  </si>
  <si>
    <t>Methods of the Sima</t>
  </si>
  <si>
    <t>司马法</t>
  </si>
  <si>
    <t>wuzi</t>
  </si>
  <si>
    <t>오자</t>
  </si>
  <si>
    <t>Wuzi</t>
  </si>
  <si>
    <t>吴子</t>
  </si>
  <si>
    <t>red_cliff_flame</t>
  </si>
  <si>
    <t>적벽의 화염</t>
  </si>
  <si>
    <t>Flames of Red Cliff</t>
  </si>
  <si>
    <t>赤壁之焰</t>
  </si>
  <si>
    <t>bangcheonhwagug_shard</t>
  </si>
  <si>
    <t>방천화극 파편</t>
  </si>
  <si>
    <t>Fangtian Halberd Shard</t>
  </si>
  <si>
    <t>方天画戟碎片</t>
  </si>
  <si>
    <t>ganjiang_moye</t>
  </si>
  <si>
    <t>간장막야</t>
  </si>
  <si>
    <t>Ganjiang and Moye</t>
  </si>
  <si>
    <t>干将莫邪</t>
  </si>
  <si>
    <t>chungou</t>
  </si>
  <si>
    <t>순구</t>
  </si>
  <si>
    <t>Chungou</t>
  </si>
  <si>
    <t>纯钩</t>
  </si>
  <si>
    <t>zhanlu</t>
  </si>
  <si>
    <t>담로</t>
  </si>
  <si>
    <t>Zhanlu</t>
  </si>
  <si>
    <t>湛卢</t>
  </si>
  <si>
    <t>yuchang</t>
  </si>
  <si>
    <t>어장</t>
  </si>
  <si>
    <t>Yuchang</t>
  </si>
  <si>
    <t>鱼肠</t>
  </si>
  <si>
    <t>taie</t>
  </si>
  <si>
    <t>태아</t>
  </si>
  <si>
    <t>Taie</t>
  </si>
  <si>
    <t>太阿</t>
  </si>
  <si>
    <t>juque</t>
  </si>
  <si>
    <t>거궐</t>
  </si>
  <si>
    <t>Juque</t>
  </si>
  <si>
    <t>巨阙</t>
  </si>
  <si>
    <t>shengxie</t>
  </si>
  <si>
    <t>승영</t>
  </si>
  <si>
    <t>Shengying</t>
  </si>
  <si>
    <t>胜影</t>
  </si>
  <si>
    <t>lords_war_bow</t>
  </si>
  <si>
    <t>군왕궁</t>
  </si>
  <si>
    <t>King's Bow</t>
  </si>
  <si>
    <t>君王弓</t>
  </si>
  <si>
    <t>wujangwon_star</t>
  </si>
  <si>
    <t>오장원의 별</t>
  </si>
  <si>
    <t>Star of Wuzhangyuan</t>
  </si>
  <si>
    <t>五丈原之星</t>
  </si>
  <si>
    <t>art_of_war</t>
  </si>
  <si>
    <t>손자병법</t>
  </si>
  <si>
    <t>The Art of War</t>
  </si>
  <si>
    <t>孙子兵法</t>
  </si>
  <si>
    <t>#idx</t>
  </si>
  <si>
    <t>qimen_dunjia</t>
  </si>
  <si>
    <t>#PC</t>
  </si>
  <si>
    <t>기문둔갑</t>
  </si>
  <si>
    <t>Qimen Dunjia</t>
  </si>
  <si>
    <t>Target</t>
  </si>
  <si>
    <t>奇门遁甲</t>
  </si>
  <si>
    <t>#name</t>
  </si>
  <si>
    <t>i_ching</t>
  </si>
  <si>
    <t>주역</t>
  </si>
  <si>
    <t>I Ching</t>
  </si>
  <si>
    <t>周易</t>
  </si>
  <si>
    <t>#Type</t>
  </si>
  <si>
    <t>guiguzi</t>
  </si>
  <si>
    <t>귀곡자</t>
  </si>
  <si>
    <t>Guiguzi</t>
  </si>
  <si>
    <t>鬼谷子</t>
  </si>
  <si>
    <t>#Value</t>
  </si>
  <si>
    <t>guanzi</t>
  </si>
  <si>
    <t>관자</t>
  </si>
  <si>
    <t>Guanzi</t>
  </si>
  <si>
    <t>管子</t>
  </si>
  <si>
    <t>int</t>
  </si>
  <si>
    <t>han_feizi</t>
  </si>
  <si>
    <t>한비자</t>
  </si>
  <si>
    <t>Han Feizi</t>
  </si>
  <si>
    <t>韩非子</t>
  </si>
  <si>
    <t>NODE_2</t>
  </si>
  <si>
    <t>su_shu_of_huangshi</t>
  </si>
  <si>
    <t>황석공소서</t>
  </si>
  <si>
    <t>Su Shu of Huangshigong</t>
  </si>
  <si>
    <t>黄石公素书</t>
  </si>
  <si>
    <t>mozi</t>
  </si>
  <si>
    <t>TITLE</t>
  </si>
  <si>
    <t>묵자</t>
  </si>
  <si>
    <t>Mozi</t>
  </si>
  <si>
    <t>墨子</t>
  </si>
  <si>
    <t>node_1</t>
  </si>
  <si>
    <t>emperors_seal</t>
  </si>
  <si>
    <t>황제의 인장</t>
  </si>
  <si>
    <t>Emperor's Seal</t>
  </si>
  <si>
    <t>皇帝印玺</t>
  </si>
  <si>
    <t>book_of_lord_shang</t>
  </si>
  <si>
    <t>상군서</t>
  </si>
  <si>
    <t>황천당립</t>
  </si>
  <si>
    <t>Book of Lord Shang</t>
  </si>
  <si>
    <t>The Yellow Heaven Shall Rise</t>
  </si>
  <si>
    <t>商君书</t>
  </si>
  <si>
    <t>黄天当立</t>
  </si>
  <si>
    <t>node_2</t>
  </si>
  <si>
    <t>lushi_chunqiu</t>
  </si>
  <si>
    <t>철벽</t>
  </si>
  <si>
    <t>여씨춘추</t>
  </si>
  <si>
    <t>Iron Wall</t>
  </si>
  <si>
    <t>Lushi Chunqiu</t>
  </si>
  <si>
    <t>铁壁</t>
  </si>
  <si>
    <t>吕氏春秋</t>
  </si>
  <si>
    <t>node_3</t>
  </si>
  <si>
    <t>호로관 전투</t>
  </si>
  <si>
    <t>Battle of Hulao Gate</t>
  </si>
  <si>
    <t>虎牢关之战</t>
  </si>
  <si>
    <t>analects</t>
  </si>
  <si>
    <t>논어</t>
  </si>
  <si>
    <t>node_4</t>
  </si>
  <si>
    <t>The Analects</t>
  </si>
  <si>
    <t>论语</t>
  </si>
  <si>
    <t>호랑이의 몰락</t>
  </si>
  <si>
    <t>Fall of the Tiger</t>
  </si>
  <si>
    <t>猛虎陨落</t>
  </si>
  <si>
    <t>node_5</t>
  </si>
  <si>
    <t>wei_administrative_code</t>
  </si>
  <si>
    <t>한실의 기둥</t>
  </si>
  <si>
    <t>정전</t>
  </si>
  <si>
    <t>Pillar of the Han</t>
  </si>
  <si>
    <t>Administrative Code</t>
  </si>
  <si>
    <t>政典</t>
  </si>
  <si>
    <t>흥! 아직도 도적 떼가 설치다니!!</t>
  </si>
  <si>
    <t>汉室之柱</t>
  </si>
  <si>
    <t>node_6</t>
  </si>
  <si>
    <t>서주학살</t>
  </si>
  <si>
    <t>The Xuzhou Massacre</t>
  </si>
  <si>
    <t>Hah! Bandit rabble, still crawling about!!</t>
  </si>
  <si>
    <t>徐州屠城</t>
  </si>
  <si>
    <t>stratagems_of_warring_states</t>
  </si>
  <si>
    <t>전국책</t>
  </si>
  <si>
    <t>node_7</t>
  </si>
  <si>
    <t>Warring States Stratagems</t>
  </si>
  <si>
    <t>哼！贼寇竟还敢猖狂！！</t>
  </si>
  <si>
    <t>战国策</t>
  </si>
  <si>
    <t>서주구원</t>
  </si>
  <si>
    <t>The Rescue of Xuzhou</t>
  </si>
  <si>
    <t>徐州驰援</t>
  </si>
  <si>
    <t>node_8</t>
  </si>
  <si>
    <t>imperial_jade_seal</t>
  </si>
  <si>
    <t>담보가 된 옥</t>
  </si>
  <si>
    <t>The Jade Held in Pledge</t>
  </si>
  <si>
    <t>옥새</t>
  </si>
  <si>
    <t>作为抵押的玉玺</t>
  </si>
  <si>
    <t>Imperial Jade Seal</t>
  </si>
  <si>
    <t>玉玺</t>
  </si>
  <si>
    <t>node_9</t>
  </si>
  <si>
    <t>미주랑</t>
  </si>
  <si>
    <t>Zhou the Handsome</t>
  </si>
  <si>
    <t>美周郎</t>
  </si>
  <si>
    <t>prefects_official_seal</t>
  </si>
  <si>
    <t>node_10</t>
  </si>
  <si>
    <t>군목 인장</t>
  </si>
  <si>
    <t>Prefect's Seal</t>
  </si>
  <si>
    <t>郡牧官印</t>
  </si>
  <si>
    <t>칠척극</t>
  </si>
  <si>
    <t>The Seven-Foot Halberd</t>
  </si>
  <si>
    <t>七尺戟</t>
  </si>
  <si>
    <t>node_11</t>
  </si>
  <si>
    <t>헌제 옹립</t>
  </si>
  <si>
    <t>huanglao_silk_manuscript</t>
  </si>
  <si>
    <t>Enthroning Emperor Xian</t>
  </si>
  <si>
    <t>拥立献帝</t>
  </si>
  <si>
    <t>황노백서</t>
  </si>
  <si>
    <t>Huang-Lao Silk Manuscript</t>
  </si>
  <si>
    <t>黄老帛书</t>
  </si>
  <si>
    <t>node_12a</t>
  </si>
  <si>
    <t>백호 사냥 A</t>
  </si>
  <si>
    <t>White Tiger Hunt A</t>
  </si>
  <si>
    <t>白虎狩猎 A</t>
  </si>
  <si>
    <t>doewon_cup</t>
  </si>
  <si>
    <t>node_12b</t>
  </si>
  <si>
    <t>도원의 술잔</t>
  </si>
  <si>
    <t>백호 사냥 B</t>
  </si>
  <si>
    <t>Peach Garden Cup</t>
  </si>
  <si>
    <t>White Tiger Hunt B</t>
  </si>
  <si>
    <t>桃园酒杯</t>
  </si>
  <si>
    <t>白虎狩猎 B</t>
  </si>
  <si>
    <t>node_13</t>
  </si>
  <si>
    <t>여포의 최후</t>
  </si>
  <si>
    <t>죽여주마!!</t>
  </si>
  <si>
    <t>The End of Lu Bu</t>
  </si>
  <si>
    <t>I'll cut you down!!</t>
  </si>
  <si>
    <t>吕布的末路</t>
  </si>
  <si>
    <t>hes_jade_disc</t>
  </si>
  <si>
    <t>我这就宰了你们！！</t>
  </si>
  <si>
    <t>node_14</t>
  </si>
  <si>
    <t>화씨벽</t>
  </si>
  <si>
    <t>Jade Disc of He</t>
  </si>
  <si>
    <t>和氏璧</t>
  </si>
  <si>
    <t>청매자주논영웅</t>
  </si>
  <si>
    <t>Heroes Discussed over Plum Wine</t>
  </si>
  <si>
    <t>青梅煮酒论英雄</t>
  </si>
  <si>
    <t>node_15</t>
  </si>
  <si>
    <t>용의 산책</t>
  </si>
  <si>
    <t>classic_of_mountains_and_seas</t>
  </si>
  <si>
    <t>A Dragon's Stroll</t>
  </si>
  <si>
    <t>龙之散步</t>
  </si>
  <si>
    <t>산해경</t>
  </si>
  <si>
    <t>Mountains and Seas Classic</t>
  </si>
  <si>
    <t>山海经</t>
  </si>
  <si>
    <t>node_16</t>
  </si>
  <si>
    <t>무신</t>
  </si>
  <si>
    <t>God of War</t>
  </si>
  <si>
    <t>武神</t>
  </si>
  <si>
    <t>node_17</t>
  </si>
  <si>
    <t>xuanhe_qin</t>
  </si>
  <si>
    <t>복수의 칼날</t>
  </si>
  <si>
    <t>현학금</t>
  </si>
  <si>
    <t>Blade of Vengeance</t>
  </si>
  <si>
    <t>Black Crane Zither</t>
  </si>
  <si>
    <t>复仇之刃</t>
  </si>
  <si>
    <t>玄鹤琴</t>
  </si>
  <si>
    <t>node_18</t>
  </si>
  <si>
    <t>상산 조자룡</t>
  </si>
  <si>
    <t>Zhao Zilong of Changshan</t>
  </si>
  <si>
    <t>常山赵子龙</t>
  </si>
  <si>
    <t>phoenix_jade_pendant</t>
  </si>
  <si>
    <t>node_19a</t>
  </si>
  <si>
    <t>봉황패</t>
  </si>
  <si>
    <t>Phoenix Jade Pendant</t>
  </si>
  <si>
    <t>凤凰佩</t>
  </si>
  <si>
    <t>관도대전 A</t>
  </si>
  <si>
    <t>Battle of Guandu A</t>
  </si>
  <si>
    <t>官渡之战 A</t>
  </si>
  <si>
    <t>흥! 별것도 아닌 것들이..</t>
  </si>
  <si>
    <t>node_19b</t>
  </si>
  <si>
    <t>Hah! Nothing to them at all..</t>
  </si>
  <si>
    <t>哼！不过是些无名之辈……</t>
  </si>
  <si>
    <t>관도대전 B</t>
  </si>
  <si>
    <t>Battle of Guandu B</t>
  </si>
  <si>
    <t>book_of_rites</t>
  </si>
  <si>
    <t>官渡之战 B</t>
  </si>
  <si>
    <t>예기</t>
  </si>
  <si>
    <t>Book of Rites</t>
  </si>
  <si>
    <t>node_20</t>
  </si>
  <si>
    <t>礼记</t>
  </si>
  <si>
    <t>와룡</t>
  </si>
  <si>
    <t>The Sleeping Dragon</t>
  </si>
  <si>
    <t>卧龙</t>
  </si>
  <si>
    <t>Etc</t>
  </si>
  <si>
    <t>node_21a</t>
  </si>
  <si>
    <t>alliance_letter</t>
  </si>
  <si>
    <t>대장!!
조조님이 드디어 거병하셨답니다!</t>
  </si>
  <si>
    <t>Chief!!
Lord Cao Cao has finally raised his army!</t>
  </si>
  <si>
    <t>상산의 기개 A</t>
  </si>
  <si>
    <t>将军！！
曹操大人终于起兵了！</t>
  </si>
  <si>
    <t>연환서</t>
  </si>
  <si>
    <t>The Spirit of Changshan A</t>
  </si>
  <si>
    <t>Book of Linked Chains</t>
  </si>
  <si>
    <t>常山的气概 A</t>
  </si>
  <si>
    <t>连环书</t>
  </si>
  <si>
    <t>node_21b</t>
  </si>
  <si>
    <t>상산의 기개 B</t>
  </si>
  <si>
    <t>The Spirit of Changshan B</t>
  </si>
  <si>
    <t>常山的气概 B</t>
  </si>
  <si>
    <t>hetu_luoshu</t>
  </si>
  <si>
    <t>node_22</t>
  </si>
  <si>
    <t>하도낙서</t>
  </si>
  <si>
    <t>Hetu and Luoshu</t>
  </si>
  <si>
    <t>河图洛书</t>
  </si>
  <si>
    <t>여인의 기개</t>
  </si>
  <si>
    <t>A Woman's Spirit</t>
  </si>
  <si>
    <t>女子的气概</t>
  </si>
  <si>
    <t>node_23a</t>
  </si>
  <si>
    <t>손권의 결단 A</t>
  </si>
  <si>
    <t>Sun Quan's Resolve A</t>
  </si>
  <si>
    <t>map_of_queen_mother_of_the_west</t>
  </si>
  <si>
    <t>孙权的决断 A</t>
  </si>
  <si>
    <t>서왕모도</t>
  </si>
  <si>
    <t>Portrait of the Queen Mother of the West</t>
  </si>
  <si>
    <t>node_23b</t>
  </si>
  <si>
    <t>西王母图</t>
  </si>
  <si>
    <t>맹덕 형님이??</t>
  </si>
  <si>
    <t>손권의 결단 B</t>
  </si>
  <si>
    <t>Brother Mengde has??</t>
  </si>
  <si>
    <t>Sun Quan's Resolve B</t>
  </si>
  <si>
    <t>孟德兄他？？</t>
  </si>
  <si>
    <t>孙权的决断 B</t>
  </si>
  <si>
    <t>node_24a</t>
  </si>
  <si>
    <t>강을 태운 불꽃 A</t>
  </si>
  <si>
    <t>The Flames That Burned the River A</t>
  </si>
  <si>
    <t>焚江之火 A</t>
  </si>
  <si>
    <t>node_24b</t>
  </si>
  <si>
    <t>강을 태운 불꽃 B</t>
  </si>
  <si>
    <t>The Flames That Burned the River B</t>
  </si>
  <si>
    <t>焚江之火 B</t>
  </si>
  <si>
    <t>node_25</t>
  </si>
  <si>
    <t>화용도의 갈림길</t>
  </si>
  <si>
    <t>좋다!! 우리도 가서 힘을 보태자.
너희들도 나를 따라오너라!</t>
  </si>
  <si>
    <t>The Crossroads at Huarong</t>
  </si>
  <si>
    <t>Good!! We ride to lend our strength.
All of you, follow me!</t>
  </si>
  <si>
    <t>华容道的岔路</t>
  </si>
  <si>
    <t>好！！我们也去助他一臂之力。
你们都跟我来！</t>
  </si>
  <si>
    <t>node_26</t>
  </si>
  <si>
    <t>노익장</t>
  </si>
  <si>
    <t>Old but Unbowed</t>
  </si>
  <si>
    <t>老当益壮</t>
  </si>
  <si>
    <t>node_27</t>
  </si>
  <si>
    <t>무너지는 마음</t>
  </si>
  <si>
    <t>A Heart Breaking Apart</t>
  </si>
  <si>
    <t>崩塌的心</t>
  </si>
  <si>
    <t>node_28</t>
  </si>
  <si>
    <t>전장으로</t>
  </si>
  <si>
    <t>To the Battlefield</t>
  </si>
  <si>
    <t>奔赴战场</t>
  </si>
  <si>
    <t>node_29</t>
  </si>
  <si>
    <t>악귀</t>
  </si>
  <si>
    <t>The Demon</t>
  </si>
  <si>
    <t>恶鬼</t>
  </si>
  <si>
    <t>node_30a</t>
  </si>
  <si>
    <t>이 난세를 헤쳐 나가려면
힘을 키워야 한다.</t>
  </si>
  <si>
    <t>To cut a path through this broken age,
we must build up our strength.</t>
  </si>
  <si>
    <t>要在这乱世中杀出一条路，
就得积蓄力量。</t>
  </si>
  <si>
    <t>node_30b</t>
  </si>
  <si>
    <t>도원결의</t>
  </si>
  <si>
    <t>The Peach Garden Oath</t>
  </si>
  <si>
    <t>桃园结义</t>
  </si>
  <si>
    <t>node_30c</t>
  </si>
  <si>
    <t>강동의 호랑이</t>
  </si>
  <si>
    <t>Tiger of Jiangdong</t>
  </si>
  <si>
    <t>江东之虎</t>
  </si>
  <si>
    <t>node_31</t>
  </si>
  <si>
    <t>최종장</t>
  </si>
  <si>
    <t>The Final Chapter</t>
  </si>
  <si>
    <t>最终章</t>
  </si>
  <si>
    <t>DESC</t>
  </si>
  <si>
    <t>걱정마라 아만!
내가 있는데 뭐가 걱정인게야 캬캬캬!</t>
  </si>
  <si>
    <t>Don't you worry, Aman!
With me around, what's there to fret over? Gwahaha!</t>
  </si>
  <si>
    <t>别担心，阿瞒！
有我在，有什么好愁的？嘎嘎嘎！</t>
  </si>
  <si>
    <t>"천하를 뒤덮은 거대한 광기와 혼란"</t>
  </si>
  <si>
    <t>"A vast madness and chaos smothering the realm"</t>
  </si>
  <si>
    <t>“席卷天下的滔天狂乱”</t>
  </si>
  <si>
    <t>"뚫리지 않는 방패"</t>
  </si>
  <si>
    <t>"A shield that will not be pierced"</t>
  </si>
  <si>
    <t>“无法穿透的盾”</t>
  </si>
  <si>
    <t>"절대적 공포가 선사한 압도적인 무력감"</t>
  </si>
  <si>
    <t>형님 때문에 더 걱정입니다.
저번에도 혼자 돌격하시고.</t>
  </si>
  <si>
    <t>"The crushing helplessness that absolute terror brings"</t>
  </si>
  <si>
    <t>It's you I worry about, brother.
Charging in alone again, like last time.</t>
  </si>
  <si>
    <t>“绝对的恐惧带来的压倒性无力感”</t>
  </si>
  <si>
    <t>我更担心的是兄长您。
上次也是一个人就冲出去了。</t>
  </si>
  <si>
    <t>"무너지는 강동의 호랑이"</t>
  </si>
  <si>
    <t>"The Tiger of Jiangdong falls"</t>
  </si>
  <si>
    <t>“倒下的江东之虎”</t>
  </si>
  <si>
    <t>"나의 장자방이로다"</t>
  </si>
  <si>
    <t>"This man is my Zhang Zifang"</t>
  </si>
  <si>
    <t>“此乃吾之子房也”</t>
  </si>
  <si>
    <t>"붉은 피로 물들이다"</t>
  </si>
  <si>
    <t>"Stained crimson with blood"</t>
  </si>
  <si>
    <t>“以鲜血染红大地”</t>
  </si>
  <si>
    <t>뒤에서 활이나 쏘는 주제에
말이 많구나ㅋㅋ</t>
  </si>
  <si>
    <t>Says the one plinking arrows from the rear.
Awfully talkative today, hah.</t>
  </si>
  <si>
    <t>"거대한 폭력에 맞선 신념"</t>
  </si>
  <si>
    <t>就你这躲在后头放箭的，
话还真不少呢，呵。</t>
  </si>
  <si>
    <t>"Conviction standing against overwhelming violence"</t>
  </si>
  <si>
    <t>“直面滔天暴力的信念”</t>
  </si>
  <si>
    <t>"강동의 소패왕 날개를 펴다"</t>
  </si>
  <si>
    <t>"The Little Conqueror of Jiangdong spreads his wings"</t>
  </si>
  <si>
    <t>“江东小霸王展翅”</t>
  </si>
  <si>
    <t>"천하보다 뜨거운 두 영웅의 의리"</t>
  </si>
  <si>
    <t>"A bond between two heroes hotter than the realm itself"</t>
  </si>
  <si>
    <t>“比天下更炽热的两位英雄之义”</t>
  </si>
  <si>
    <t>야야 가만히 있지만 말고,
니들도 나가서...</t>
  </si>
  <si>
    <t>Hey, hey, don't just stand there.
You two get out there and...</t>
  </si>
  <si>
    <t>喂喂，别光杵着，
你们俩也出去……</t>
  </si>
  <si>
    <t>"주군을 찾는 전사의 눈"</t>
  </si>
  <si>
    <t>"A warrior's eyes, searching for a lord"</t>
  </si>
  <si>
    <t>“寻觅主公的战士之眼”</t>
  </si>
  <si>
    <t>"처절한 피난길의 끝은 난세의 영웅"</t>
  </si>
  <si>
    <t>주공!
성 밖에 1000여명 되는 무리들이
이 쪽을 향해 오고 있습니다!</t>
  </si>
  <si>
    <t>"At the end of a desperate flight stands the hero of a broken age"</t>
  </si>
  <si>
    <t>My lord!
A band of a thousand or so is outside the walls,
heading straight for us!</t>
  </si>
  <si>
    <t>主公！
城外有千余人的队伍，
正朝这边过来！</t>
  </si>
  <si>
    <t>“凄绝逃亡之路的尽头，是乱世的英雄”</t>
  </si>
  <si>
    <t>"소패왕의 자비 없는 진격"</t>
  </si>
  <si>
    <t>"The Little Conqueror's merciless advance"</t>
  </si>
  <si>
    <t>“小霸王毫无慈悲的进军”</t>
  </si>
  <si>
    <t>"무릎 꿇은 동오의 덕왕"</t>
  </si>
  <si>
    <t>"The virtuous king of Eastern Wu brought to his knees"</t>
  </si>
  <si>
    <t>“跪下的东吴德王”</t>
  </si>
  <si>
    <t>호오..</t>
  </si>
  <si>
    <t>Oho..</t>
  </si>
  <si>
    <t>哦……</t>
  </si>
  <si>
    <t>"무너진 무신의 그늘 아래 꺾이지 않는 기개"</t>
  </si>
  <si>
    <t>"An unbroken spirit beneath the shadow of a fallen god of war"</t>
  </si>
  <si>
    <t>“在崩塌的武神阴影下，不曾折断的气概”</t>
  </si>
  <si>
    <t>"천하의 영웅은 그대와 나뿐이오"</t>
  </si>
  <si>
    <t>"The only heroes in this realm are you and I"</t>
  </si>
  <si>
    <t>“今天下英雄，唯使君与操耳”</t>
  </si>
  <si>
    <t>"잠룡, 난세의 영웅을 만나다"</t>
  </si>
  <si>
    <t>"The hidden dragon meets the hero of a broken age"</t>
  </si>
  <si>
    <t>“潜龙，遇见乱世的英雄”</t>
  </si>
  <si>
    <t>음??</t>
  </si>
  <si>
    <t>Hm??</t>
  </si>
  <si>
    <t>嗯？？</t>
  </si>
  <si>
    <t>"그에겐 그저 당연한 승리"</t>
  </si>
  <si>
    <t>"To him, victory was simply a matter of course"</t>
  </si>
  <si>
    <t>“于他而言，这不过是理所当然的胜利”</t>
  </si>
  <si>
    <t>"죽음의 문턱에서"</t>
  </si>
  <si>
    <t>"At death's threshold"</t>
  </si>
  <si>
    <t>“在死亡的门槛上”</t>
  </si>
  <si>
    <t>"길 잃은 명장, 인의의 깃발 아래로"</t>
  </si>
  <si>
    <t>"A lost general finds his way beneath the banner of virtue"</t>
  </si>
  <si>
    <t>“迷途的名将，归于仁义的旗下”</t>
  </si>
  <si>
    <t>"수십만 대군에 맞선 결단"</t>
  </si>
  <si>
    <t>"A decision made against an army hundreds of thousands strong"</t>
  </si>
  <si>
    <t>“直面数十万大军的决断”</t>
  </si>
  <si>
    <t>"귀신 같은 지략, 빛을 잃다"</t>
  </si>
  <si>
    <t>"An uncanny genius for strategy, dimmed at last"</t>
  </si>
  <si>
    <t>“鬼神般的智谋，就此失色”</t>
  </si>
  <si>
    <t>"와룡 일어나다"</t>
  </si>
  <si>
    <t>"The Sleeping Dragon awakens"</t>
  </si>
  <si>
    <t>하하하!! 맹덕 형님!
나 자효가 왔습니다!!</t>
  </si>
  <si>
    <t>“卧龙崛起”</t>
  </si>
  <si>
    <t>Hahaha!! Brother Mengde!
Zixiao has come!!</t>
  </si>
  <si>
    <t>哈哈哈！！孟德兄！
我子孝来了！！</t>
  </si>
  <si>
    <t>"사선을 넘나드는 창"</t>
  </si>
  <si>
    <t>"A spear crossing the line between life and death"</t>
  </si>
  <si>
    <t>“往返于生死线上的长枪”</t>
  </si>
  <si>
    <t>"두 영웅이 열어젖힌 장판파의 혈로"</t>
  </si>
  <si>
    <t>"The bloody road through Changban, torn open by two heroes"</t>
  </si>
  <si>
    <t>“两位英雄杀开的长坂坡血路”</t>
  </si>
  <si>
    <t>"사선에서 눈 뜬 여인"</t>
  </si>
  <si>
    <t>"A woman who opened her eyes at death's edge"</t>
  </si>
  <si>
    <t>“在生死线上睁开眼的女子”</t>
  </si>
  <si>
    <t>뭐야ㅋㅋ 자효잖아?ㅋ</t>
  </si>
  <si>
    <t>Well well, if it isn't Zixiao, heh.</t>
  </si>
  <si>
    <t>"강동의 젊은 호랑이가 보검을 뽑아들다"</t>
  </si>
  <si>
    <t>哟，这不是子孝嘛，呵。</t>
  </si>
  <si>
    <t>"The young tiger of Jiangdong draws his treasured sword"</t>
  </si>
  <si>
    <t>“江东的年轻猛虎拔出宝剑”</t>
  </si>
  <si>
    <t>"영웅들의 기개가 한 곳에 모이다"</t>
  </si>
  <si>
    <t>"The spirit of heroes gathers in one place"</t>
  </si>
  <si>
    <t>“英雄们的气概汇聚一处”</t>
  </si>
  <si>
    <t>"천하통일의 꿈을 삼킨 적벽의 붉은 불길"</t>
  </si>
  <si>
    <t>"The red flames of Red Cliff that swallowed a dream of unifying the realm"</t>
  </si>
  <si>
    <t>“吞噬一统天下之梦的赤壁红焰”</t>
  </si>
  <si>
    <t>"귀재의 눈에는 그저 불장난일뿐"</t>
  </si>
  <si>
    <t>"In the eyes of the Uncanny Genius, nothing but playing with fire"</t>
  </si>
  <si>
    <t>“在鬼才眼中，不过是场火戏罢了”</t>
  </si>
  <si>
    <t>오오, 자효!!
이렇게 와주니 정말 고맙구만!!</t>
  </si>
  <si>
    <t>Oh, Zixiao!!
Coming all this way, I'm truly grateful!!</t>
  </si>
  <si>
    <t>哦哦，子孝！！
你肯前来，我真是感激不尽！！</t>
  </si>
  <si>
    <t>"의와 의의 충돌"</t>
  </si>
  <si>
    <t>"Righteousness against righteousness"</t>
  </si>
  <si>
    <t>“义与义的冲突”</t>
  </si>
  <si>
    <t>"세월을 거스른 백발의 활시위"</t>
  </si>
  <si>
    <t>"A white-haired archer's bowstring, drawn against the years"</t>
  </si>
  <si>
    <t>“逆着岁月的白发弓弦”</t>
  </si>
  <si>
    <t>"도원결의의 맹세는.."</t>
  </si>
  <si>
    <t>"And the oath of the Peach Garden.."</t>
  </si>
  <si>
    <t>“桃园结义的誓言……”</t>
  </si>
  <si>
    <t>형님, 사적인 정은 이제 접어두겠소.</t>
  </si>
  <si>
    <t>Brother, I set our private ties aside from here on.</t>
  </si>
  <si>
    <t>兄长，私情就到此为止吧。</t>
  </si>
  <si>
    <t>"전장에서 씻는 죄책감"</t>
  </si>
  <si>
    <t>"Guilt washed away on the battlefield"</t>
  </si>
  <si>
    <t>“在战场上洗刷的罪恶感”</t>
  </si>
  <si>
    <t>"진정 무신은 전장의 귀신이 되려하는가"</t>
  </si>
  <si>
    <t>"Does the god of war truly mean to become a demon of the battlefield?"</t>
  </si>
  <si>
    <t>“武神当真要化作战场的恶鬼吗？”</t>
  </si>
  <si>
    <t>"오랜 친우들과 첫 발을 내딛다"</t>
  </si>
  <si>
    <t>"Taking the first step alongside old friends"</t>
  </si>
  <si>
    <t>“与挚友们迈出第一步”</t>
  </si>
  <si>
    <t>"술잔 아래 의리를 다지다"</t>
  </si>
  <si>
    <t>오늘부로 저와 제 군사는 오직 주공의 명만을 따를 것이니, 천하를 바로잡아 주십시오!</t>
  </si>
  <si>
    <t>"An oath of brotherhood sealed over cups of wine"</t>
  </si>
  <si>
    <t>From this day, I and my soldiers will answer to my lord's command alone. Set the realm right, I beg you!</t>
  </si>
  <si>
    <t>“杯酒之下，结下义气”</t>
  </si>
  <si>
    <t>自今日起，我与我的兵马只听主公号令，还请您匡正天下！</t>
  </si>
  <si>
    <t>"맹장을 이끌고 천하로 포효하다"</t>
  </si>
  <si>
    <t>"Leading fierce generals, he roars out into the realm"</t>
  </si>
  <si>
    <t>“率领猛将，向天下咆哮”</t>
  </si>
  <si>
    <t>"무신은 무신을 위하여"</t>
  </si>
  <si>
    <t>"The god of war, for the god of war"</t>
  </si>
  <si>
    <t>“武神，为武神而战”</t>
  </si>
  <si>
    <t>CHOICE</t>
  </si>
  <si>
    <t>일어나시게ㅋ
이제 곧 큰 싸움이 일어날텐데,
자효 그대의 활약을 기대하겠네.</t>
  </si>
  <si>
    <t>Rise, rise, heh.
A great battle is coming soon,
and I'll be counting on you, Zixiao.</t>
  </si>
  <si>
    <t>起来吧，呵。
大战转眼便至，
子孝，我可就指望你了。</t>
  </si>
  <si>
    <t>주공!!</t>
  </si>
  <si>
    <t>My lord!!</t>
  </si>
  <si>
    <t>主公！！</t>
  </si>
  <si>
    <t>NODE_30B</t>
  </si>
  <si>
    <t>.. 황건적을 토벌할
의용군을 모집한다??</t>
  </si>
  <si>
    <t>.. Volunteers wanted to put down
the Yellow Turbans??</t>
  </si>
  <si>
    <t>……招募讨伐黄巾贼的
义勇军？？</t>
  </si>
  <si>
    <t>에휴..</t>
  </si>
  <si>
    <t>Haah..</t>
  </si>
  <si>
    <t>唉……</t>
  </si>
  <si>
    <t>사내가 뭔 한숨이오??
한심하기는!</t>
  </si>
  <si>
    <t>What's a man doing sighing like that??
Pathetic!</t>
  </si>
  <si>
    <t>大丈夫叹什么气？？
真是没出息！</t>
  </si>
  <si>
    <t>이 정도면 빚은 갚은거겠지.
이제 돌아가볼까?</t>
  </si>
  <si>
    <t>That should settle the debt.
Shall I head back now?</t>
  </si>
  <si>
    <t>하아.. 지금 의용군에게는
뛰어난 지도자가 필요하단 말이오.</t>
  </si>
  <si>
    <t>这样也算还清恩情了吧。
该回去了吗？</t>
  </si>
  <si>
    <t>Haa.. What these volunteers need
right now is a fine leader.</t>
  </si>
  <si>
    <t>唉……如今的义勇军，
最缺的就是一位出色的领袖。</t>
  </si>
  <si>
    <t>애꾸놈의 기를 확실히 꺾어주지.
이 자의 목을 걸어두고 함성을 질러라!!</t>
  </si>
  <si>
    <t>I'll break that one-eyed fool's spirit for good.
Hang this head high and let out a roar!!</t>
  </si>
  <si>
    <t>定要彻底折了那独眼的锐气。
把此人的首级挂起来，放声呐喊！！</t>
  </si>
  <si>
    <t>???</t>
  </si>
  <si>
    <t>？？？</t>
  </si>
  <si>
    <t>지도자 없는 의용군은
오합지졸일 뿐..</t>
  </si>
  <si>
    <t>A volunteer army with no leader
is nothing but a rabble..</t>
  </si>
  <si>
    <t>没有领袖的义勇军，
不过是乌合之众……</t>
  </si>
  <si>
    <t>CHOICE_DESC</t>
  </si>
  <si>
    <t>그렇다면 그대가 지도자가
되면 될 거 아니오.</t>
  </si>
  <si>
    <t>Then why not become
that leader yourself?</t>
  </si>
  <si>
    <t>那你自己当那个领袖
不就成了。</t>
  </si>
  <si>
    <t>Choice 1</t>
  </si>
  <si>
    <t>选项1</t>
  </si>
  <si>
    <t>Choice 2</t>
  </si>
  <si>
    <t>选项2</t>
  </si>
  <si>
    <t>나에게는 그럴 힘이 없소.</t>
  </si>
  <si>
    <t>I have no such strength.</t>
  </si>
  <si>
    <t>我没有那样的力量。</t>
  </si>
  <si>
    <t>흥! 내가 도와주겠소이다!
어디 가서 술이나 한잔 합시다.</t>
  </si>
  <si>
    <t>Hah! Then I'll help you!
Let's go find a drink somewhere.</t>
  </si>
  <si>
    <t>哼！那我来助你一把！
找个地方喝一杯去。</t>
  </si>
  <si>
    <t>그럼 내가 좋은 곳을 알고
있으니, 따라 오시겠소?</t>
  </si>
  <si>
    <t>Then I know a fine spot.
Will you follow me?</t>
  </si>
  <si>
    <t>那我倒知道个好地方，
二位愿随我来吗？</t>
  </si>
  <si>
    <t>흠흠.. 나도 함께 가지.</t>
  </si>
  <si>
    <t>Ahem.. I'll come along as well.</t>
  </si>
  <si>
    <t>咳咳……我也一同去吧。</t>
  </si>
  <si>
    <t>눈에 띄는 건 싫군</t>
  </si>
  <si>
    <t>I'd rather not stand out</t>
  </si>
  <si>
    <t>오오! 복숭아 밭 파티장이라니ㅋ
근사하구만ㅋ</t>
  </si>
  <si>
    <t>不想太惹眼</t>
  </si>
  <si>
    <t>Oho! A banquet in a peach orchard, heh.
Very fine indeed, heh.</t>
  </si>
  <si>
    <t>哦哦！竟是桃林里的酒席，呵。
够气派啊，呵。</t>
  </si>
  <si>
    <t>문추의 목을 높이 들어라</t>
  </si>
  <si>
    <t>Raise Wen Chou's head high</t>
  </si>
  <si>
    <t>把文丑的首级高高举起</t>
  </si>
  <si>
    <t>없는 살림에 너무
무리하시는게 아닐런지..</t>
  </si>
  <si>
    <t>With your means so thin,
isn't this rather too much..</t>
  </si>
  <si>
    <t>家底本就不厚，
这般铺张是否过了些……</t>
  </si>
  <si>
    <t>음..</t>
  </si>
  <si>
    <t>Hm..</t>
  </si>
  <si>
    <t>嗯……</t>
  </si>
  <si>
    <t>한 왕실의 재건을 위해 그대들을 
맞이하는 것이니 그런 소리 마시오.</t>
  </si>
  <si>
    <t>I welcome you both for the sake of restoring
the House of Han. Say no more of it.</t>
  </si>
  <si>
    <t>我是为重振汉室而迎二位，
这等话就莫要再提了。</t>
  </si>
  <si>
    <t>무슨 소리신지, 이 근방 돗자리는
모두 내가 납품하고 있소만.</t>
  </si>
  <si>
    <t>What are you saying? Every straw mat in these parts
is supplied by me, you know.</t>
  </si>
  <si>
    <t>这是哪里话，这一带的草席
可全是我在供货呢。</t>
  </si>
  <si>
    <t>역시 큰 뜻을 품고 있었구려ㅋ</t>
  </si>
  <si>
    <t>So you did harbor a great purpose after all, heh.</t>
  </si>
  <si>
    <t>果然是胸怀大志之人啊，呵。</t>
  </si>
  <si>
    <t>그 뜻에 동참하겠소.
형님으로 모시겠습니다.</t>
  </si>
  <si>
    <t>I will join you in that purpose.
I shall serve you as my elder brother.</t>
  </si>
  <si>
    <t>我愿追随此志。
愿奉你为兄长。</t>
  </si>
  <si>
    <t>아니!! 부자였소?? 그런데 
왜 그런 거지꼴로 다녔던거요??</t>
  </si>
  <si>
    <t>What!! You were rich?? Then
why in the world did you go about in those rags??</t>
  </si>
  <si>
    <t>什么！！你竟是有钱人？？那
为何还整日一副乞丐模样？？</t>
  </si>
  <si>
    <t>뭐 딱히..</t>
  </si>
  <si>
    <t>Well, no particular reason..</t>
  </si>
  <si>
    <t>也没什么特别的……</t>
  </si>
  <si>
    <t>하하하! 좋소이다! 형님으로
모실테니 큰 뜻을 품어주십시오.</t>
  </si>
  <si>
    <t>Hahaha! Very well! I shall serve you
as my elder brother, so hold fast to that great purpose.</t>
  </si>
  <si>
    <t>哈哈哈！好极了！我愿奉你
为兄长，还望你怀抱大志。</t>
  </si>
  <si>
    <t>고맙소. 태어난 날은 다르나 
한날 한시에 죽을 것을 맹세합시다.</t>
  </si>
  <si>
    <t>My thanks. Though we were not born on the same day,
let us swear to die on the same day and hour.</t>
  </si>
  <si>
    <t>多谢二位。不求同年同月同日生，
但愿同年同月同日死。</t>
  </si>
  <si>
    <t>응?? 그건 좀..</t>
  </si>
  <si>
    <t>Huh?? That part's a bit much..</t>
  </si>
  <si>
    <t>啊？？这个嘛，有点……</t>
  </si>
  <si>
    <t>뜨거운 맹세, 영원히
변치 않을 것입니다.</t>
  </si>
  <si>
    <t>This burning oath, for all time,
shall never be broken.</t>
  </si>
  <si>
    <t>这炽热的誓言，
永世不变。</t>
  </si>
  <si>
    <t>않을 것이오!!</t>
  </si>
  <si>
    <t>Never be broken!!</t>
  </si>
  <si>
    <t>绝不会变！！</t>
  </si>
  <si>
    <t>NODE_16</t>
  </si>
  <si>
    <t>..?</t>
  </si>
  <si>
    <t>……？</t>
  </si>
  <si>
    <t>뭐라고? 송헌과 위속은 전사하고,
그 서황마저 패퇴했다고?</t>
  </si>
  <si>
    <t>What did you say? Song Xian and Wei Xu fell in battle,
and even Xu Huang was driven back?</t>
  </si>
  <si>
    <t>你说什么？宋宪、魏续战死，
连徐晃也被击退了？</t>
  </si>
  <si>
    <t>하하하! 조조놈 무장들은
어찌 이리 버러지들 뿐이더냐ㅋㅋ</t>
  </si>
  <si>
    <t>Hahaha! Why are Cao Cao's officers
nothing but worms, heh heh.</t>
  </si>
  <si>
    <t>哈哈哈！曹操手下的武将
怎么尽是些蛆虫，呵呵。</t>
  </si>
  <si>
    <t>이 자식이.. - -+</t>
  </si>
  <si>
    <t>Why you little.. - -+</t>
  </si>
  <si>
    <t>你这厮…… - -+</t>
  </si>
  <si>
    <t>맹덕! 아니 주공! 내가 가서
저놈의 모가지를 따오겠소!</t>
  </si>
  <si>
    <t>Mengde! No, my lord! Let me go and
take that man's head!</t>
  </si>
  <si>
    <t>孟德！不，主公！我去把
那家伙的脑袋摘回来！</t>
  </si>
  <si>
    <t>형님! 이미 사기가 바닥입니다.
무작정 나간다고 될 일이 아니오.</t>
  </si>
  <si>
    <t>Brother! Morale is already at rock bottom.
Charging out blindly won't settle this.</t>
  </si>
  <si>
    <t>兄长！如今士气已跌到谷底。
一味莽撞出战是解决不了的。</t>
  </si>
  <si>
    <t>그럼 저 놈이 지껄이는 걸
보고만 있으란 소리냐!?</t>
  </si>
  <si>
    <t>So you're telling me to just stand here
and listen to that dog run his mouth!?</t>
  </si>
  <si>
    <t>那你是要我干站着，
听那家伙在那儿放屁吗！？</t>
  </si>
  <si>
    <t>응??</t>
  </si>
  <si>
    <t>Huh??</t>
  </si>
  <si>
    <t>어찌한다..</t>
  </si>
  <si>
    <t>What to do..</t>
  </si>
  <si>
    <t>该如何是好……</t>
  </si>
  <si>
    <t>곤란하신 일이 있으신가봅니다, 조조님.</t>
  </si>
  <si>
    <t>You seem to be in some difficulty, Lord Cao Cao.</t>
  </si>
  <si>
    <t>看来您正为难，曹操大人。</t>
  </si>
  <si>
    <t>와주셨군요, 관 장군!</t>
  </si>
  <si>
    <t>You've come, General Guan!</t>
  </si>
  <si>
    <t>关将军，您来了！</t>
  </si>
  <si>
    <t>주군, 제가 관 장군과 함께
급습해 보겠습니다.</t>
  </si>
  <si>
    <t>My lord, allow me to strike
alongside General Guan.</t>
  </si>
  <si>
    <t>主公，请让我与关将军
一同奇袭。</t>
  </si>
  <si>
    <t>(공을 세우게 하고 싶진 않지만..)</t>
  </si>
  <si>
    <t>(I'd rather not hand him the merit, but..)</t>
  </si>
  <si>
    <t>（我并不想让他立功，可是……）</t>
  </si>
  <si>
    <t>관공, 투구에 화려한 깃이 있는
무장이 안량이오.</t>
  </si>
  <si>
    <t>Lord Guan, the officer with the gaudy plume
on his helm is Yan Liang.</t>
  </si>
  <si>
    <t>关公，头盔上插着华丽羽饰的
那位武将，便是颜良。</t>
  </si>
  <si>
    <t>그대가 보기에는 어떻소?</t>
  </si>
  <si>
    <t>How does he look to you?</t>
  </si>
  <si>
    <t>依你看，他如何？</t>
  </si>
  <si>
    <t>그저 '나 죽여주시오'
하는 것 같습니다.</t>
  </si>
  <si>
    <t>He looks rather like he's saying
'kill me, if you please.'</t>
  </si>
  <si>
    <t>看着倒像是在说
“请把我杀了吧”。</t>
  </si>
  <si>
    <t>역시 그대답소ㅋ 좋다!
관공과 장료는 바로 출진하시오!</t>
  </si>
  <si>
    <t>Spoken like yourself, heh. Good!
Lord Guan, Zhang Liao, ride out at once!</t>
  </si>
  <si>
    <t>果然是你的作风，呵。好！
关公与张辽，即刻出阵！</t>
  </si>
  <si>
    <t>캬캬캬 애꾸놈 울화통 터지는게
여기까지 느껴지는구나ㅋㅋ</t>
  </si>
  <si>
    <t>Gwahaha, I can feel that one-eyed fool's blood
boiling all the way over here, heh heh.</t>
  </si>
  <si>
    <t>嘎嘎嘎，那独眼的憋屈劲儿
我在这儿都能感觉到，呵呵。</t>
  </si>
  <si>
    <t>응? 수염? 유비가
말한 자가 저자인가?</t>
  </si>
  <si>
    <t>Hm? That beard? Is that the man
Liu Bei spoke of?</t>
  </si>
  <si>
    <t>嗯？那胡须？莫非就是
刘备说的那个人？</t>
  </si>
  <si>
    <t>조심하십시오. 원소진영내
최고의 무장입니다.</t>
  </si>
  <si>
    <t>Be careful. He is the finest
officer in Yuan Shao's camp.</t>
  </si>
  <si>
    <t>请当心。他是袁绍营中
第一等的武将。</t>
  </si>
  <si>
    <t>이보시오, 당신이 관운장이오?
우리 진영에 지금..</t>
  </si>
  <si>
    <t>You there, are you Guan Yunchang?
Our camp is presently..</t>
  </si>
  <si>
    <t>喂，你可是关云长？
我军营中如今……</t>
  </si>
  <si>
    <t>..엥??</t>
  </si>
  <si>
    <t>..huh??</t>
  </si>
  <si>
    <t>……诶？？</t>
  </si>
  <si>
    <t>하하하! 역시 그대는
하늘이 내린 신장이오!</t>
  </si>
  <si>
    <t>Hahaha! Truly, you are a divine general
sent down by Heaven!</t>
  </si>
  <si>
    <t>哈哈哈！你果然是上天
降下的神将！</t>
  </si>
  <si>
    <t>과찬이십니다.</t>
  </si>
  <si>
    <t>You praise me too much.</t>
  </si>
  <si>
    <t>过奖了。</t>
  </si>
  <si>
    <t>흥, 나였다면 기합만으로도..</t>
  </si>
  <si>
    <t>Hmph, had it been me, a war cry alone would've..</t>
  </si>
  <si>
    <t>哼，若是我，光一声怒喝就……</t>
  </si>
  <si>
    <t>에헴.. 형님?</t>
  </si>
  <si>
    <t>Ahem.. Brother?</t>
  </si>
  <si>
    <t>咳……兄长？</t>
  </si>
  <si>
    <t>..</t>
  </si>
  <si>
    <t>……</t>
  </si>
  <si>
    <t>주군! 지금 문추가
미쳐 날뛰고 있습니다!</t>
  </si>
  <si>
    <t>My lord! Wen Chou is on a rampage
right now!</t>
  </si>
  <si>
    <t>主公！文丑此刻正
疯狂冲杀！</t>
  </si>
  <si>
    <t>안량을 벤 자가 누구더냐!</t>
  </si>
  <si>
    <t>Who is it that cut down Yan Liang!</t>
  </si>
  <si>
    <t>斩了颜良的，是何人！</t>
  </si>
  <si>
    <t>관우는 아닐것입니다.</t>
  </si>
  <si>
    <t>It will not have been Guan Yu.</t>
  </si>
  <si>
    <t>想必不会是关羽。</t>
  </si>
  <si>
    <t>두고 보면 알 일이오.</t>
  </si>
  <si>
    <t>We shall see soon enough.</t>
  </si>
  <si>
    <t>且看着便知。</t>
  </si>
  <si>
    <t>흥! 대체 안량이 어떻게..
분명 무슨 암수를 썼을 테지!</t>
  </si>
  <si>
    <t>Hmph! How on earth could Yan Liang..
He must have used some foul trick!</t>
  </si>
  <si>
    <t>哼！颜良怎会……
定是用了什么阴招！</t>
  </si>
  <si>
    <t>응?</t>
  </si>
  <si>
    <t>Huh?</t>
  </si>
  <si>
    <t>嗯？</t>
  </si>
  <si>
    <t>아니!!</t>
  </si>
  <si>
    <t>No!!</t>
  </si>
  <si>
    <t>不会吧！！</t>
  </si>
  <si>
    <t xml:space="preserve">으윽.. 이건 내가 어찌 할 수
있는 자가 아니다.. </t>
  </si>
  <si>
    <t>Ugh.. This is not a man I can
do anything about..</t>
  </si>
  <si>
    <t>唔……此人不是我能
对付得了的……</t>
  </si>
  <si>
    <t>일단 도망을..</t>
  </si>
  <si>
    <t>Better to flee for now..</t>
  </si>
  <si>
    <t>先逃了再说……</t>
  </si>
  <si>
    <t>ㅉㅉ</t>
  </si>
  <si>
    <t>Tsk tsk</t>
  </si>
  <si>
    <t>啧啧</t>
  </si>
  <si>
    <t>으아!</t>
  </si>
  <si>
    <t>Aagh!</t>
  </si>
  <si>
    <t>啊啊！</t>
  </si>
  <si>
    <t>이이!! 저 자는 분명 관우지 않소!
어떻게 된것이오 유비!</t>
  </si>
  <si>
    <t>Gah!! That man is plainly Guan Yu!
What is the meaning of this, Liu Bei!</t>
  </si>
  <si>
    <t>呃啊！！那人分明就是关羽！
这是怎么回事，刘备！</t>
  </si>
  <si>
    <t>명공! 조조는 원래 저를 시기하여 명공의
손을 빌려 저를 죽이려는 것입니다.</t>
  </si>
  <si>
    <t>Your Excellency! Cao Cao has always envied me, and means
to borrow your hand to have me killed.</t>
  </si>
  <si>
    <t>明公！曹操素来忌惮于我，正是想
借您之手取我性命。</t>
  </si>
  <si>
    <t>으으 - -+</t>
  </si>
  <si>
    <t>Hrrgh - -+</t>
  </si>
  <si>
    <t>唔唔 - -+</t>
  </si>
  <si>
    <t>흐음..</t>
  </si>
  <si>
    <t>Hmm..</t>
  </si>
  <si>
    <t>관우는 내가 여기 있는
것을 모를 것입니다.</t>
  </si>
  <si>
    <t>Guan Yu will not know
that I am here.</t>
  </si>
  <si>
    <t>关羽应当不知道
我在此处。</t>
  </si>
  <si>
    <t>제가 직접 관우에게 밀사를 보내겠습니다.
그렇다면 관우는 바로 달려올 것입니다.</t>
  </si>
  <si>
    <t>I shall send a secret envoy to Guan Yu myself.
If I do, he will come at once.</t>
  </si>
  <si>
    <t>我亲自派密使去见关羽。
如此一来，他必定立刻赶来。</t>
  </si>
  <si>
    <t>안량, 문추를 잃은 것은 
안타까운 일입니다.</t>
  </si>
  <si>
    <t>Losing Yan Liang and Wen Chou
is a grievous thing.</t>
  </si>
  <si>
    <t>折了颜良、文丑，
实在令人痛惜。</t>
  </si>
  <si>
    <t>허나, 관우를 얻는 것은 천하를
얻는 것과 다름이 없을 것입니다!</t>
  </si>
  <si>
    <t>Yet gaining Guan Yu would be no different
from gaining the realm itself!</t>
  </si>
  <si>
    <t>然而得到关羽，
与得天下并无二致！</t>
  </si>
  <si>
    <t>하하하. 내가 뭐 그리
소인배도 아니고ㅋㅋ</t>
  </si>
  <si>
    <t>Hahaha. I'm hardly such
a small-minded man, heh heh.</t>
  </si>
  <si>
    <t>哈哈哈。我又不是什么
小肚鸡肠之辈，呵呵。</t>
  </si>
  <si>
    <t>오늘 밤 관우를 맞이하는
술잔을 기울이도록 하지ㅋ</t>
  </si>
  <si>
    <t>Tonight we shall raise our cups
to welcome Guan Yu, heh.</t>
  </si>
  <si>
    <t>今夜便举杯，
为迎关羽接风，呵。</t>
  </si>
  <si>
    <t>관우.. 살아 있었구나..</t>
  </si>
  <si>
    <t>Guan Yu.. so you were alive..</t>
  </si>
  <si>
    <t>关羽……你还活着……</t>
  </si>
  <si>
    <t>.. 관우야??</t>
  </si>
  <si>
    <t>.. Guan Yu??</t>
  </si>
  <si>
    <t>……关羽？？</t>
  </si>
  <si>
    <t>유비.. 네 놈 때문에 내가 제일
아끼는 무장 두명을 잃었다.</t>
  </si>
  <si>
    <t>Liu Bei.. because of you I have lost
the two officers I prized most.</t>
  </si>
  <si>
    <t>刘备……因为你，我折了
最器重的两名武将。</t>
  </si>
  <si>
    <t>아니 죽인 것은 관우인데요?
그게 아니라. 제가 지금 당장 밀서를..</t>
  </si>
  <si>
    <t>But it was Guan Yu who killed them?
No, that aside. Let me send a secret letter at once..</t>
  </si>
  <si>
    <t>可杀他们的是关羽啊？
不是，我是说，我这就修书一封……</t>
  </si>
  <si>
    <t>아니오.</t>
  </si>
  <si>
    <t>No.</t>
  </si>
  <si>
    <t>不必了。</t>
  </si>
  <si>
    <t>안량, 문추를 잃은 것은 
안타까우나..</t>
  </si>
  <si>
    <t>Losing Yan Liang and Wen Chou
is grievous, and yet..</t>
  </si>
  <si>
    <t>折了颜良、文丑
确实痛惜，可是……</t>
  </si>
  <si>
    <t>네 놈의 목을 쳐 그들의
원한을 풀어주겠다.</t>
  </si>
  <si>
    <t>I shall take your head and lay
their grudge to rest.</t>
  </si>
  <si>
    <t>我要斩下你的首级，
以解他们的怨恨。</t>
  </si>
  <si>
    <t>저를 살려주시면
관우를 얻게 될 것입니다!</t>
  </si>
  <si>
    <t>Spare me, and you will gain
Guan Yu!</t>
  </si>
  <si>
    <t>若您饶我一命，
便能得到关羽！</t>
  </si>
  <si>
    <t>가서 안량과 문추에게
안부나 전해주시게. 에잇!</t>
  </si>
  <si>
    <t>Go and give my regards to
Yan Liang and Wen Chou. Hyah!</t>
  </si>
  <si>
    <t>去替我向颜良、文丑
问声好吧。呀！</t>
  </si>
  <si>
    <t>으아악!</t>
  </si>
  <si>
    <t>Aaargh!</t>
  </si>
  <si>
    <t>啊啊啊！</t>
  </si>
  <si>
    <t>흐음.. 갑자기 형님이 그립군..</t>
  </si>
  <si>
    <t>Hmm.. suddenly I find myself missing my brother..</t>
  </si>
  <si>
    <t>嗯……忽然有些想念兄长了……</t>
  </si>
  <si>
    <t>NODE_27</t>
  </si>
  <si>
    <t>뭐라고? 방금 뭐라고 하셨소!?</t>
  </si>
  <si>
    <t>What did you say? Say that again!?</t>
  </si>
  <si>
    <t>你说什么？刚才说了什么！？</t>
  </si>
  <si>
    <t>원소군에 의탁해 있던 유비님이
원소에 의해 처형당했다 합니다.</t>
  </si>
  <si>
    <t>They say Lord Liu Bei, who had taken shelter with
Yuan Shao's army, was executed by Yuan Shao.</t>
  </si>
  <si>
    <t>据说寄身于袁绍军中的刘备大人，
已被袁绍处死。</t>
  </si>
  <si>
    <t>서..설마.. 내가 안량과
문추를 베어서.. 인가??</t>
  </si>
  <si>
    <t>Could.. could it be.. because I cut down
Yan Liang and Wen Chou??</t>
  </si>
  <si>
    <t>难……难道说……是因为我斩了
颜良与文丑……吗？？</t>
  </si>
  <si>
    <t>흑흑.. 형님.. ㅜㅜ</t>
  </si>
  <si>
    <t>Sob.. brother.. T_T</t>
  </si>
  <si>
    <t>呜呜……兄长……呜呜</t>
  </si>
  <si>
    <t>한날 한시에 죽겠다는 맹세,
결코 헛되지 않을 것이오!</t>
  </si>
  <si>
    <t>Our oath to die on the same day and hour
shall not be in vain!</t>
  </si>
  <si>
    <t>同年同月同日死的誓言，
绝不会白许！</t>
  </si>
  <si>
    <t>앗! 관 장군!</t>
  </si>
  <si>
    <t>Ah! General Guan!</t>
  </si>
  <si>
    <t>啊！关将军！</t>
  </si>
  <si>
    <t>관공!!</t>
  </si>
  <si>
    <t>Lord Guan!!</t>
  </si>
  <si>
    <t>关公！！</t>
  </si>
  <si>
    <t>어찌 이리 어리석은!</t>
  </si>
  <si>
    <t>How can you be so foolish!</t>
  </si>
  <si>
    <t>怎能如此愚昧！</t>
  </si>
  <si>
    <t>조조님. 그대에겐 이미 공을 세워
빚을 다 갚았다 생각하오.</t>
  </si>
  <si>
    <t>Lord Cao Cao. I consider my debt to you
repaid in full through the merits I have won.</t>
  </si>
  <si>
    <t>曹操大人。我以立下的功劳，
已将欠你的恩情尽数偿清。</t>
  </si>
  <si>
    <t>그대는 그대의 일을 하시오.</t>
  </si>
  <si>
    <t>You go about your business.</t>
  </si>
  <si>
    <t>你做你的事去吧。</t>
  </si>
  <si>
    <t>어찌 그런 소리를 하시는거요?</t>
  </si>
  <si>
    <t>How can you speak that way?</t>
  </si>
  <si>
    <t>你怎能说出这样的话？</t>
  </si>
  <si>
    <t>GUIDE</t>
  </si>
  <si>
    <t>MOVE</t>
  </si>
  <si>
    <t>유비 형님이 안계신 이상
한 왕실의 운명도 여기까지요.</t>
  </si>
  <si>
    <t>With Brother Liu Bei gone, the fate of
the House of Han ends here as well.</t>
  </si>
  <si>
    <t>刘备兄长已不在，
汉室的命数也到此为止了。</t>
  </si>
  <si>
    <t>이동하기</t>
  </si>
  <si>
    <t>Move</t>
  </si>
  <si>
    <t>나를 도와 한 왕실을 부흥시키고,
천하를 안정토록 하면 될 것 아니오?</t>
  </si>
  <si>
    <t>Then help me restore the House of Han
and bring peace to the realm. Would that not do?</t>
  </si>
  <si>
    <t>那便助我重振汉室，
安定天下，不也一样吗？</t>
  </si>
  <si>
    <t>NORMAL_ATTACK</t>
  </si>
  <si>
    <t>기본공격 하기</t>
  </si>
  <si>
    <t>Basic Attack</t>
  </si>
  <si>
    <t>普通攻击</t>
  </si>
  <si>
    <t>조조님, 그대에게 한 왕실은
그저 도구일 뿐이지 않소.</t>
  </si>
  <si>
    <t>Lord Cao Cao, to you the House of Han
is nothing more than a tool.</t>
  </si>
  <si>
    <t>曹操大人，汉室对你而言，
不过是一件工具罢了。</t>
  </si>
  <si>
    <t>MAIN_SKILL_USE</t>
  </si>
  <si>
    <t>스킬 사용하기</t>
  </si>
  <si>
    <t>Use a Skill</t>
  </si>
  <si>
    <t>使用技能</t>
  </si>
  <si>
    <t>DASH_USE</t>
  </si>
  <si>
    <t>대쉬 사용하기</t>
  </si>
  <si>
    <t>그..그건..</t>
  </si>
  <si>
    <t>Use Dash</t>
  </si>
  <si>
    <t>Tha.. that is..</t>
  </si>
  <si>
    <t>使用冲刺</t>
  </si>
  <si>
    <t>这……这……</t>
  </si>
  <si>
    <t>STORYMODE_PLAY</t>
  </si>
  <si>
    <t>스토리모드 클리어</t>
  </si>
  <si>
    <t>Clear Story Mode</t>
  </si>
  <si>
    <t>通关剧情模式</t>
  </si>
  <si>
    <t>관 장군! 말씀이 너무 지나치시오!</t>
  </si>
  <si>
    <t>General Guan! You go too far!</t>
  </si>
  <si>
    <t>关将军！此言太过了！</t>
  </si>
  <si>
    <t>CHARACTER_DEPLOY</t>
  </si>
  <si>
    <t>Deploy Officers</t>
  </si>
  <si>
    <t>部署武将</t>
  </si>
  <si>
    <t>우리 주군께선 그런
파렴치한 자가 아니오!</t>
  </si>
  <si>
    <t>Our lord is not
so shameless a man!</t>
  </si>
  <si>
    <t>我家主公绝非
那般无耻之人！</t>
  </si>
  <si>
    <t>DAILY_DUNGEON_PLAY</t>
  </si>
  <si>
    <t>.. 저기..</t>
  </si>
  <si>
    <r>
      <rPr>
        <sz val="11"/>
        <color theme="1"/>
        <rFont val="Arial"/>
      </rPr>
      <t>요일</t>
    </r>
    <r>
      <rPr>
        <sz val="11"/>
        <color theme="1"/>
        <rFont val="돋움"/>
        <family val="3"/>
        <charset val="129"/>
      </rPr>
      <t xml:space="preserve"> 던전 클리어</t>
    </r>
  </si>
  <si>
    <t>.. Er..</t>
  </si>
  <si>
    <t>Clear the Daily Dungeon</t>
  </si>
  <si>
    <t>……那个……</t>
  </si>
  <si>
    <t>通关每日副本</t>
  </si>
  <si>
    <t>REPEAT</t>
  </si>
  <si>
    <t>ENEMY_KILL</t>
  </si>
  <si>
    <t>적 처치하기</t>
  </si>
  <si>
    <t>Defeat Enemies</t>
  </si>
  <si>
    <t>击败敌人</t>
  </si>
  <si>
    <t>만약 한 왕실의 녹을 받으면서
한치라도 그런 마음을 먹는다면
천벌을 받아 마땅할 것이오!!</t>
  </si>
  <si>
    <t>If a man drawing the salary of the House of Han
harbored even an inch of such intent,
he would deserve nothing less than Heaven's punishment!!</t>
  </si>
  <si>
    <t>若是身受汉室俸禄之人
心中生出半分那样的念头，
便该受天谴！！</t>
  </si>
  <si>
    <t>TOURNAMENT_PLAY</t>
  </si>
  <si>
    <t>비무대회 참여하기</t>
  </si>
  <si>
    <t>Join a Tournament</t>
  </si>
  <si>
    <t>参加比武大会</t>
  </si>
  <si>
    <t>RAID_PLAY</t>
  </si>
  <si>
    <t>레이드 참여하기</t>
  </si>
  <si>
    <t>그렇지 않습니까, 주군.</t>
  </si>
  <si>
    <t>Join a Raid</t>
  </si>
  <si>
    <t>Is that not so, my lord.</t>
  </si>
  <si>
    <t>参加讨伐战</t>
  </si>
  <si>
    <t>主公，您说是不是。</t>
  </si>
  <si>
    <t>GACHA_PROGRESS</t>
  </si>
  <si>
    <t>Recruit Officers</t>
  </si>
  <si>
    <t>进行武将招募</t>
  </si>
  <si>
    <t>FARM_RICE_EARN</t>
  </si>
  <si>
    <t>군량 수확하기</t>
  </si>
  <si>
    <t>Harvest Provisions</t>
  </si>
  <si>
    <t>收获军粮</t>
  </si>
  <si>
    <t>.. - -+</t>
  </si>
  <si>
    <t>MARKET_GOLD_EARN</t>
  </si>
  <si>
    <t>…… - -+</t>
  </si>
  <si>
    <t>금화 수확하기</t>
  </si>
  <si>
    <t>Collect Gold</t>
  </si>
  <si>
    <t>收取金币</t>
  </si>
  <si>
    <t>OFFICE_MISSION_PROGRESS</t>
  </si>
  <si>
    <t>관아 파견 보내기</t>
  </si>
  <si>
    <t>Send an Office Mission</t>
  </si>
  <si>
    <t>派遣官府任务</t>
  </si>
  <si>
    <t>..??</t>
  </si>
  <si>
    <t>……？？</t>
  </si>
  <si>
    <t>요일던전 플레이하기</t>
  </si>
  <si>
    <t>Play the Daily Dungeon</t>
  </si>
  <si>
    <t>游玩每日副本</t>
  </si>
  <si>
    <t>STAGE_BOSS_KILL</t>
  </si>
  <si>
    <t>스테이지 보스 처치</t>
  </si>
  <si>
    <t>Defeat the Stage Boss</t>
  </si>
  <si>
    <t>击败关卡首领</t>
  </si>
  <si>
    <t>관공! 내가 유비의 장례는
최고의 예를 다해 모셔주겠소.</t>
  </si>
  <si>
    <t>Lord Guan! I shall see Liu Bei's funeral rites
performed with the highest honors.</t>
  </si>
  <si>
    <t>关公！刘备的丧礼，
我必以最高之礼相待。</t>
  </si>
  <si>
    <t>[W,A,S,D]를 눌러\n이동해보자.</t>
  </si>
  <si>
    <t>Press [W,A,S,D]
and try moving.</t>
  </si>
  <si>
    <t>按[W,A,S,D]键，
试着移动一下吧。</t>
  </si>
  <si>
    <t>DESC_MOBILE</t>
  </si>
  <si>
    <t>화면을 터치해 이동해보자.</t>
  </si>
  <si>
    <t>Tap the screen to move.</t>
  </si>
  <si>
    <t>点击屏幕移动看看吧。</t>
  </si>
  <si>
    <t>[X]키를 눌러 공격해보자.\n화면을 터치해도 가능해.</t>
  </si>
  <si>
    <t>Press [X] to attack.
Tapping the screen works too.</t>
  </si>
  <si>
    <t>按[X]键攻击试试。
点击屏幕也可以哦。</t>
  </si>
  <si>
    <t>유비의 두 부인 또한 극진히
모실 것을 내 약속하겠소.</t>
  </si>
  <si>
    <t>And I give you my word that Liu Bei's two wives
will be cared for with the utmost respect.</t>
  </si>
  <si>
    <t>刘备的两位夫人，
我也承诺必将厚待。</t>
  </si>
  <si>
    <t>공격 버튼을 눌러보자.</t>
  </si>
  <si>
    <t>Try the attack button.</t>
  </si>
  <si>
    <t>按一下攻击按钮吧。</t>
  </si>
  <si>
    <t>조조님.. 그대는 진심으로 한 왕실을 위하고,
백성을 먼저 생각하는 길을 갈 수 있겠소?</t>
  </si>
  <si>
    <t>Lord Cao Cao.. can you truly walk a road that serves the House of Han
in earnest, and puts the people first?</t>
  </si>
  <si>
    <t>曹操大人……你真能走上一条真心
为汉室、以百姓为先的路吗？</t>
  </si>
  <si>
    <t>[C]키를 누른 후 좌클릭해봐.\n버튼을 눌러서도 가능해.</t>
  </si>
  <si>
    <t>Press [C], then left-click.
The button works too.</t>
  </si>
  <si>
    <t>按下[C]键后点击左键。
用按钮也可以哦。</t>
  </si>
  <si>
    <t>스킬 버튼을 눌러보자.</t>
  </si>
  <si>
    <t>Try the skill button.</t>
  </si>
  <si>
    <t>按一下技能按钮吧。</t>
  </si>
  <si>
    <t>다..당연히..</t>
  </si>
  <si>
    <t>Of.. of course..</t>
  </si>
  <si>
    <t>当……当然……</t>
  </si>
  <si>
    <t>[SpaceBar]키를 눌러보자.\n버튼을 눌러서도 가능해.</t>
  </si>
  <si>
    <t>Try pressing [SpaceBar].
The button works too.</t>
  </si>
  <si>
    <t>试着按[空格]键。
用按钮也可以哦。</t>
  </si>
  <si>
    <t>형님께서 바라시던 바는 그것뿐이었소.
그것만 약조해준다면..</t>
  </si>
  <si>
    <t>That alone was all my brother ever wished for.
If you will swear to that much..</t>
  </si>
  <si>
    <t>兄长所愿，也仅此一事而已。
若你能许下这一诺……</t>
  </si>
  <si>
    <t>대쉬 버튼을 눌러보자.</t>
  </si>
  <si>
    <t>Try the dash button.</t>
  </si>
  <si>
    <t>按一下冲刺按钮吧。</t>
  </si>
  <si>
    <t>스토리 모드를 진행해서\n동료를 얻자!</t>
  </si>
  <si>
    <t>Play through Story Mode
and gain allies!</t>
  </si>
  <si>
    <t>进行剧情模式，
获得伙伴吧！</t>
  </si>
  <si>
    <t>이 관운장! 지금 당장 
그대의 칼이 되어 주겠소!</t>
  </si>
  <si>
    <t>I, Guan Yunchang! This very moment,
I shall become your blade!</t>
  </si>
  <si>
    <t>我关云长！此刻便
做你手中的刀！</t>
  </si>
  <si>
    <t>Deploy the officers you've gained!</t>
  </si>
  <si>
    <t>把获得的武将部署上阵吧！</t>
  </si>
  <si>
    <t>좋소! 나 조맹덕,
관공과 하늘 앞에 맹세하겠소!</t>
  </si>
  <si>
    <t>Very well! I, Cao Mengde,
swear it before Heaven and before Lord Guan!</t>
  </si>
  <si>
    <t>好！我曹孟德，
在关公与苍天面前立誓！</t>
  </si>
  <si>
    <t>도탄에 빠진 백성을 구하고, 한 왕실의
부흥을 위해 목숨을 바치겠소이다!</t>
  </si>
  <si>
    <t>I shall give my life to save a people in torment
and to restore the House of Han!</t>
  </si>
  <si>
    <t>我愿以性命，拯救水火中的百姓，
重振汉室！</t>
  </si>
  <si>
    <t>오오!!</t>
  </si>
  <si>
    <t>Ohh!!</t>
  </si>
  <si>
    <t>哦哦！！</t>
  </si>
  <si>
    <t>음?? 갑자기 번개가..?</t>
  </si>
  <si>
    <t>Hm?? Lightning, out of nowhere..?</t>
  </si>
  <si>
    <t>嗯？？怎么突然打雷……？</t>
  </si>
  <si>
    <t>조조님, 마지막으로 부탁이 있소.
내게 병력을 내어주시오.</t>
  </si>
  <si>
    <t>Lord Cao Cao, one last request.
Give me troops.</t>
  </si>
  <si>
    <t>曹操大人，最后有一事相求。
请拨给我兵马。</t>
  </si>
  <si>
    <t xml:space="preserve">병력을..? </t>
  </si>
  <si>
    <t>Troops..?</t>
  </si>
  <si>
    <t>兵马……？</t>
  </si>
  <si>
    <t>우선 원소의 모가지에서 흐르는 피로
형님의 넋을 달래주어야겠소.</t>
  </si>
  <si>
    <t>First, the blood running from Yuan Shao's neck
must console my brother's spirit.</t>
  </si>
  <si>
    <t>首先，要用袁绍颈中流出的血，
来慰我兄长之魂。</t>
  </si>
  <si>
    <t>;;</t>
  </si>
  <si>
    <t>그..그렇게 하시오..</t>
  </si>
  <si>
    <t>Do.. do as you will..</t>
  </si>
  <si>
    <t>就……就依你所言吧……</t>
  </si>
  <si>
    <t>NODE_28</t>
  </si>
  <si>
    <t>과연 대단하십니다, 관 장군.</t>
  </si>
  <si>
    <t>Magnificent indeed, General Guan.</t>
  </si>
  <si>
    <t>实在了得，关将军。</t>
  </si>
  <si>
    <t>하북 지역을 1년 만에 평정하시고,
쉬지도 않은 채 곧바로 형주 정벌이라니..</t>
  </si>
  <si>
    <t>Pacifying all of Hebei in a single year, and then
straight on to the conquest of Jingzhou without even resting..</t>
  </si>
  <si>
    <t>一年之内平定河北，
不曾歇息便直取荆州……</t>
  </si>
  <si>
    <t>죄책감이 날 짓눌러 견딜 수가 없소.
멈출 수가 없구려.</t>
  </si>
  <si>
    <t>The guilt crushes me; I cannot bear it.
I cannot stop.</t>
  </si>
  <si>
    <t>罪恶感压得我难以承受。
我停不下来。</t>
  </si>
  <si>
    <t>하하하. 역시 관형이오.
대단하십니다!</t>
  </si>
  <si>
    <t>Hahaha. Brother Guan, as ever.
Magnificent!</t>
  </si>
  <si>
    <t>哈哈哈。还是关兄啊。
了得！</t>
  </si>
  <si>
    <t>하하;;</t>
  </si>
  <si>
    <t>Haha;;</t>
  </si>
  <si>
    <t>哈哈;;</t>
  </si>
  <si>
    <t>쳇.. 무안하게시리.. - _-</t>
  </si>
  <si>
    <t>Tch.. talk about awkward.. - _-</t>
  </si>
  <si>
    <t>切……真够尴尬的…… - _-</t>
  </si>
  <si>
    <t>아무래도 미움을
단단히 산 모양이군요.</t>
  </si>
  <si>
    <t>Looks like you've earned yourself
a good deal of dislike.</t>
  </si>
  <si>
    <t>看来兄长是被人
结结实实地嫌上了。</t>
  </si>
  <si>
    <t>자아. 빠르게 진격하겠소.
전군, 출진하라!</t>
  </si>
  <si>
    <t>Right then. We advance with all speed.
All troops, march out!</t>
  </si>
  <si>
    <t>好了。我们急速进军。
全军，出阵！</t>
  </si>
  <si>
    <t>Enemy</t>
  </si>
  <si>
    <t>으윽.. 이 악귀놈</t>
  </si>
  <si>
    <t>Ugh.. you demon</t>
  </si>
  <si>
    <t>唔……你这恶鬼</t>
  </si>
  <si>
    <t>으아악!!</t>
  </si>
  <si>
    <t>Aaargh!!</t>
  </si>
  <si>
    <t>啊啊啊！！</t>
  </si>
  <si>
    <t>으으..</t>
  </si>
  <si>
    <t>Uuugh..</t>
  </si>
  <si>
    <t>唔唔……</t>
  </si>
  <si>
    <t>악귀..라..</t>
  </si>
  <si>
    <t>A demon.. is it..</t>
  </si>
  <si>
    <t>恶鬼……么……</t>
  </si>
  <si>
    <t>끝이군요. 이로써
형주까지 우리 수중에..</t>
  </si>
  <si>
    <t>That's the end of it. With this,
Jingzhou too is in our hands..</t>
  </si>
  <si>
    <t>到此结束了。如此一来，
荆州也落入我们手中……</t>
  </si>
  <si>
    <t>장군?</t>
  </si>
  <si>
    <t>General?</t>
  </si>
  <si>
    <t>将军？</t>
  </si>
  <si>
    <t>사..살려주세요ㅜㅜ</t>
  </si>
  <si>
    <t>Pl.. please spare me T_T</t>
  </si>
  <si>
    <t>求……求您放过我呜呜</t>
  </si>
  <si>
    <t>뭐하는거요, 관형.
그자는 그저 농사꾼이지 않소.</t>
  </si>
  <si>
    <t>What are you doing, Brother Guan.
The man is nothing but a farmer.</t>
  </si>
  <si>
    <t>关兄，你这是做什么。
那人不过是个农夫罢了。</t>
  </si>
  <si>
    <t>후훗.. 서주가 떠올라 흥분되오?
나 역시 그렇군ㅋㅋ</t>
  </si>
  <si>
    <t>Heh.. Does it stir you, remembering Xuzhou?
It does the same to me, heh heh.</t>
  </si>
  <si>
    <t>哼哼……想起徐州，你也兴奋了吗？
我也是啊，呵呵。</t>
  </si>
  <si>
    <t>뭐!? 그만두라고 이 자식아!!</t>
  </si>
  <si>
    <t>What!? Stop it, you bastard!!</t>
  </si>
  <si>
    <t>什么！？给我住手，你这厮！！</t>
  </si>
  <si>
    <t>!!</t>
  </si>
  <si>
    <t>！！</t>
  </si>
  <si>
    <t>??</t>
  </si>
  <si>
    <t>흥!!</t>
  </si>
  <si>
    <t>Hmph!!</t>
  </si>
  <si>
    <t>哼！！</t>
  </si>
  <si>
    <t>못봐주겠구만ㅋ</t>
  </si>
  <si>
    <t>Can't bear to watch this, heh.</t>
  </si>
  <si>
    <t>真是看不下去了，呵。</t>
  </si>
  <si>
    <t>웬놈이냐!!</t>
  </si>
  <si>
    <t>Who goes there!!</t>
  </si>
  <si>
    <t>什么人！！</t>
  </si>
  <si>
    <t>모든 전장을 피로 물들이더니,
이제 백성까지 공격하는 것이냐!!</t>
  </si>
  <si>
    <t>You have soaked every battlefield in blood,
and now you turn on the common folk as well!!</t>
  </si>
  <si>
    <t>你把每一处战场都染成血色，
如今连百姓也要下手了吗！！</t>
  </si>
  <si>
    <t>어차피 살려줘봤자 나중에는
복수한답시고 달려들 테지.</t>
  </si>
  <si>
    <t>Spare him and he'll only come running back
later, crying revenge.</t>
  </si>
  <si>
    <t>就算留他一命，日后也只会
嚷着报仇扑上来罢了。</t>
  </si>
  <si>
    <t>미리 싹을 없애버리는 것 또한
전술 중 일부일 뿐ㅋㅋ</t>
  </si>
  <si>
    <t>Pulling the sprout before it grows is merely
another part of tactics, heh heh.</t>
  </si>
  <si>
    <t>提前掐断苗头，也不过是
兵法的一环，呵呵。</t>
  </si>
  <si>
    <t>어이가 없군ㅋㅋ
악귀가 따로 없지 않은가ㅋ</t>
  </si>
  <si>
    <t>Unbelievable, heh heh.
You are a demon, plain and simple, heh.</t>
  </si>
  <si>
    <t>简直荒唐，呵呵。
你就是个不折不扣的恶鬼，呵。</t>
  </si>
  <si>
    <t>흥! 아직 내가 나설 수
없음을 감사히 여기거라!</t>
  </si>
  <si>
    <t>Hmph! Be grateful that I still
cannot step forward!</t>
  </si>
  <si>
    <t>哼！我如今还不能出手，
你就好好感激吧！</t>
  </si>
  <si>
    <t>3년상만 아니었어도.. 에잇!!</t>
  </si>
  <si>
    <t>If not for the three-year mourning.. Tch!!</t>
  </si>
  <si>
    <t>若不是为守三年之丧……哼！！</t>
  </si>
  <si>
    <t>멧돼지 같은게,
엄청 빠르군.</t>
  </si>
  <si>
    <t>Built like a boar,
and fast as anything.</t>
  </si>
  <si>
    <t>生得跟野猪似的，
速度倒是快得出奇。</t>
  </si>
  <si>
    <t>NODE_29</t>
  </si>
  <si>
    <t>그 견고하던 강동을 평정하는데
1년이 채 안 걸리다니!!</t>
  </si>
  <si>
    <t>Pacifying Jiangdong, that fortress of a land,
in under a single year!!</t>
  </si>
  <si>
    <t>那般坚固的江东，
竟不到一年就平定了！！</t>
  </si>
  <si>
    <t>역시 전장의 귀신이오!!</t>
  </si>
  <si>
    <t>Truly, a demon of the battlefield!!</t>
  </si>
  <si>
    <t>果然是战场的鬼神！！</t>
  </si>
  <si>
    <t>캬캬! 또 말이 없으시군ㅋㅋ</t>
  </si>
  <si>
    <t>Gwaha! Not a word again, heh heh.</t>
  </si>
  <si>
    <t>嘎嘎！又不说话了，呵呵。</t>
  </si>
  <si>
    <t>먼저 귀환들 하시오.
난 따로 볼일 좀 보고 가겠소.</t>
  </si>
  <si>
    <t>Return ahead of me.
I have something of my own to see to.</t>
  </si>
  <si>
    <t>你们先班师吧。
我另有些事要办。</t>
  </si>
  <si>
    <t>ㅋㅋ 늦으시면 승상께서 내리신 술은
내가 다 마셔버릴 거요! 캬캬캬</t>
  </si>
  <si>
    <t>Heh heh, if you're late I'll drink up every drop
the Chancellor granted us! Gwahaha</t>
  </si>
  <si>
    <t>呵呵，你要是来迟了，丞相赏的酒
我可全喝光了！嘎嘎嘎</t>
  </si>
  <si>
    <t>체통좀 지키시오, 형님.</t>
  </si>
  <si>
    <t>Have some dignity, brother.</t>
  </si>
  <si>
    <t>兄长，稍微顾点体统吧。</t>
  </si>
  <si>
    <t>!?</t>
  </si>
  <si>
    <t>！？</t>
  </si>
  <si>
    <t>창끝이 더 날카로워졌군, 자룡.</t>
  </si>
  <si>
    <t>Your spear point has grown sharper, Zilong.</t>
  </si>
  <si>
    <t>枪尖更锐利了啊，子龙。</t>
  </si>
  <si>
    <t>그냥 얌전히 목을 내어
주실 순 없으십니까?</t>
  </si>
  <si>
    <t>Will you not simply offer up your neck
and be done with it?</t>
  </si>
  <si>
    <t>您不能安安静静地
把脖子交出来吗？</t>
  </si>
  <si>
    <t>그럴 순 없다네..</t>
  </si>
  <si>
    <t>That I cannot do..</t>
  </si>
  <si>
    <t>那可不行……</t>
  </si>
  <si>
    <t>관우님도 느끼고 있으실 것입니다.
아수라의 기운을..</t>
  </si>
  <si>
    <t>You must feel it too, Lord Guan.
The aura of the Asura..</t>
  </si>
  <si>
    <t>关羽大人想必也感觉到了。
那阿修罗的气息……</t>
  </si>
  <si>
    <t>아무래도 신선술을
익힌 모양이군..</t>
  </si>
  <si>
    <t>So you have learned the arts
of the immortals, it seems..</t>
  </si>
  <si>
    <t>看来你是修了
仙术啊……</t>
  </si>
  <si>
    <t>허나, 자네에게 내 목을
내어줄 순 없네.</t>
  </si>
  <si>
    <t>Even so, I cannot hand my neck
over to you.</t>
  </si>
  <si>
    <t>然而，我不能把这颗头
交给你。</t>
  </si>
  <si>
    <t>..? 무슨 말씀이신지..</t>
  </si>
  <si>
    <t>..? What do you mean by that..</t>
  </si>
  <si>
    <t>……？这话是什么意思……</t>
  </si>
  <si>
    <t>그냥 지나가 주시게, 자룡.</t>
  </si>
  <si>
    <t>Just walk on past, Zilong.</t>
  </si>
  <si>
    <t>就这样走过去吧，子龙。</t>
  </si>
  <si>
    <t>안됩니다. 더 늦었다간..</t>
  </si>
  <si>
    <t>I cannot. If I delay any longer..</t>
  </si>
  <si>
    <t>不行。若再迟些……</t>
  </si>
  <si>
    <t>곧 끝이 날 걸세.</t>
  </si>
  <si>
    <t>It will be over soon enough.</t>
  </si>
  <si>
    <t>很快就要结束了。</t>
  </si>
  <si>
    <t>그렇군요. 알겠습니다.
그 때까지 화기를 잘 다루십시오.</t>
  </si>
  <si>
    <t>I see. Very well.
Until then, keep that fire well in hand.</t>
  </si>
  <si>
    <t>原来如此。我明白了。
在那之前，请好好压住那股火气。</t>
  </si>
  <si>
    <t>알고 있네. 혹시..
만약에 말일세..</t>
  </si>
  <si>
    <t>I know. Should it happen..
if, only if, it should..</t>
  </si>
  <si>
    <t>我知道。万一……
我是说，若真有那么一天……</t>
  </si>
  <si>
    <t>장군!!</t>
  </si>
  <si>
    <t>General!!</t>
  </si>
  <si>
    <t>将军！！</t>
  </si>
  <si>
    <t>.. 전 이만 가보겠습니다.
늦기 전에 찾아뵙지요.</t>
  </si>
  <si>
    <t>.. I shall take my leave.
I will come to you before it is too late.</t>
  </si>
  <si>
    <t>……我就先告辞了。
会在来不及之前再来见您。</t>
  </si>
  <si>
    <t>음.. 알겠네.</t>
  </si>
  <si>
    <t>Mm.. very well.</t>
  </si>
  <si>
    <t>嗯……知道了。</t>
  </si>
  <si>
    <t>(누구지? 아무런 기척도
못 느꼈었는데..)</t>
  </si>
  <si>
    <t>(Who was that? I sensed
not the slightest presence..)</t>
  </si>
  <si>
    <t>（那是谁？我竟
一丝气息都没察觉到……）</t>
  </si>
  <si>
    <t>무슨일인가, 문원.</t>
  </si>
  <si>
    <t>What is it, Wenyuan.</t>
  </si>
  <si>
    <t>何事，文远。</t>
  </si>
  <si>
    <t>아!! 큰일났습니다. 지금 허도에 괴물같은
자가 나타나 궁으로 돌격하고 있습니다!</t>
  </si>
  <si>
    <t>Ah!! Terrible news. A monster of a man has appeared
in Xudu and is charging the palace!</t>
  </si>
  <si>
    <t>啊！！大事不好。许都出现了一个
怪物般的人，正朝宫中突进！</t>
  </si>
  <si>
    <t>괴물??</t>
  </si>
  <si>
    <t>A monster??</t>
  </si>
  <si>
    <t>怪物？？</t>
  </si>
  <si>
    <t>모두가 공포에 질려 꿈쩍도
못하고 있습니다.</t>
  </si>
  <si>
    <t>Everyone is frozen with terror,
unable to move an inch.</t>
  </si>
  <si>
    <t>所有人都被恐惧震住，
动弹不得。</t>
  </si>
  <si>
    <t>아무래도 승상을 노리는 것 같은데,
그 괴물을 상대할 자는 장군 밖에 없습니다!</t>
  </si>
  <si>
    <t>It seems to be after the Chancellor, and
you are the only one who can face that monster, General!</t>
  </si>
  <si>
    <t>看来它是冲着丞相去的，
能对付那怪物的只有将军您了！</t>
  </si>
  <si>
    <t>.. 앞장 서시게.</t>
  </si>
  <si>
    <t>.. Lead the way.</t>
  </si>
  <si>
    <t>……带路吧。</t>
  </si>
  <si>
    <t>급소는 모두 빗겨갔군.
괴물이라 하기엔..</t>
  </si>
  <si>
    <t>Every vital point was avoided.
For a monster, this is..</t>
  </si>
  <si>
    <t>要害全都避开了。
说是怪物，倒有些……</t>
  </si>
  <si>
    <t>후훗..</t>
  </si>
  <si>
    <t>Heh..</t>
  </si>
  <si>
    <t>哼哼……</t>
  </si>
  <si>
    <t>으으.. 관형..</t>
  </si>
  <si>
    <t>Ugh.. Brother Guan..</t>
  </si>
  <si>
    <t>唔唔……关兄……</t>
  </si>
  <si>
    <t>몸을 추스리게. 다녀와서
그대의 술잔을 받도록 하지.</t>
  </si>
  <si>
    <t>Tend to yourself. When I return
I shall take that cup from your hand.</t>
  </si>
  <si>
    <t>好好养伤。我回来之后，
再接你敬的那杯酒。</t>
  </si>
  <si>
    <t>캬캬. 술이 식기
전엔 돌아오쇼ㅋ</t>
  </si>
  <si>
    <t>Gwaha. Be back before
the wine goes cold, heh.</t>
  </si>
  <si>
    <t>嘎嘎。可要在酒凉之前
回来啊，呵。</t>
  </si>
  <si>
    <t>NODE_31</t>
  </si>
  <si>
    <t>이 괴물같은 놈..</t>
  </si>
  <si>
    <t>This monster of a man..</t>
  </si>
  <si>
    <t>这怪物一样的家伙……</t>
  </si>
  <si>
    <t>아??</t>
  </si>
  <si>
    <t>Ah??</t>
  </si>
  <si>
    <t>啊？？</t>
  </si>
  <si>
    <t>어휴.. 죽이지 않고 패는게
더 힘들구만..</t>
  </si>
  <si>
    <t>Ugh.. beating them without killing
is the harder work..</t>
  </si>
  <si>
    <t>唉……不杀只打
反倒更费劲……</t>
  </si>
  <si>
    <t>멈추어라!</t>
  </si>
  <si>
    <t>Halt!</t>
  </si>
  <si>
    <t>住手！</t>
  </si>
  <si>
    <t>흥! 역적 놈이 
명을 재촉하는군ㅋ</t>
  </si>
  <si>
    <t>Hmph! The traitor comes
hurrying to his death, heh.</t>
  </si>
  <si>
    <t>哼！逆贼倒是
急着送命啊，呵。</t>
  </si>
  <si>
    <t>역적이라고??</t>
  </si>
  <si>
    <t>A traitor, you say??</t>
  </si>
  <si>
    <t>你说逆贼？？</t>
  </si>
  <si>
    <t>그 놈 이름이..
[동소]..라고 했던가??</t>
  </si>
  <si>
    <t>That man's name was..
[Dong Zhao].. wasn't it??</t>
  </si>
  <si>
    <t>那家伙的名字……
叫[董昭]……是吧？？</t>
  </si>
  <si>
    <t>？？</t>
  </si>
  <si>
    <t>네 놈을 위왕으로 책봉하라고
황제를 부추겼다지?ㅋ</t>
  </si>
  <si>
    <t>He egged the Emperor into investing you
as King of Wei, I hear? Heh.</t>
  </si>
  <si>
    <t>听说是他撺掇皇帝
册封你为魏王？呵。</t>
  </si>
  <si>
    <t>어리석은!! 나는 한 나라의 신하일 뿐,
천하를 편안하게 하는 것 외엔 관심없다!</t>
  </si>
  <si>
    <t>Foolishness!! I am but a subject of the Han, and I care for
nothing save bringing peace to the realm!</t>
  </si>
  <si>
    <t>愚昧！！我只是汉室之臣，除了
安定天下，别无他念！</t>
  </si>
  <si>
    <t>ㅋㅋ 곧 죽을 놈이
말이 많구나!!ㅋ</t>
  </si>
  <si>
    <t>Heh heh, a man about to die
certainly talks a lot!! Heh</t>
  </si>
  <si>
    <t>呵呵，快死的人
话倒真多！！呵</t>
  </si>
  <si>
    <t>이 놈이!!</t>
  </si>
  <si>
    <t>Why you!!</t>
  </si>
  <si>
    <t>你这厮！！</t>
  </si>
  <si>
    <t>..? 관공?</t>
  </si>
  <si>
    <t>..? Lord Guan?</t>
  </si>
  <si>
    <t>……？关公？</t>
  </si>
  <si>
    <t>이번에는 번개가
안 치는군요, 승상.</t>
  </si>
  <si>
    <t>No lightning this time,
Chancellor.</t>
  </si>
  <si>
    <t>这一次没有打雷啊，
丞相。</t>
  </si>
  <si>
    <t>주공, 일단 자리를
피하시지요.</t>
  </si>
  <si>
    <t>My lord, you had best
withdraw from here.</t>
  </si>
  <si>
    <t>主公，还是先
退开此处吧。</t>
  </si>
  <si>
    <t>..번개?</t>
  </si>
  <si>
    <t>..lightning?</t>
  </si>
  <si>
    <t>……打雷？</t>
  </si>
  <si>
    <t>ㅋㅋ 악귀놈, 이제야 온 것이냐ㅋ
어차피 네놈 또한..</t>
  </si>
  <si>
    <t>Heh heh, so the demon finally shows himself, heh.
You too will end the same way..</t>
  </si>
  <si>
    <t>呵呵，恶鬼，你这才来啊，呵。
反正你也一样……</t>
  </si>
  <si>
    <t>유비 형님 3년상 치르느라 고생했다.
살이 좀 빠졌구나, 막내야..</t>
  </si>
  <si>
    <t>You've had it hard, keeping three years of mourning for Brother Liu Bei.
You've thinned out some, little brother..</t>
  </si>
  <si>
    <t>为刘备兄长守三年之丧，辛苦你了。
瘦了些啊，老三……</t>
  </si>
  <si>
    <t>고생하긴 했지.. 음??</t>
  </si>
  <si>
    <t>Hard, it was.. Hm??</t>
  </si>
  <si>
    <t>辛苦是辛苦……嗯？？</t>
  </si>
  <si>
    <t>뭐야!! 어떻게 안것이냐, 네놈!!</t>
  </si>
  <si>
    <t>What!! How could you know that, you!!</t>
  </si>
  <si>
    <t>什么！！你这厮怎么会知道！！</t>
  </si>
  <si>
    <t>.. 배불뚝이.. 짐승같은 눈매..
아름답지 못한 턱수염.. 그리고..</t>
  </si>
  <si>
    <t>.. That pot belly.. those beastly eyes..
that unlovely beard.. and..</t>
  </si>
  <si>
    <t>……那大肚子……野兽般的眼神……
不怎么好看的胡子……还有……</t>
  </si>
  <si>
    <t>시끄럽다!! 큰 형님을 죽음으로 몰고,
역적 조조에게 붙어버린 배신자놈!!</t>
  </si>
  <si>
    <t>Enough!! You drove our eldest brother to his death
and then threw in with the traitor Cao Cao, you turncoat!!</t>
  </si>
  <si>
    <t>闭嘴！！你逼死了大哥，
又投了逆贼曹操，这个叛徒！！</t>
  </si>
  <si>
    <t>ㅋㅋ 오거라ㅋ</t>
  </si>
  <si>
    <t>Heh heh, come then, heh.</t>
  </si>
  <si>
    <t>呵呵，来吧，呵。</t>
  </si>
  <si>
    <t>뭐냐!? 어찌하여 공격을
하지 않는 것이냐!?</t>
  </si>
  <si>
    <t>What is this!? Why do you
not attack!?</t>
  </si>
  <si>
    <t>这是什么意思！？为何
不进攻！？</t>
  </si>
  <si>
    <t>(3년간 술과 고기를 멀리 하더니,
무의의 경지에 올랐구나.)</t>
  </si>
  <si>
    <t>(Three years apart from wine and meat,
and he has reached the realm of no-intent.)</t>
  </si>
  <si>
    <t>（三年不近酒肉，
竟已达无意之境。）</t>
  </si>
  <si>
    <t>훗, 겨우 이 정도가
장익덕의 힘이더냐?</t>
  </si>
  <si>
    <t>Heh, is this the whole
of Zhang Yide's strength?</t>
  </si>
  <si>
    <t>哼，张益德的力量
就只有这般么？</t>
  </si>
  <si>
    <t>이놈이!!</t>
  </si>
  <si>
    <t>크윽..</t>
  </si>
  <si>
    <t>Hrrk..</t>
  </si>
  <si>
    <t>呃……</t>
  </si>
  <si>
    <t>뭐냐!! 네 녀석이라면 충분히
막을 수 있었을 텐데.. 이놈!!</t>
  </si>
  <si>
    <t>What is this!! You of all people could easily
have blocked that.. you bastard!!</t>
  </si>
  <si>
    <t>这算什么！！以你的本事
明明挡得下来……你这厮！！</t>
  </si>
  <si>
    <t>후훗. 이제야 안심이구나.</t>
  </si>
  <si>
    <t>Heh. Only now am I at ease.</t>
  </si>
  <si>
    <t>哼哼。这下我才安心了。</t>
  </si>
  <si>
    <t>뭐..뭐라??</t>
  </si>
  <si>
    <t>Wha.. what did you say??</t>
  </si>
  <si>
    <t>你……你说什么？？</t>
  </si>
  <si>
    <t>난 형님을 죽이고 천하를
공포에 떨어트린 악귀..</t>
  </si>
  <si>
    <t>I am the demon who killed our brother and left
the realm trembling in terror..</t>
  </si>
  <si>
    <t>我是杀了兄长、令天下
战栗于恐惧的恶鬼……</t>
  </si>
  <si>
    <t>너는.. 그 악귀를 물리친
영웅이 되는 것이다.. 크읔</t>
  </si>
  <si>
    <t>And you.. you become the hero
who struck that demon down.. hrrk</t>
  </si>
  <si>
    <t>而你……你将成为击退那恶鬼的
英雄……呃</t>
  </si>
  <si>
    <t>이 젠장맞을 형님이 대체
무슨 소리를 하는거요!!</t>
  </si>
  <si>
    <t>What the hell are you on about,
brother!!</t>
  </si>
  <si>
    <t>你这该死的兄长
到底在说什么啊！！</t>
  </si>
  <si>
    <t>형님이 이루고자 했던 세상에서
너는 백성들이 기댈 수 있는 무결의
신이 되어야 하느니라.</t>
  </si>
  <si>
    <t>In the world our brother meant to build,
you must become the flawless god
that the people can lean upon.</t>
  </si>
  <si>
    <t>在兄长想要成就的世间，
你必须成为百姓可以依靠的
无瑕之神。</t>
  </si>
  <si>
    <t>혀..형님.. 그런..ㅜㅜ</t>
  </si>
  <si>
    <t>Bro.. brother.. don't say that.. T_T</t>
  </si>
  <si>
    <t>兄……兄长……别这样……呜呜</t>
  </si>
  <si>
    <t>백성들에게는 그런 신의 존재가
필요하다. 그러니 네가..</t>
  </si>
  <si>
    <t>The people need such a god
to exist. So you must..</t>
  </si>
  <si>
    <t>百姓需要这样一位神
存在。所以你要……</t>
  </si>
  <si>
    <t>푸욱</t>
  </si>
  <si>
    <t>Shk</t>
  </si>
  <si>
    <t>噗嗤</t>
  </si>
  <si>
    <t>잡았다!!</t>
  </si>
  <si>
    <t>Got him!!</t>
  </si>
  <si>
    <t>得手了！！</t>
  </si>
  <si>
    <t>푸우욱</t>
  </si>
  <si>
    <t>Shhhk</t>
  </si>
  <si>
    <t>噗——嗤</t>
  </si>
  <si>
    <t>하하하!! 내가 이 괴물같은
녀석의 심장을 뚫었다!!</t>
  </si>
  <si>
    <t>Hahaha!! I ran this monster of a man
through the heart!!</t>
  </si>
  <si>
    <t>哈哈哈！！这怪物般的家伙，
心脏被我捅穿了！！</t>
  </si>
  <si>
    <t>크읔..</t>
  </si>
  <si>
    <t>이..이 버러지같은 것들이!!</t>
  </si>
  <si>
    <t>You.. you worms!!</t>
  </si>
  <si>
    <t>你……你们这些蛆虫！！</t>
  </si>
  <si>
    <t>마..막내야??</t>
  </si>
  <si>
    <t>Li.. little brother??</t>
  </si>
  <si>
    <t>老……老三？？</t>
  </si>
  <si>
    <t>크윽.. 크아아아아ㅏㅏ</t>
  </si>
  <si>
    <t>Hrrgh.. Kraaaaahhh</t>
  </si>
  <si>
    <t>呃……啊啊啊啊啊——</t>
  </si>
  <si>
    <t>이..이런!!</t>
  </si>
  <si>
    <t>Th.. this is bad!!</t>
  </si>
  <si>
    <t>这……这可糟了！！</t>
  </si>
  <si>
    <t>크..큰일났다!!</t>
  </si>
  <si>
    <t>Th.. this is a disaster!!</t>
  </si>
  <si>
    <t>大……大事不好了！！</t>
  </si>
  <si>
    <t>아수라가.. 현현한다..
어쩔 수 없이 최후의 수단을..</t>
  </si>
  <si>
    <t>The Asura.. is manifesting..
I have no choice but the last resort..</t>
  </si>
  <si>
    <t>阿修罗……要显现了……
只能动用最后的手段了……</t>
  </si>
  <si>
    <t>아으.. 바쁘다 바빠!!</t>
  </si>
  <si>
    <t>Ugh.. busy, busy!!</t>
  </si>
  <si>
    <t>哎呀……忙啊忙啊！！</t>
  </si>
  <si>
    <t>아깝군. 이대로만 갔어도 
좋은 흐름이었는데..</t>
  </si>
  <si>
    <t>A shame. It was going so well,
if only it had held to that course..</t>
  </si>
  <si>
    <t>可惜了。若能这样走下去，
本是不错的势头……</t>
  </si>
  <si>
    <t>범강, 장달.. 으으 저 두 놈은 어느
시간선에서든 문제를 일으키는군 - -+</t>
  </si>
  <si>
    <t>Fan Jiang, Zhang Da.. ugh, those two stir up trouble
in every timeline there is - -+</t>
  </si>
  <si>
    <t>范疆、张达……唔，这两个家伙
在哪条时间线上都要闯祸 - -+</t>
  </si>
  <si>
    <t>우선 아수라가 현현하는 건 막아야 한다..
시간을 되돌릴 수밖에..</t>
  </si>
  <si>
    <t>First, the Asura must be stopped from manifesting..
There is no choice but to turn back time..</t>
  </si>
  <si>
    <t>首先得阻止阿修罗显现……
只能倒转时间了……</t>
  </si>
  <si>
    <t>응?? 아수라를 한번
상대해보겠다고??</t>
  </si>
  <si>
    <t>Hm?? You want to try taking
on the Asura??</t>
  </si>
  <si>
    <t>嗯？？你说想跟
阿修罗交交手？？</t>
  </si>
  <si>
    <t>아서라 아서. 아직은 안돼
더 강해지라고ㅋ</t>
  </si>
  <si>
    <t>Don't, don't. Not yet.
Go get stronger first, heh.</t>
  </si>
  <si>
    <t>算了算了。现在还不行，
先去变强些吧，呵。</t>
  </si>
  <si>
    <t>자 그럼, 다음에 또 보자~</t>
  </si>
  <si>
    <t>Well then, see you again next time~</t>
  </si>
  <si>
    <t>那么，下次再见啦～</t>
  </si>
  <si>
    <t>CATEGORY_NAME_DAILY</t>
  </si>
  <si>
    <t>일일 임무</t>
  </si>
  <si>
    <t>每日任务</t>
  </si>
  <si>
    <t>CATEGORY_NAME_WEEKLY</t>
  </si>
  <si>
    <t>주간 임무</t>
  </si>
  <si>
    <t>Weekly Quests</t>
  </si>
  <si>
    <t>每周任务</t>
  </si>
  <si>
    <t>CATEGORY_NAME_SEASON</t>
  </si>
  <si>
    <t>기간 임무</t>
  </si>
  <si>
    <t>Seasonal Quests</t>
  </si>
  <si>
    <t>限期任务</t>
  </si>
  <si>
    <t>login</t>
  </si>
  <si>
    <t>로그인</t>
  </si>
  <si>
    <t>Log In</t>
  </si>
  <si>
    <t>登录</t>
  </si>
  <si>
    <t>enemy_kill</t>
  </si>
  <si>
    <t>tournament_play</t>
  </si>
  <si>
    <t>raid_play</t>
  </si>
  <si>
    <t>레이드</t>
  </si>
  <si>
    <t>Raid</t>
  </si>
  <si>
    <t>讨伐战</t>
  </si>
  <si>
    <t>gacha_proceed</t>
  </si>
  <si>
    <t>rice_claim</t>
  </si>
  <si>
    <r>
      <rPr>
        <sz val="11"/>
        <color theme="1"/>
        <rFont val="맑은 고딕"/>
        <family val="3"/>
        <charset val="129"/>
      </rPr>
      <t>군량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수확</t>
    </r>
  </si>
  <si>
    <t>Gold_Claim</t>
  </si>
  <si>
    <r>
      <rPr>
        <sz val="11"/>
        <color theme="1"/>
        <rFont val="맑은 고딕"/>
        <family val="3"/>
        <charset val="129"/>
      </rPr>
      <t>금화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수확</t>
    </r>
  </si>
  <si>
    <t>office_dispatch</t>
  </si>
  <si>
    <r>
      <rPr>
        <sz val="11"/>
        <color theme="1"/>
        <rFont val="맑은 고딕"/>
        <family val="3"/>
        <charset val="129"/>
      </rPr>
      <t>관아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파견</t>
    </r>
  </si>
  <si>
    <t>Office Mission</t>
  </si>
  <si>
    <t>官府派遣</t>
  </si>
  <si>
    <t>daily_dungeon_play</t>
  </si>
  <si>
    <r>
      <rPr>
        <sz val="11"/>
        <color theme="1"/>
        <rFont val="맑은 고딕"/>
        <family val="3"/>
        <charset val="129"/>
      </rPr>
      <t>요일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던전</t>
    </r>
  </si>
  <si>
    <t>Daily Dungeon</t>
  </si>
  <si>
    <t>每日副本</t>
  </si>
  <si>
    <t>stage_boss_kill</t>
  </si>
  <si>
    <t>대장 적 처치</t>
  </si>
  <si>
    <t>leadership</t>
  </si>
  <si>
    <t>ads_watch</t>
  </si>
  <si>
    <r>
      <rPr>
        <sz val="11"/>
        <color theme="1"/>
        <rFont val="맑은 고딕"/>
        <family val="3"/>
        <charset val="129"/>
      </rPr>
      <t>광고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시청</t>
    </r>
  </si>
  <si>
    <t>Watch an Ad</t>
  </si>
  <si>
    <t>item_buy</t>
  </si>
  <si>
    <r>
      <rPr>
        <sz val="11"/>
        <color theme="1"/>
        <rFont val="맑은 고딕"/>
        <family val="3"/>
        <charset val="129"/>
      </rPr>
      <t>상품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구매</t>
    </r>
  </si>
  <si>
    <t>Purchase Goods</t>
  </si>
  <si>
    <t>购买商品</t>
  </si>
  <si>
    <t>item_use</t>
  </si>
  <si>
    <t>strength</t>
  </si>
  <si>
    <r>
      <rPr>
        <sz val="11"/>
        <color theme="1"/>
        <rFont val="맑은 고딕"/>
        <family val="3"/>
        <charset val="129"/>
      </rPr>
      <t>아이템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사용</t>
    </r>
  </si>
  <si>
    <t>Use an Item</t>
  </si>
  <si>
    <t>使用道具</t>
  </si>
  <si>
    <t>STATUS_COMPLETE</t>
  </si>
  <si>
    <t>intellect</t>
  </si>
  <si>
    <t>已完成</t>
  </si>
  <si>
    <t>politics</t>
  </si>
  <si>
    <t>charisma</t>
  </si>
  <si>
    <t>attack_power</t>
  </si>
  <si>
    <t>로그인을 하세요.</t>
  </si>
  <si>
    <t>Log in.</t>
  </si>
  <si>
    <t>请登录。</t>
  </si>
  <si>
    <t>Attack Power</t>
  </si>
  <si>
    <t>defence</t>
  </si>
  <si>
    <t>attack_speed</t>
  </si>
  <si>
    <t>Attack Speed</t>
  </si>
  <si>
    <t>health_max</t>
  </si>
  <si>
    <t>Health</t>
  </si>
  <si>
    <t>move_speed</t>
  </si>
  <si>
    <t>Move Speed</t>
  </si>
  <si>
    <t>연회를 여세요.</t>
  </si>
  <si>
    <t>Hold a Banquet.</t>
  </si>
  <si>
    <t>举办宴会。</t>
  </si>
  <si>
    <t>life_steal</t>
  </si>
  <si>
    <t>critical_rate</t>
  </si>
  <si>
    <t>Critical Rate</t>
  </si>
  <si>
    <t>cooldown_rate</t>
  </si>
  <si>
    <t>Cooldown Reduction</t>
  </si>
  <si>
    <t>critical_damage</t>
  </si>
  <si>
    <t>Critical Damage</t>
  </si>
  <si>
    <t>boss_damage</t>
  </si>
  <si>
    <t>Boss Damage</t>
  </si>
  <si>
    <t>combat_status_buff</t>
  </si>
  <si>
    <t>광고를 시청하세요.</t>
  </si>
  <si>
    <t>Watch an ad.</t>
  </si>
  <si>
    <t>전체 전투 능력치 +{0}% 증가</t>
  </si>
  <si>
    <t>All combat stats +{0}%</t>
  </si>
  <si>
    <t>全部战斗属性+{0}%</t>
  </si>
  <si>
    <t>atk_effect_lightning</t>
  </si>
  <si>
    <t>아이템을 구매하세요.</t>
  </si>
  <si>
    <t>Purchase an item.</t>
  </si>
  <si>
    <t>공격 시 {0}%확률로 {1}피해를 주는 번개 발동</t>
  </si>
  <si>
    <t>请购买道具。</t>
  </si>
  <si>
    <t>{0}% chance on attack to call down lightning dealing {1} damage</t>
  </si>
  <si>
    <t>攻击时有{0}%概率引发闪电，造成{1}伤害</t>
  </si>
  <si>
    <t>atk_effect_bleeding</t>
  </si>
  <si>
    <t>아이템을 사용하세요.</t>
  </si>
  <si>
    <t>Use an item.</t>
  </si>
  <si>
    <t>请使用道具。</t>
  </si>
  <si>
    <t>공격 시 {0}%확률로 초당 {1} 피해를 주는 출혈 상태 부여 (3초간 유지)</t>
  </si>
  <si>
    <t>{0}% chance on attack to inflict Bleed dealing {1} damage per second (lasts 3s)</t>
  </si>
  <si>
    <t>攻击时有{0}%概率附加流血，每秒造成{1}伤害（持续3秒）</t>
  </si>
  <si>
    <t>atk_effect_burn</t>
  </si>
  <si>
    <t>공격 시 {0}%확률로 초당 {1} 피해를 주는 화상 상태 부여 (3초간 유지)</t>
  </si>
  <si>
    <t>{0}% chance on attack to inflict Burn dealing {1} damage per second (lasts 3s)</t>
  </si>
  <si>
    <t>攻击时有{0}%概率附加灼烧，每秒造成{1}伤害（持续3秒）</t>
  </si>
  <si>
    <t>atk_effect_poisoning</t>
  </si>
  <si>
    <t>공격 시 {0}%확률로 초당 {1} 피해를 주는 중독 상태 부여 (3초간 유지)</t>
  </si>
  <si>
    <t>{0}% chance on attack to inflict Poison dealing {1} damage per second (lasts 3s)</t>
  </si>
  <si>
    <t>攻击时有{0}%概率附加中毒，每秒造成{1}伤害（持续3秒）</t>
  </si>
  <si>
    <t>atk_effect_stun</t>
  </si>
  <si>
    <t>공격 시 {0}%확률로 스턴 상태 부여 (2초간 유지)</t>
  </si>
  <si>
    <t>{0}% chance on attack to inflict Stun (lasts 2s)</t>
  </si>
  <si>
    <t>攻击时有{0}%概率附加眩晕（持续2秒）</t>
  </si>
  <si>
    <t>atk_effect_silence</t>
  </si>
  <si>
    <t>공격 시 {0}%확률로 침묵 상태 부여 (2초간 유지)</t>
  </si>
  <si>
    <t>{0}% chance on attack to inflict Silence (lasts 2s)</t>
  </si>
  <si>
    <t>攻击时有{0}%概率附加沉默（持续2秒）</t>
  </si>
  <si>
    <t>atk_effect_aoe</t>
  </si>
  <si>
    <t>공격 시 {0}%확률로 범위 공격 발동</t>
  </si>
  <si>
    <t>{0}% chance on attack to trigger an area attack</t>
  </si>
  <si>
    <t>攻击时有{0}%概率发动范围攻击</t>
  </si>
  <si>
    <t>def_effect_shield</t>
  </si>
  <si>
    <t>피격 시 {0}%확률로 {1}피해 감소 보호막 발동 (3초간 유지)</t>
  </si>
  <si>
    <t>{0}% chance when hit to raise a shield absorbing {1} damage (lasts 3s)</t>
  </si>
  <si>
    <t>受击时有{0}%概率展开护盾，减免{1}伤害（持续3秒）</t>
  </si>
  <si>
    <t>def_effect_damage_taken_reduced</t>
  </si>
  <si>
    <t>피격 시 {0}%확률로 받는 피해량 {1}% 감소</t>
  </si>
  <si>
    <t>{0}% chance when hit to reduce damage taken by {1}%</t>
  </si>
  <si>
    <t>受击时有{0}%概率使受到的伤害降低{1}%</t>
  </si>
  <si>
    <r>
      <rPr>
        <sz val="10"/>
        <color theme="1"/>
        <rFont val="Arial"/>
      </rPr>
      <t>전투</t>
    </r>
    <r>
      <rPr>
        <sz val="10"/>
        <color theme="1"/>
        <rFont val="돋움"/>
        <family val="3"/>
        <charset val="129"/>
      </rPr>
      <t xml:space="preserve"> 능력치 증가</t>
    </r>
  </si>
  <si>
    <t>Combat Stat Boost</t>
  </si>
  <si>
    <t>战斗属性提升</t>
  </si>
  <si>
    <t>공격시 확률 번개 발동</t>
  </si>
  <si>
    <t>Chance to Trigger Lightning</t>
  </si>
  <si>
    <t>攻击时概率引发闪电</t>
  </si>
  <si>
    <t>출혈 상태 부여</t>
  </si>
  <si>
    <t>Inflict Bleed</t>
  </si>
  <si>
    <t>附加流血</t>
  </si>
  <si>
    <t>화상 상태 부여</t>
  </si>
  <si>
    <t>Inflict Burn</t>
  </si>
  <si>
    <t>附加灼烧</t>
  </si>
  <si>
    <t>중독 상태 부여</t>
  </si>
  <si>
    <t>Inflict Poison</t>
  </si>
  <si>
    <t>附加中毒</t>
  </si>
  <si>
    <t>스턴 [2초간]</t>
  </si>
  <si>
    <t>Stun [2s]</t>
  </si>
  <si>
    <t>眩晕[2秒]</t>
  </si>
  <si>
    <t>침묵 [2초간]</t>
  </si>
  <si>
    <t>Silence [2s]</t>
  </si>
  <si>
    <t>沉默[2秒]</t>
  </si>
  <si>
    <t>Chance for Area Attack</t>
  </si>
  <si>
    <t>攻击时概率范围攻击</t>
  </si>
  <si>
    <t>Shield on Hit [3s]</t>
  </si>
  <si>
    <t>受击时发动护盾[3秒]</t>
  </si>
  <si>
    <t>Damage Reduction on Hit</t>
  </si>
  <si>
    <t>受击时降低伤害</t>
  </si>
  <si>
    <t>AD_COMPLETE</t>
  </si>
  <si>
    <r>
      <rPr>
        <sz val="10"/>
        <color theme="1"/>
        <rFont val="Arial"/>
      </rPr>
      <t>광고</t>
    </r>
    <r>
      <rPr>
        <sz val="10"/>
        <color theme="1"/>
        <rFont val="돋움"/>
        <family val="3"/>
        <charset val="129"/>
      </rPr>
      <t xml:space="preserve"> 시청 완료</t>
    </r>
  </si>
  <si>
    <t>Ad Watched</t>
  </si>
  <si>
    <t>广告观看完毕</t>
  </si>
  <si>
    <t>ALL_RECEIVE_REWARD</t>
  </si>
  <si>
    <t>보상을 모두 수령했습니다.</t>
  </si>
  <si>
    <t>All rewards claimed.</t>
  </si>
  <si>
    <t>已领取全部奖励。</t>
  </si>
  <si>
    <t>ALREADY_MAX_GRADE</t>
  </si>
  <si>
    <t>이미 최고 등급입니다.</t>
  </si>
  <si>
    <t>Already at the highest grade.</t>
  </si>
  <si>
    <t>已是最高品阶。</t>
  </si>
  <si>
    <t>ALREADY_MAX_LEVEL</t>
  </si>
  <si>
    <t>이미 최고 레벨입니다.</t>
  </si>
  <si>
    <t>Already at max level.</t>
  </si>
  <si>
    <t>已是最高等级。</t>
  </si>
  <si>
    <t>ALREADY_RUN_UPGRADE</t>
  </si>
  <si>
    <r>
      <rPr>
        <sz val="10"/>
        <color theme="1"/>
        <rFont val="Arial"/>
      </rPr>
      <t>이미</t>
    </r>
    <r>
      <rPr>
        <sz val="10"/>
        <color theme="1"/>
        <rFont val="돋움"/>
        <family val="3"/>
        <charset val="129"/>
      </rPr>
      <t xml:space="preserve"> 업그레이드가 진행중입니다.</t>
    </r>
  </si>
  <si>
    <t>An upgrade is already in progress.</t>
  </si>
  <si>
    <t>升级已在进行中。</t>
  </si>
  <si>
    <t>BUY_FAILED</t>
  </si>
  <si>
    <r>
      <rPr>
        <sz val="10"/>
        <color theme="1"/>
        <rFont val="Arial"/>
      </rPr>
      <t>구매</t>
    </r>
    <r>
      <rPr>
        <sz val="10"/>
        <color theme="1"/>
        <rFont val="돋움"/>
        <family val="3"/>
        <charset val="129"/>
      </rPr>
      <t xml:space="preserve"> 실패</t>
    </r>
  </si>
  <si>
    <t>Purchase Failed</t>
  </si>
  <si>
    <t>购买失败</t>
  </si>
  <si>
    <t>CAN_NOT_SKIP</t>
  </si>
  <si>
    <t>건너뛰기할 수 없습니다.</t>
  </si>
  <si>
    <t>Cannot skip.</t>
  </si>
  <si>
    <t>无法跳过。</t>
  </si>
  <si>
    <t>CASTLE_READY_UPGRADE_OFFICE</t>
  </si>
  <si>
    <r>
      <rPr>
        <sz val="10"/>
        <color theme="1"/>
        <rFont val="Arial"/>
      </rPr>
      <t>관아</t>
    </r>
    <r>
      <rPr>
        <sz val="10"/>
        <color theme="1"/>
        <rFont val="돋움"/>
        <family val="3"/>
        <charset val="129"/>
      </rPr>
      <t xml:space="preserve"> 업그레이드 준비완료!</t>
    </r>
  </si>
  <si>
    <t>The office is ready to upgrade!</t>
  </si>
  <si>
    <t>官府升级准备完成！</t>
  </si>
  <si>
    <t>CASTLE_CATCH_THIEF</t>
  </si>
  <si>
    <t>도적을 잡았습니다!</t>
  </si>
  <si>
    <t>Bandit caught!</t>
  </si>
  <si>
    <t>抓住盗贼了！</t>
  </si>
  <si>
    <t>CASTLE_CLAIM</t>
  </si>
  <si>
    <r>
      <rPr>
        <sz val="10"/>
        <color theme="1"/>
        <rFont val="Arial"/>
      </rPr>
      <t>[{0}] {1}개</t>
    </r>
    <r>
      <rPr>
        <sz val="10"/>
        <color theme="1"/>
        <rFont val="돋움"/>
        <family val="3"/>
        <charset val="129"/>
      </rPr>
      <t xml:space="preserve"> 수령했습니다.</t>
    </r>
  </si>
  <si>
    <t>Claimed {1} [{0}].</t>
  </si>
  <si>
    <t>已领取[{0}] {1}个。</t>
  </si>
  <si>
    <t>CASTLE_FINISH_THIEF</t>
  </si>
  <si>
    <r>
      <rPr>
        <sz val="10"/>
        <color theme="1"/>
        <rFont val="Arial"/>
      </rPr>
      <t>영지에서</t>
    </r>
    <r>
      <rPr>
        <sz val="10"/>
        <color theme="1"/>
        <rFont val="돋움"/>
        <family val="3"/>
        <charset val="129"/>
      </rPr>
      <t xml:space="preserve"> 도적이 도망갔습니다!</t>
    </r>
  </si>
  <si>
    <t>The bandit escaped your domain!</t>
  </si>
  <si>
    <t>盗贼从领地逃走了！</t>
  </si>
  <si>
    <t>CASTLE_FULL_BATCH_HERO</t>
  </si>
  <si>
    <t>배치 인원이 이미 모두 찼습니다.</t>
  </si>
  <si>
    <t>All deployment slots are full.</t>
  </si>
  <si>
    <t>部署人数已满。</t>
  </si>
  <si>
    <t>CASTLE_MISSION_NO_HERO</t>
  </si>
  <si>
    <t>No officers available for the mission.</t>
  </si>
  <si>
    <t>没有可派遣的武将。</t>
  </si>
  <si>
    <t>CASTLE_MISSION_OVER_COUNT</t>
  </si>
  <si>
    <t>더 이상 파견을 보낼 수 없습니다.</t>
  </si>
  <si>
    <t>You cannot send any more missions.</t>
  </si>
  <si>
    <t>无法再进行派遣了。</t>
  </si>
  <si>
    <t>CASTLE_MISSION_RESULT_NO_COMPLETE</t>
  </si>
  <si>
    <t>완료할 파견이 없습니다.</t>
  </si>
  <si>
    <t>No missions to complete.</t>
  </si>
  <si>
    <t>没有可完成的派遣。</t>
  </si>
  <si>
    <t>CASTLE_MISSION_START</t>
  </si>
  <si>
    <t>파견을 시작합니다.</t>
  </si>
  <si>
    <t>Mission started.</t>
  </si>
  <si>
    <t>开始派遣。</t>
  </si>
  <si>
    <t>CASTLE_MISSION_STAT_LIMIT_PER</t>
  </si>
  <si>
    <r>
      <rPr>
        <sz val="10"/>
        <color theme="1"/>
        <rFont val="Arial"/>
      </rPr>
      <t>요구</t>
    </r>
    <r>
      <rPr>
        <sz val="10"/>
        <color theme="1"/>
        <rFont val="돋움"/>
        <family val="3"/>
        <charset val="129"/>
      </rPr>
      <t xml:space="preserve"> 능력치를 10%이상 달성해주세요.</t>
    </r>
  </si>
  <si>
    <t>Reach at least 10% of the required stat.</t>
  </si>
  <si>
    <t>要求属性需达到10%以上。</t>
  </si>
  <si>
    <t>CASTLE_START_THIEF</t>
  </si>
  <si>
    <r>
      <rPr>
        <sz val="10"/>
        <color theme="1"/>
        <rFont val="맑은 고딕"/>
        <family val="3"/>
        <charset val="129"/>
      </rPr>
      <t>영지에</t>
    </r>
    <r>
      <rPr>
        <sz val="10"/>
        <color theme="1"/>
        <rFont val="돋움"/>
        <family val="3"/>
        <charset val="129"/>
      </rPr>
      <t xml:space="preserve"> 도적이 출몰했습니다!</t>
    </r>
  </si>
  <si>
    <t>A bandit has appeared in your domain!</t>
  </si>
  <si>
    <t>领地出现盗贼了！</t>
  </si>
  <si>
    <t>CASTLE_UPGRADE_COMPLETE</t>
  </si>
  <si>
    <r>
      <rPr>
        <sz val="10"/>
        <color theme="1"/>
        <rFont val="Arial"/>
      </rPr>
      <t>건물</t>
    </r>
    <r>
      <rPr>
        <sz val="10"/>
        <color theme="1"/>
        <rFont val="돋움"/>
        <family val="3"/>
        <charset val="129"/>
      </rPr>
      <t xml:space="preserve"> 업그레이드 완료</t>
    </r>
  </si>
  <si>
    <t>Building Upgrade Complete</t>
  </si>
  <si>
    <t>建筑升级完成</t>
  </si>
  <si>
    <t>CASTLE_UPGRADE_INVALID_EXP</t>
  </si>
  <si>
    <t>경험치가 부족합니다.</t>
  </si>
  <si>
    <t>Not enough experience.</t>
  </si>
  <si>
    <t>经验值不足。</t>
  </si>
  <si>
    <t>CASTLE_UPGRADE_INVALID_STAT_LOW</t>
  </si>
  <si>
    <r>
      <rPr>
        <sz val="10"/>
        <color theme="1"/>
        <rFont val="Arial"/>
      </rPr>
      <t>요구</t>
    </r>
    <r>
      <rPr>
        <sz val="10"/>
        <color theme="1"/>
        <rFont val="돋움"/>
        <family val="3"/>
        <charset val="129"/>
      </rPr>
      <t xml:space="preserve"> 능력치가 부족합니다.</t>
    </r>
  </si>
  <si>
    <t>Stat requirement not met.</t>
  </si>
  <si>
    <t>属性未达要求。</t>
  </si>
  <si>
    <t>CASTLE_UPGRADE_PALACE_INVALID</t>
  </si>
  <si>
    <r>
      <rPr>
        <sz val="10"/>
        <color theme="1"/>
        <rFont val="Dotum"/>
        <family val="3"/>
        <charset val="129"/>
      </rPr>
      <t>다른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건물의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레벨이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낮습니다</t>
    </r>
    <r>
      <rPr>
        <sz val="10"/>
        <color theme="1"/>
        <rFont val="Arial"/>
      </rPr>
      <t>.</t>
    </r>
  </si>
  <si>
    <t>Another building's level is too low.</t>
  </si>
  <si>
    <t>其他建筑等级过低。</t>
  </si>
  <si>
    <t>CASTLE_UPGRADE_PALACE_LEVEL_LOW</t>
  </si>
  <si>
    <r>
      <rPr>
        <sz val="10"/>
        <color theme="1"/>
        <rFont val="Dotum"/>
        <family val="3"/>
        <charset val="129"/>
      </rPr>
      <t>궁성의 레벨보다 높을 수 없습니다</t>
    </r>
    <r>
      <rPr>
        <sz val="10"/>
        <color theme="1"/>
        <rFont val="Arial"/>
      </rPr>
      <t>.</t>
    </r>
  </si>
  <si>
    <t>Cannot exceed the Palace's level.</t>
  </si>
  <si>
    <t>不可超过宫城的等级。</t>
  </si>
  <si>
    <t>COPY_COMPLETE</t>
  </si>
  <si>
    <t>복사완료</t>
  </si>
  <si>
    <t>Copied</t>
  </si>
  <si>
    <t>复制完成</t>
  </si>
  <si>
    <t>GUIDEQUEST_COMPLETE</t>
  </si>
  <si>
    <t>길잡이 퀘스트 완료</t>
  </si>
  <si>
    <t>Guide Quest Complete</t>
  </si>
  <si>
    <t>引导任务完成</t>
  </si>
  <si>
    <t>HAS_REWARDS</t>
  </si>
  <si>
    <t>아직 받을 보상이 있습니다.</t>
  </si>
  <si>
    <t>You still have rewards to claim.</t>
  </si>
  <si>
    <t>还有未领取的奖励。</t>
  </si>
  <si>
    <t>MODAL_AD_SHOW</t>
  </si>
  <si>
    <t>광고 시청하시겠습니까?</t>
  </si>
  <si>
    <t>Watch an ad?</t>
  </si>
  <si>
    <t>要观看广告吗？</t>
  </si>
  <si>
    <t>MODAL_CASTLE_HERO_JOB_CHANGE</t>
  </si>
  <si>
    <t>This officer is already on a mission.
Assign a new one?</t>
  </si>
  <si>
    <t>该武将已在派遣中。
要赋予新的派遣吗？</t>
  </si>
  <si>
    <t>MODAL_ENTER</t>
  </si>
  <si>
    <t>입장 하시겠습니까?</t>
  </si>
  <si>
    <t>Enter?</t>
  </si>
  <si>
    <t>要入场吗？</t>
  </si>
  <si>
    <t>MODAL_GIVE_UP</t>
  </si>
  <si>
    <r>
      <rPr>
        <sz val="10"/>
        <color theme="1"/>
        <rFont val="Arial"/>
      </rPr>
      <t>포기하시겠습니까</t>
    </r>
    <r>
      <rPr>
        <sz val="10"/>
        <color theme="1"/>
        <rFont val="돋움"/>
        <family val="3"/>
        <charset val="129"/>
      </rPr>
      <t>?</t>
    </r>
  </si>
  <si>
    <t>Give up?</t>
  </si>
  <si>
    <t>要放弃吗？</t>
  </si>
  <si>
    <t>MODAL_MOVE_NAVI</t>
  </si>
  <si>
    <t>이동하시겠습니까?</t>
  </si>
  <si>
    <t>Move there?</t>
  </si>
  <si>
    <t>要移动吗？</t>
  </si>
  <si>
    <t>MODAL_OUT_BEFORE_HERO</t>
  </si>
  <si>
    <t>Dismiss the current officer?</t>
  </si>
  <si>
    <t>要撤下原有武将吗？</t>
  </si>
  <si>
    <t>MODAL_REFRESH_BY_CURRENCY</t>
  </si>
  <si>
    <t>재화를 사용하여 갱신하시겠습니까?</t>
  </si>
  <si>
    <t>Spend currency to refresh?</t>
  </si>
  <si>
    <t>要消耗货币刷新吗？</t>
  </si>
  <si>
    <t>MODAL_SKIP</t>
  </si>
  <si>
    <t>건너뛰겠습니까?</t>
  </si>
  <si>
    <t>Skip?</t>
  </si>
  <si>
    <t>要跳过吗？</t>
  </si>
  <si>
    <t>MODAL_TOURNAMENT_CLOSE_NO_SAVE</t>
  </si>
  <si>
    <t>변경사항이 있습니다.\n닫겠습니까?</t>
  </si>
  <si>
    <t>You have unsaved changes.
Close anyway?</t>
  </si>
  <si>
    <t>有未保存的更改。
要关闭吗？</t>
  </si>
  <si>
    <t>NO_REWARDS</t>
  </si>
  <si>
    <r>
      <rPr>
        <sz val="10"/>
        <color theme="1"/>
        <rFont val="Arial"/>
      </rPr>
      <t>보상이</t>
    </r>
    <r>
      <rPr>
        <sz val="10"/>
        <color theme="1"/>
        <rFont val="돋움"/>
        <family val="3"/>
        <charset val="129"/>
      </rPr>
      <t xml:space="preserve"> 없습니다.</t>
    </r>
  </si>
  <si>
    <t>No rewards.</t>
  </si>
  <si>
    <t>没有奖励。</t>
  </si>
  <si>
    <t>NOT_ENOUGH_CURRENCY</t>
  </si>
  <si>
    <t>재화가 부족합니다.</t>
  </si>
  <si>
    <t>Not enough currency.</t>
  </si>
  <si>
    <t>货币不足。</t>
  </si>
  <si>
    <t>NOT_YET_READY</t>
  </si>
  <si>
    <r>
      <rPr>
        <sz val="10"/>
        <color theme="1"/>
        <rFont val="Arial"/>
      </rPr>
      <t>준비</t>
    </r>
    <r>
      <rPr>
        <sz val="10"/>
        <color theme="1"/>
        <rFont val="돋움"/>
        <family val="3"/>
        <charset val="129"/>
      </rPr>
      <t xml:space="preserve"> 중입니다.</t>
    </r>
  </si>
  <si>
    <t>Coming soon.</t>
  </si>
  <si>
    <t>准备中。</t>
  </si>
  <si>
    <t>OVER_PLAY_COUNT</t>
  </si>
  <si>
    <t>플레이 가능 횟수가 초과되었습니다.</t>
  </si>
  <si>
    <t>You have used all your plays.</t>
  </si>
  <si>
    <t>可游玩次数已用尽。</t>
  </si>
  <si>
    <t>OVER_TIME</t>
  </si>
  <si>
    <t>시간이 초과되었습니다.</t>
  </si>
  <si>
    <t>Time is up.</t>
  </si>
  <si>
    <t>已超时。</t>
  </si>
  <si>
    <t>PASS_CAN_AFTER_PAID</t>
  </si>
  <si>
    <r>
      <rPr>
        <sz val="10"/>
        <color theme="1"/>
        <rFont val="Arial"/>
      </rPr>
      <t>특사</t>
    </r>
    <r>
      <rPr>
        <sz val="10"/>
        <color theme="1"/>
        <rFont val="돋움"/>
        <family val="3"/>
        <charset val="129"/>
      </rPr>
      <t xml:space="preserve"> 활성화 후에 획득 가능합니다.</t>
    </r>
  </si>
  <si>
    <t>Available after activating the Envoy.</t>
  </si>
  <si>
    <t>激活特使后方可获得。</t>
  </si>
  <si>
    <t>POST_DELETE_COMPLETE</t>
  </si>
  <si>
    <t>삭제 완료</t>
  </si>
  <si>
    <t>Deleted</t>
  </si>
  <si>
    <t>删除完成</t>
  </si>
  <si>
    <t>POST_NO_HAVE_DELETE_POST</t>
  </si>
  <si>
    <t>삭제할 우편이 없습니다.</t>
  </si>
  <si>
    <t>No mail to delete.</t>
  </si>
  <si>
    <t>没有可删除的邮件。</t>
  </si>
  <si>
    <t>RECEIVE_SOUL_STONE</t>
  </si>
  <si>
    <r>
      <rPr>
        <sz val="10"/>
        <color theme="1"/>
        <rFont val="Arial"/>
      </rPr>
      <t>[{0}] 영혼석을</t>
    </r>
    <r>
      <rPr>
        <sz val="10"/>
        <color theme="1"/>
        <rFont val="돋움"/>
        <family val="3"/>
        <charset val="129"/>
      </rPr>
      <t xml:space="preserve"> 획득했습니다.</t>
    </r>
  </si>
  <si>
    <t>Obtained a [{0}] Soul Stone.</t>
  </si>
  <si>
    <t>获得了[{0}]魂石。</t>
  </si>
  <si>
    <t>REDUCED_TIME</t>
  </si>
  <si>
    <t>시간이 단축되었습니다.</t>
  </si>
  <si>
    <t>Time reduced.</t>
  </si>
  <si>
    <t>时间已缩短。</t>
  </si>
  <si>
    <t>RELIC_USE_MAX</t>
  </si>
  <si>
    <t>최대 3개까지만 장착 가능합니다.</t>
  </si>
  <si>
    <t>You can equip up to 3.</t>
  </si>
  <si>
    <t>最多只能装备3个。</t>
  </si>
  <si>
    <t>STAGE_FAILED</t>
  </si>
  <si>
    <t>잠시 후퇴! 전략상 후퇴일 뿐입니다.</t>
  </si>
  <si>
    <t>A brief retreat! Strategic, nothing more.</t>
  </si>
  <si>
    <t>暂且退却！这只是战略性撤退。</t>
  </si>
  <si>
    <t>STORYMODE_BREAK_RUN</t>
  </si>
  <si>
    <r>
      <rPr>
        <sz val="10"/>
        <color theme="1"/>
        <rFont val="Arial"/>
      </rPr>
      <t>시간이</t>
    </r>
    <r>
      <rPr>
        <sz val="10"/>
        <color theme="1"/>
        <rFont val="돋움"/>
        <family val="3"/>
        <charset val="129"/>
      </rPr>
      <t xml:space="preserve"> 어긋나 있습니다.</t>
    </r>
  </si>
  <si>
    <t>The timeline is out of joint.</t>
  </si>
  <si>
    <t>时间已然错位。</t>
  </si>
  <si>
    <t>STORYMODE_COMPLETE</t>
  </si>
  <si>
    <t>스토리를 완료했습니다.</t>
  </si>
  <si>
    <t>Story complete.</t>
  </si>
  <si>
    <t>已完成剧情。</t>
  </si>
  <si>
    <t>STORYMODE_HAVE_OPEN_STORY</t>
  </si>
  <si>
    <t>해금된 스토리가 있습니다.</t>
  </si>
  <si>
    <t>A new story has been unlocked.</t>
  </si>
  <si>
    <t>有已解锁的剧情。</t>
  </si>
  <si>
    <t>STORYMODE_IF_OUT</t>
  </si>
  <si>
    <t>시간을 돌려 되돌아갑니다.</t>
  </si>
  <si>
    <t>Turning back time.</t>
  </si>
  <si>
    <t>倒转时间，返回原处。</t>
  </si>
  <si>
    <t>STORYMODE_RECEIVE_HERO</t>
  </si>
  <si>
    <t>{0} 진영에 합류합니다.</t>
  </si>
  <si>
    <t>{0} joins your camp.</t>
  </si>
  <si>
    <t>{0}加入了阵营。</t>
  </si>
  <si>
    <t>STORYMODE_RECEIVE_HEROES</t>
  </si>
  <si>
    <t>{0} {1} 진영에 합류합니다.</t>
  </si>
  <si>
    <t>{0} and {1} join your camp.</t>
  </si>
  <si>
    <t>{0}、{1}加入了阵营。</t>
  </si>
  <si>
    <t>STORYMODE_BREAK_TIMELINE</t>
  </si>
  <si>
    <t>시간이 어긋나 버렸습니다.</t>
  </si>
  <si>
    <t>The timeline has broken.</t>
  </si>
  <si>
    <t>时间已经错乱了。</t>
  </si>
  <si>
    <t>STORYMODE_IF_FINISHED</t>
  </si>
  <si>
    <r>
      <rPr>
        <sz val="10"/>
        <color theme="1"/>
        <rFont val="Arial"/>
      </rPr>
      <t>어긋난</t>
    </r>
    <r>
      <rPr>
        <sz val="10"/>
        <color theme="1"/>
        <rFont val="돋움"/>
        <family val="3"/>
        <charset val="129"/>
      </rPr>
      <t xml:space="preserve"> 시간선의 끝에 도달했습니다.</t>
    </r>
  </si>
  <si>
    <t>You have reached the end of the broken timeline.</t>
  </si>
  <si>
    <t>已到达错乱时间线的尽头。</t>
  </si>
  <si>
    <t>SUMMON_COME_NEW_HERO</t>
  </si>
  <si>
    <t>A new officer has arrived.</t>
  </si>
  <si>
    <t>有新的武将来访。</t>
  </si>
  <si>
    <t>SUMMON_NEW_HERO</t>
  </si>
  <si>
    <r>
      <rPr>
        <sz val="10"/>
        <color theme="1"/>
        <rFont val="Arial"/>
      </rPr>
      <t>[{0}] {1} 진영에</t>
    </r>
    <r>
      <rPr>
        <sz val="10"/>
        <color theme="1"/>
        <rFont val="돋움"/>
        <family val="3"/>
        <charset val="129"/>
      </rPr>
      <t xml:space="preserve"> 합류합니다.</t>
    </r>
  </si>
  <si>
    <t>[{0}] {1} joins your camp.</t>
  </si>
  <si>
    <t>[{0}]{1}加入了阵营。</t>
  </si>
  <si>
    <t>SYSTEM_BAN</t>
  </si>
  <si>
    <t>시스템에 의해 차단되었습니다.</t>
  </si>
  <si>
    <t>You have been blocked by the system.</t>
  </si>
  <si>
    <t>已被系统封禁。</t>
  </si>
  <si>
    <t>TOURNAMENT_BATCH_MAX</t>
  </si>
  <si>
    <t>최대 4명까지 배치할 수 있습니다.</t>
  </si>
  <si>
    <t>You can deploy up to 4.</t>
  </si>
  <si>
    <t>最多可部署4人。</t>
  </si>
  <si>
    <t>TOURNAMENT_BATCH_MIN</t>
  </si>
  <si>
    <t>최소 1명은 배치해야 합니다.</t>
  </si>
  <si>
    <t>You must deploy at least 1.</t>
  </si>
  <si>
    <t>至少需要部署1人。</t>
  </si>
  <si>
    <t>TRAIT_CANT_FIND</t>
  </si>
  <si>
    <t>특성을 찾을 수 없습니다.</t>
  </si>
  <si>
    <t>Trait not found.</t>
  </si>
  <si>
    <t>找不到特性。</t>
  </si>
  <si>
    <t>TRAIT_INVALID_ALL_LOCK</t>
  </si>
  <si>
    <r>
      <rPr>
        <sz val="10"/>
        <color theme="1"/>
        <rFont val="Arial"/>
      </rPr>
      <t>모두</t>
    </r>
    <r>
      <rPr>
        <sz val="10"/>
        <color theme="1"/>
        <rFont val="돋움"/>
        <family val="3"/>
        <charset val="129"/>
      </rPr>
      <t xml:space="preserve"> 잠겨서 진행이 불가합니다.</t>
    </r>
  </si>
  <si>
    <t>Everything is locked, so you cannot proceed.</t>
  </si>
  <si>
    <t>全部已锁定，无法进行。</t>
  </si>
  <si>
    <t>TRAIT_INVALID_GRADE</t>
  </si>
  <si>
    <t>명장부터 특성 부여가 가능합니다.</t>
  </si>
  <si>
    <t>Traits can be granted from General grade and up.</t>
  </si>
  <si>
    <t>名将品阶及以上才可赋予特性。</t>
  </si>
  <si>
    <t>UPGRADE_GRADE</t>
  </si>
  <si>
    <r>
      <rPr>
        <sz val="10"/>
        <color theme="1"/>
        <rFont val="Arial"/>
      </rPr>
      <t>승급합니다</t>
    </r>
    <r>
      <rPr>
        <sz val="10"/>
        <color theme="1"/>
        <rFont val="돋움"/>
        <family val="3"/>
        <charset val="129"/>
      </rPr>
      <t>.</t>
    </r>
  </si>
  <si>
    <t>Promoting.</t>
  </si>
  <si>
    <t>晋级中。</t>
  </si>
  <si>
    <t>UPGRADE_LEVEL</t>
  </si>
  <si>
    <r>
      <rPr>
        <sz val="10"/>
        <color theme="1"/>
        <rFont val="Arial"/>
      </rPr>
      <t>+{0}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강화합니다</t>
    </r>
    <r>
      <rPr>
        <sz val="10"/>
        <color theme="1"/>
        <rFont val="Arial"/>
      </rPr>
      <t>.</t>
    </r>
  </si>
  <si>
    <t>Enhancing to +{0}.</t>
  </si>
  <si>
    <t>强化至+{0}。</t>
  </si>
  <si>
    <t>INVALID_CHANGE_LANGUAGE</t>
  </si>
  <si>
    <t>지금은 언어를 변경할 수 없습니다.</t>
  </si>
  <si>
    <t>You cannot change the language right now.</t>
  </si>
  <si>
    <t>当前无法更改语言。</t>
  </si>
  <si>
    <t>{0} 적을 처치하세요.</t>
  </si>
  <si>
    <t>{0} 비무대회에 참가하세요.</t>
  </si>
  <si>
    <t>{0} 레이드에 참여하세요.</t>
  </si>
  <si>
    <t>영지 농장에서 군량을 수확하세요.</t>
  </si>
  <si>
    <t>영지 시장에서 금화를 수확하세요.</t>
  </si>
  <si>
    <t>영지 관아에서 {0} 파견보내세요.</t>
  </si>
  <si>
    <t>{0} 요일던전에 참여하세요.</t>
  </si>
  <si>
    <t>{0} 대장 적을 처치하세요.</t>
  </si>
  <si>
    <t>STR</t>
    <phoneticPr fontId="13" type="noConversion"/>
  </si>
  <si>
    <t>CHA</t>
    <phoneticPr fontId="13" type="noConversion"/>
  </si>
  <si>
    <t>INT</t>
    <phoneticPr fontId="13" type="noConversion"/>
  </si>
  <si>
    <t>LEA</t>
    <phoneticPr fontId="13" type="noConversion"/>
  </si>
  <si>
    <t>POL</t>
    <phoneticPr fontId="13" type="noConversion"/>
  </si>
  <si>
    <t>CAP</t>
    <phoneticPr fontId="13" type="noConversion"/>
  </si>
  <si>
    <t>SUB</t>
    <phoneticPr fontId="13" type="noConversion"/>
  </si>
  <si>
    <t>C.POS</t>
    <phoneticPr fontId="13" type="noConversion"/>
  </si>
  <si>
    <t>BACK</t>
    <phoneticPr fontId="13" type="noConversion"/>
  </si>
  <si>
    <t>FRONT</t>
    <phoneticPr fontId="13" type="noConversion"/>
  </si>
  <si>
    <t>POINT</t>
    <phoneticPr fontId="13" type="noConversion"/>
  </si>
  <si>
    <t>DAMAGE</t>
    <phoneticPr fontId="13" type="noConversion"/>
  </si>
  <si>
    <t>N/A</t>
    <phoneticPr fontId="13" type="noConversion"/>
  </si>
  <si>
    <t>Ancient Officers</t>
    <phoneticPr fontId="13" type="noConversion"/>
  </si>
  <si>
    <t>INVEN</t>
    <phoneticPr fontId="13" type="noConversion"/>
  </si>
  <si>
    <t>NOTICE</t>
    <phoneticPr fontId="13" type="noConversion"/>
  </si>
  <si>
    <t>QUEST</t>
    <phoneticPr fontId="13" type="noConversion"/>
  </si>
  <si>
    <t>REWIND</t>
    <phoneticPr fontId="13" type="noConversion"/>
  </si>
  <si>
    <t>EXIT</t>
    <phoneticPr fontId="13" type="noConversion"/>
  </si>
  <si>
    <t>Selected</t>
    <phoneticPr fontId="13" type="noConversion"/>
  </si>
  <si>
    <t>SAVE</t>
    <phoneticPr fontId="13" type="noConversion"/>
  </si>
  <si>
    <t>GRANT</t>
    <phoneticPr fontId="13" type="noConversion"/>
  </si>
  <si>
    <t>PROMOTE</t>
    <phoneticPr fontId="13" type="noConversion"/>
  </si>
  <si>
    <t>COLLECT</t>
    <phoneticPr fontId="13" type="noConversion"/>
  </si>
  <si>
    <t>VIEW</t>
    <phoneticPr fontId="13" type="noConversion"/>
  </si>
  <si>
    <t>PLAY</t>
    <phoneticPr fontId="13" type="noConversion"/>
  </si>
  <si>
    <t>PLAYING</t>
    <phoneticPr fontId="13" type="noConversion"/>
  </si>
  <si>
    <t>Go</t>
    <phoneticPr fontId="13" type="noConversion"/>
  </si>
  <si>
    <t>CLAIM</t>
    <phoneticPr fontId="13" type="noConversion"/>
  </si>
  <si>
    <t>EDIT</t>
    <phoneticPr fontId="13" type="noConversion"/>
  </si>
  <si>
    <t>CONFIRM</t>
    <phoneticPr fontId="13" type="noConversion"/>
  </si>
  <si>
    <t>COMPLETE</t>
    <phoneticPr fontId="13" type="noConversion"/>
  </si>
  <si>
    <t>CANCEL</t>
    <phoneticPr fontId="13" type="noConversion"/>
  </si>
  <si>
    <t>ENCHANT</t>
    <phoneticPr fontId="13" type="noConversion"/>
  </si>
  <si>
    <t>FARMLAND</t>
    <phoneticPr fontId="13" type="noConversion"/>
  </si>
  <si>
    <t>GATE</t>
    <phoneticPr fontId="13" type="noConversion"/>
  </si>
  <si>
    <t>MARKET</t>
    <phoneticPr fontId="13" type="noConversion"/>
  </si>
  <si>
    <t>OFFICE</t>
    <phoneticPr fontId="13" type="noConversion"/>
  </si>
  <si>
    <t>PALACE</t>
    <phoneticPr fontId="13" type="noConversion"/>
  </si>
  <si>
    <t>SHARD</t>
    <phoneticPr fontId="13" type="noConversion"/>
  </si>
  <si>
    <t>DAILY</t>
    <phoneticPr fontId="13" type="noConversion"/>
  </si>
  <si>
    <t>DUNGEON</t>
    <phoneticPr fontId="13" type="noConversion"/>
  </si>
  <si>
    <t>CASTLE</t>
    <phoneticPr fontId="13" type="noConversion"/>
  </si>
  <si>
    <t>OFFICERS</t>
    <phoneticPr fontId="13" type="noConversion"/>
  </si>
  <si>
    <t>SHOP</t>
    <phoneticPr fontId="13" type="noConversion"/>
  </si>
  <si>
    <t>BANQUET</t>
    <phoneticPr fontId="13" type="noConversion"/>
  </si>
  <si>
    <t>BONDS</t>
    <phoneticPr fontId="13" type="noConversion"/>
  </si>
  <si>
    <t>RELICS</t>
    <phoneticPr fontId="13" type="noConversion"/>
  </si>
  <si>
    <t>GRADE</t>
    <phoneticPr fontId="13" type="noConversion"/>
  </si>
  <si>
    <t>FACTION</t>
    <phoneticPr fontId="13" type="noConversion"/>
  </si>
  <si>
    <t>BUTTON_UPGRADE_GRADE_S</t>
    <phoneticPr fontId="13" type="noConversion"/>
  </si>
  <si>
    <t>승급</t>
    <phoneticPr fontId="13" type="noConversion"/>
  </si>
  <si>
    <t>PROM</t>
    <phoneticPr fontId="13" type="noConversion"/>
  </si>
  <si>
    <t>INVALID_GRADE</t>
    <phoneticPr fontId="13" type="noConversion"/>
  </si>
  <si>
    <t>[{0}] 등급 달성시 해제</t>
    <phoneticPr fontId="13" type="noConversion"/>
  </si>
  <si>
    <t>Unlocks at [{0}]</t>
  </si>
  <si>
    <t>达到 [{0}] 解锁</t>
  </si>
  <si>
    <r>
      <rPr>
        <sz val="10"/>
        <color theme="1"/>
        <rFont val="맑은 고딕"/>
        <family val="3"/>
        <charset val="129"/>
      </rPr>
      <t>공격시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확률 범위 공격</t>
    </r>
  </si>
  <si>
    <r>
      <rPr>
        <sz val="10"/>
        <color theme="1"/>
        <rFont val="맑은 고딕"/>
        <family val="3"/>
        <charset val="129"/>
      </rPr>
      <t xml:space="preserve">피격시 보호막 발동 </t>
    </r>
    <r>
      <rPr>
        <sz val="10"/>
        <color theme="1"/>
        <rFont val="Arial"/>
        <family val="2"/>
      </rPr>
      <t>[3</t>
    </r>
    <r>
      <rPr>
        <sz val="10"/>
        <color theme="1"/>
        <rFont val="돋움"/>
        <family val="3"/>
        <charset val="129"/>
      </rPr>
      <t>초간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</si>
  <si>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맑은 고딕"/>
        <family val="3"/>
        <charset val="129"/>
      </rPr>
      <t>피격시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피해량 감소</t>
    </r>
  </si>
  <si>
    <t>VALID_OPEN</t>
    <phoneticPr fontId="13" type="noConversion"/>
  </si>
  <si>
    <t>특성 새로 부여 가능</t>
    <phoneticPr fontId="13" type="noConversion"/>
  </si>
  <si>
    <t>Reroll Available</t>
    <phoneticPr fontId="13" type="noConversion"/>
  </si>
  <si>
    <t>可重置属性</t>
  </si>
  <si>
    <t>CMA</t>
    <phoneticPr fontId="13" type="noConversion"/>
  </si>
  <si>
    <t>SEC DIR</t>
    <phoneticPr fontId="13" type="noConversion"/>
  </si>
  <si>
    <t>DRG WAR</t>
    <phoneticPr fontId="13" type="noConversion"/>
  </si>
  <si>
    <t>GEN.L</t>
    <phoneticPr fontId="13" type="noConversion"/>
  </si>
  <si>
    <t>GEN.R</t>
    <phoneticPr fontId="13" type="noConversion"/>
  </si>
  <si>
    <t>GEN.VAN</t>
    <phoneticPr fontId="13" type="noConversion"/>
  </si>
  <si>
    <t>GEN.RGT</t>
    <phoneticPr fontId="13" type="noConversion"/>
  </si>
  <si>
    <t>G GEN</t>
    <phoneticPr fontId="13" type="noConversion"/>
  </si>
  <si>
    <t>G STRAT</t>
    <phoneticPr fontId="13" type="noConversion"/>
  </si>
  <si>
    <t>VICE CEN</t>
    <phoneticPr fontId="13" type="noConversion"/>
  </si>
  <si>
    <t>PM</t>
    <phoneticPr fontId="13" type="noConversion"/>
  </si>
  <si>
    <t>STD G</t>
    <phoneticPr fontId="13" type="noConversion"/>
  </si>
  <si>
    <t>General Left</t>
    <phoneticPr fontId="13" type="noConversion"/>
  </si>
  <si>
    <t>General Rear</t>
    <phoneticPr fontId="13" type="noConversion"/>
  </si>
  <si>
    <t>General Right</t>
    <phoneticPr fontId="13" type="noConversion"/>
  </si>
  <si>
    <t>General Vanguard</t>
    <phoneticPr fontId="13" type="noConversion"/>
  </si>
  <si>
    <t>General Standard</t>
    <phoneticPr fontId="13" type="noConversion"/>
  </si>
  <si>
    <t>Subduing General</t>
    <phoneticPr fontId="13" type="noConversion"/>
  </si>
  <si>
    <t>SUB G</t>
    <phoneticPr fontId="13" type="noConversion"/>
  </si>
  <si>
    <t>Vanquishing General</t>
    <phoneticPr fontId="13" type="noConversion"/>
  </si>
  <si>
    <t>VNQ G</t>
    <phoneticPr fontId="13" type="noConversion"/>
  </si>
  <si>
    <t>CONFIG</t>
    <phoneticPr fontId="13" type="noConversion"/>
  </si>
  <si>
    <t>MERITS</t>
    <phoneticPr fontId="13" type="noConversion"/>
  </si>
  <si>
    <t>POST</t>
    <phoneticPr fontId="13" type="noConversion"/>
  </si>
  <si>
    <t>Join a Raid {0} times.</t>
    <phoneticPr fontId="13" type="noConversion"/>
  </si>
  <si>
    <t>Join a Tournament {0} times.</t>
    <phoneticPr fontId="13" type="noConversion"/>
  </si>
  <si>
    <t>Defeat {0} enemies.</t>
    <phoneticPr fontId="13" type="noConversion"/>
  </si>
  <si>
    <r>
      <rPr>
        <sz val="10"/>
        <color theme="1"/>
        <rFont val="새굴림"/>
        <family val="1"/>
        <charset val="129"/>
      </rPr>
      <t>击败</t>
    </r>
    <r>
      <rPr>
        <sz val="10"/>
        <color theme="1"/>
        <rFont val="맑은 고딕"/>
        <family val="3"/>
        <charset val="129"/>
      </rPr>
      <t>{0}名</t>
    </r>
    <r>
      <rPr>
        <sz val="10"/>
        <color theme="1"/>
        <rFont val="새굴림"/>
        <family val="1"/>
        <charset val="129"/>
      </rPr>
      <t>敌</t>
    </r>
    <r>
      <rPr>
        <sz val="10"/>
        <color theme="1"/>
        <rFont val="맑은 고딕"/>
        <family val="3"/>
        <charset val="129"/>
      </rPr>
      <t>人。</t>
    </r>
    <phoneticPr fontId="13" type="noConversion"/>
  </si>
  <si>
    <r>
      <rPr>
        <sz val="10"/>
        <color theme="1"/>
        <rFont val="새굴림"/>
        <family val="1"/>
        <charset val="129"/>
      </rPr>
      <t>参</t>
    </r>
    <r>
      <rPr>
        <sz val="10"/>
        <color theme="1"/>
        <rFont val="맑은 고딕"/>
        <family val="3"/>
        <charset val="129"/>
      </rPr>
      <t>加比武大</t>
    </r>
    <r>
      <rPr>
        <sz val="10"/>
        <color theme="1"/>
        <rFont val="새굴림"/>
        <family val="1"/>
        <charset val="129"/>
      </rPr>
      <t>会</t>
    </r>
    <r>
      <rPr>
        <sz val="10"/>
        <color theme="1"/>
        <rFont val="맑은 고딕"/>
        <family val="3"/>
        <charset val="129"/>
      </rPr>
      <t>{0}次。</t>
    </r>
    <phoneticPr fontId="13" type="noConversion"/>
  </si>
  <si>
    <r>
      <rPr>
        <sz val="10"/>
        <color theme="1"/>
        <rFont val="새굴림"/>
        <family val="1"/>
        <charset val="129"/>
      </rPr>
      <t>参</t>
    </r>
    <r>
      <rPr>
        <sz val="10"/>
        <color theme="1"/>
        <rFont val="맑은 고딕"/>
        <family val="3"/>
        <charset val="129"/>
      </rPr>
      <t>加</t>
    </r>
    <r>
      <rPr>
        <sz val="10"/>
        <color theme="1"/>
        <rFont val="새굴림"/>
        <family val="1"/>
        <charset val="129"/>
      </rPr>
      <t>讨</t>
    </r>
    <r>
      <rPr>
        <sz val="10"/>
        <color theme="1"/>
        <rFont val="맑은 고딕"/>
        <family val="3"/>
        <charset val="129"/>
      </rPr>
      <t>伐</t>
    </r>
    <r>
      <rPr>
        <sz val="10"/>
        <color theme="1"/>
        <rFont val="새굴림"/>
        <family val="1"/>
        <charset val="129"/>
      </rPr>
      <t>战</t>
    </r>
    <r>
      <rPr>
        <sz val="10"/>
        <color theme="1"/>
        <rFont val="맑은 고딕"/>
        <family val="3"/>
        <charset val="129"/>
      </rPr>
      <t>{0}次。</t>
    </r>
    <phoneticPr fontId="13" type="noConversion"/>
  </si>
  <si>
    <r>
      <t>在</t>
    </r>
    <r>
      <rPr>
        <sz val="10"/>
        <color theme="1"/>
        <rFont val="새굴림"/>
        <family val="1"/>
        <charset val="129"/>
      </rPr>
      <t>领</t>
    </r>
    <r>
      <rPr>
        <sz val="10"/>
        <color theme="1"/>
        <rFont val="맑은 고딕"/>
        <family val="3"/>
        <charset val="129"/>
      </rPr>
      <t>地</t>
    </r>
    <r>
      <rPr>
        <sz val="10"/>
        <color theme="1"/>
        <rFont val="새굴림"/>
        <family val="1"/>
        <charset val="129"/>
      </rPr>
      <t>农</t>
    </r>
    <r>
      <rPr>
        <sz val="10"/>
        <color theme="1"/>
        <rFont val="맑은 고딕"/>
        <family val="3"/>
        <charset val="129"/>
      </rPr>
      <t>田收</t>
    </r>
    <r>
      <rPr>
        <sz val="10"/>
        <color theme="1"/>
        <rFont val="새굴림"/>
        <family val="1"/>
        <charset val="129"/>
      </rPr>
      <t>获军</t>
    </r>
    <r>
      <rPr>
        <sz val="10"/>
        <color theme="1"/>
        <rFont val="맑은 고딕"/>
        <family val="3"/>
        <charset val="129"/>
      </rPr>
      <t>粮。</t>
    </r>
    <phoneticPr fontId="13" type="noConversion"/>
  </si>
  <si>
    <r>
      <t>在</t>
    </r>
    <r>
      <rPr>
        <sz val="10"/>
        <color theme="1"/>
        <rFont val="새굴림"/>
        <family val="1"/>
        <charset val="129"/>
      </rPr>
      <t>领</t>
    </r>
    <r>
      <rPr>
        <sz val="10"/>
        <color theme="1"/>
        <rFont val="맑은 고딕"/>
        <family val="3"/>
        <charset val="129"/>
      </rPr>
      <t>地市</t>
    </r>
    <r>
      <rPr>
        <sz val="10"/>
        <color theme="1"/>
        <rFont val="새굴림"/>
        <family val="1"/>
        <charset val="129"/>
      </rPr>
      <t>场</t>
    </r>
    <r>
      <rPr>
        <sz val="10"/>
        <color theme="1"/>
        <rFont val="맑은 고딕"/>
        <family val="3"/>
        <charset val="129"/>
      </rPr>
      <t>收取金</t>
    </r>
    <r>
      <rPr>
        <sz val="10"/>
        <color theme="1"/>
        <rFont val="새굴림"/>
        <family val="1"/>
        <charset val="129"/>
      </rPr>
      <t>币</t>
    </r>
    <r>
      <rPr>
        <sz val="10"/>
        <color theme="1"/>
        <rFont val="맑은 고딕"/>
        <family val="3"/>
        <charset val="129"/>
      </rPr>
      <t>。</t>
    </r>
    <phoneticPr fontId="13" type="noConversion"/>
  </si>
  <si>
    <r>
      <t>在</t>
    </r>
    <r>
      <rPr>
        <sz val="10"/>
        <color theme="1"/>
        <rFont val="새굴림"/>
        <family val="1"/>
        <charset val="129"/>
      </rPr>
      <t>领</t>
    </r>
    <r>
      <rPr>
        <sz val="10"/>
        <color theme="1"/>
        <rFont val="맑은 고딕"/>
        <family val="3"/>
        <charset val="129"/>
      </rPr>
      <t>地官府派遣{0}次。</t>
    </r>
    <phoneticPr fontId="13" type="noConversion"/>
  </si>
  <si>
    <r>
      <rPr>
        <sz val="10"/>
        <color theme="1"/>
        <rFont val="새굴림"/>
        <family val="1"/>
        <charset val="129"/>
      </rPr>
      <t>参</t>
    </r>
    <r>
      <rPr>
        <sz val="10"/>
        <color theme="1"/>
        <rFont val="맑은 고딕"/>
        <family val="3"/>
        <charset val="129"/>
      </rPr>
      <t>加每日副本{0}次。</t>
    </r>
    <phoneticPr fontId="13" type="noConversion"/>
  </si>
  <si>
    <r>
      <rPr>
        <sz val="10"/>
        <color theme="1"/>
        <rFont val="새굴림"/>
        <family val="1"/>
        <charset val="129"/>
      </rPr>
      <t>击败</t>
    </r>
    <r>
      <rPr>
        <sz val="10"/>
        <color theme="1"/>
        <rFont val="맑은 고딕"/>
        <family val="3"/>
        <charset val="129"/>
      </rPr>
      <t>{0}名</t>
    </r>
    <r>
      <rPr>
        <sz val="10"/>
        <color theme="1"/>
        <rFont val="새굴림"/>
        <family val="1"/>
        <charset val="129"/>
      </rPr>
      <t>关</t>
    </r>
    <r>
      <rPr>
        <sz val="10"/>
        <color theme="1"/>
        <rFont val="맑은 고딕"/>
        <family val="3"/>
        <charset val="129"/>
      </rPr>
      <t>卡首</t>
    </r>
    <r>
      <rPr>
        <sz val="10"/>
        <color theme="1"/>
        <rFont val="새굴림"/>
        <family val="1"/>
        <charset val="129"/>
      </rPr>
      <t>领</t>
    </r>
    <r>
      <rPr>
        <sz val="10"/>
        <color theme="1"/>
        <rFont val="맑은 고딕"/>
        <family val="3"/>
        <charset val="129"/>
      </rPr>
      <t>。</t>
    </r>
    <phoneticPr fontId="13" type="noConversion"/>
  </si>
  <si>
    <r>
      <rPr>
        <sz val="10"/>
        <color theme="1"/>
        <rFont val="새굴림"/>
        <family val="1"/>
        <charset val="129"/>
      </rPr>
      <t>请观</t>
    </r>
    <r>
      <rPr>
        <sz val="10"/>
        <color theme="1"/>
        <rFont val="맑은 고딕"/>
        <family val="3"/>
        <charset val="129"/>
      </rPr>
      <t>看广告。</t>
    </r>
    <phoneticPr fontId="13" type="noConversion"/>
  </si>
  <si>
    <t>Harvest provisions at the domain farmland.</t>
    <phoneticPr fontId="13" type="noConversion"/>
  </si>
  <si>
    <t>Collect gold at the domain market.</t>
    <phoneticPr fontId="13" type="noConversion"/>
  </si>
  <si>
    <t>Send {0} missions at the domain office.</t>
    <phoneticPr fontId="13" type="noConversion"/>
  </si>
  <si>
    <t>Enter the Daily Dungeon {0} times.</t>
    <phoneticPr fontId="13" type="noConversion"/>
  </si>
  <si>
    <t>Defeat {0} stage bosses.</t>
    <phoneticPr fontId="13" type="noConversion"/>
  </si>
  <si>
    <t>ENVOY</t>
    <phoneticPr fontId="13" type="noConversion"/>
  </si>
  <si>
    <t>Activate Envoy</t>
    <phoneticPr fontId="13" type="noConversion"/>
  </si>
  <si>
    <t>ACTIVE</t>
    <phoneticPr fontId="13" type="noConversion"/>
  </si>
  <si>
    <t>title_S</t>
    <phoneticPr fontId="13" type="noConversion"/>
  </si>
  <si>
    <t>TOURN</t>
    <phoneticPr fontId="13" type="noConversion"/>
  </si>
  <si>
    <t>UI_AFK_TITLE_S</t>
    <phoneticPr fontId="13" type="noConversion"/>
  </si>
  <si>
    <t>IDLE RWD</t>
    <phoneticPr fontId="13" type="noConversion"/>
  </si>
  <si>
    <t>Goods reset at a set time each day, and the chance of appearing differs by grade.&lt;br&gt;&lt;size=85%&gt;N: 50%&lt;pos=200&gt;E: 28%&lt;pos=400&gt;G: 14%&lt;br&gt;H: 6%&lt;pos=200&gt;L: 2%&lt;/size&gt;</t>
    <phoneticPr fontId="13" type="noConversion"/>
  </si>
  <si>
    <t>CHAOS</t>
  </si>
  <si>
    <t>EXTREME</t>
  </si>
  <si>
    <t>HELL</t>
  </si>
  <si>
    <t>ABYSS</t>
  </si>
  <si>
    <t>NORMAL</t>
  </si>
  <si>
    <t>ELITE</t>
  </si>
  <si>
    <t>GENERAL</t>
  </si>
  <si>
    <t>HERO</t>
  </si>
  <si>
    <t>LEGEND</t>
  </si>
  <si>
    <t>FINE</t>
  </si>
  <si>
    <t>RARE</t>
  </si>
  <si>
    <t>MASTERPIECE</t>
  </si>
  <si>
    <t>PRICELESS</t>
  </si>
  <si>
    <t>Success Rate</t>
    <phoneticPr fontId="13" type="noConversion"/>
  </si>
  <si>
    <t>Etc</t>
    <phoneticPr fontId="13" type="noConversion"/>
  </si>
  <si>
    <t>CASTLE_MENU_INFO_S</t>
    <phoneticPr fontId="13" type="noConversion"/>
  </si>
  <si>
    <t>OVR</t>
    <phoneticPr fontId="13" type="noConversion"/>
  </si>
  <si>
    <t>CASTLE_MENU_SETTING_S</t>
    <phoneticPr fontId="13" type="noConversion"/>
  </si>
  <si>
    <t>MNG</t>
    <phoneticPr fontId="13" type="noConversion"/>
  </si>
  <si>
    <t>Merchant</t>
    <phoneticPr fontId="13" type="noConversion"/>
  </si>
  <si>
    <t>CASTLE_MENU_MERCHANT_S</t>
    <phoneticPr fontId="13" type="noConversion"/>
  </si>
  <si>
    <t>MERCH</t>
    <phoneticPr fontId="13" type="noConversion"/>
  </si>
  <si>
    <t>Dispatch</t>
    <phoneticPr fontId="13" type="noConversion"/>
  </si>
  <si>
    <t>CASTLE_MENU_OFFICE_S</t>
    <phoneticPr fontId="13" type="noConversion"/>
  </si>
  <si>
    <t>DSP</t>
    <phoneticPr fontId="13" type="noConversion"/>
  </si>
  <si>
    <t>MERCHANT</t>
    <phoneticPr fontId="13" type="noConversion"/>
  </si>
  <si>
    <t>JOB</t>
    <phoneticPr fontId="13" type="noConversion"/>
  </si>
  <si>
    <t>CASTLE_BATCH</t>
    <phoneticPr fontId="13" type="noConversion"/>
  </si>
  <si>
    <t>배치</t>
    <phoneticPr fontId="13" type="noConversion"/>
  </si>
  <si>
    <t>SEL</t>
    <phoneticPr fontId="13" type="noConversion"/>
  </si>
  <si>
    <t>CASTLE_OFFICER</t>
    <phoneticPr fontId="13" type="noConversion"/>
  </si>
  <si>
    <t>장수</t>
    <phoneticPr fontId="13" type="noConversion"/>
  </si>
  <si>
    <t>OFFR</t>
    <phoneticPr fontId="13" type="noConversion"/>
  </si>
  <si>
    <t>UI_WEAPON</t>
    <phoneticPr fontId="13" type="noConversion"/>
  </si>
  <si>
    <t>무기</t>
    <phoneticPr fontId="13" type="noConversion"/>
  </si>
  <si>
    <t>WEAPON</t>
    <phoneticPr fontId="13" type="noConversion"/>
  </si>
  <si>
    <t>武器</t>
  </si>
  <si>
    <t>증축 잠김</t>
    <phoneticPr fontId="13" type="noConversion"/>
  </si>
  <si>
    <t>EXP LOCKED</t>
    <phoneticPr fontId="13" type="noConversion"/>
  </si>
  <si>
    <t>EXPANSION</t>
    <phoneticPr fontId="13" type="noConversion"/>
  </si>
  <si>
    <t>扩建未解锁</t>
  </si>
  <si>
    <t>UI_SKILL</t>
    <phoneticPr fontId="13" type="noConversion"/>
  </si>
  <si>
    <t>특수공격</t>
    <phoneticPr fontId="13" type="noConversion"/>
  </si>
  <si>
    <t>SKILL</t>
    <phoneticPr fontId="13" type="noConversion"/>
  </si>
  <si>
    <t>特殊攻击</t>
  </si>
  <si>
    <t>UI_BATCH_S</t>
    <phoneticPr fontId="13" type="noConversion"/>
  </si>
  <si>
    <t>DPL</t>
    <phoneticPr fontId="13" type="noConversion"/>
  </si>
  <si>
    <t>UI_GUARANTEED</t>
    <phoneticPr fontId="13" type="noConversion"/>
  </si>
  <si>
    <t>확정</t>
    <phoneticPr fontId="13" type="noConversion"/>
  </si>
  <si>
    <t>GUAR</t>
    <phoneticPr fontId="13" type="noConversion"/>
  </si>
  <si>
    <t>确定</t>
  </si>
  <si>
    <t>BUTTON_REFRESH</t>
    <phoneticPr fontId="13" type="noConversion"/>
  </si>
  <si>
    <t>새로고침</t>
    <phoneticPr fontId="13" type="noConversion"/>
  </si>
  <si>
    <t>REFRESH</t>
    <phoneticPr fontId="13" type="noConversion"/>
  </si>
  <si>
    <t>BUTTON_BATCH</t>
    <phoneticPr fontId="13" type="noConversion"/>
  </si>
  <si>
    <t>DEPLOY</t>
    <phoneticPr fontId="13" type="noConversion"/>
  </si>
  <si>
    <t>武将派遣</t>
  </si>
  <si>
    <t>CASTLE_MISSION_TAB_MISSIONLIST</t>
    <phoneticPr fontId="13" type="noConversion"/>
  </si>
  <si>
    <t>CASTLE_MISSION_TAB_RUNNINGLIST</t>
    <phoneticPr fontId="13" type="noConversion"/>
  </si>
  <si>
    <t>임무 목록</t>
    <phoneticPr fontId="13" type="noConversion"/>
  </si>
  <si>
    <t>진행중 임무</t>
    <phoneticPr fontId="13" type="noConversion"/>
  </si>
  <si>
    <t>MISSIONS</t>
  </si>
  <si>
    <t>任务列表</t>
  </si>
  <si>
    <t>IN PROGRESS</t>
  </si>
  <si>
    <t>进行中任务</t>
  </si>
  <si>
    <t>CASTLE_MISSION_DIFF_INFO</t>
    <phoneticPr fontId="13" type="noConversion"/>
  </si>
  <si>
    <t>난이도: {0} &lt;size=90%&gt;(+{1}경험치)</t>
    <phoneticPr fontId="13" type="noConversion"/>
  </si>
  <si>
    <t>LV: {0} &lt;size=90%&gt;(+{1} EXP)</t>
    <phoneticPr fontId="13" type="noConversion"/>
  </si>
  <si>
    <t>시간단축</t>
    <phoneticPr fontId="13" type="noConversion"/>
  </si>
  <si>
    <t>BUTTON_SPEED_UP</t>
    <phoneticPr fontId="13" type="noConversion"/>
  </si>
  <si>
    <t>SPEED UP</t>
    <phoneticPr fontId="13" type="noConversion"/>
  </si>
  <si>
    <t>CASTLE_EXP_INFO</t>
    <phoneticPr fontId="13" type="noConversion"/>
  </si>
  <si>
    <t>LV.{0} OFFICE EXP</t>
    <phoneticPr fontId="13" type="noConversion"/>
  </si>
  <si>
    <t>UI_REMAIN_COUNT</t>
    <phoneticPr fontId="13" type="noConversion"/>
  </si>
  <si>
    <t>REM. {0}</t>
    <phoneticPr fontId="13" type="noConversion"/>
  </si>
  <si>
    <t>남은 횟수: {0}</t>
    <phoneticPr fontId="13" type="noConversion"/>
  </si>
  <si>
    <t>CASTLE_MISSION_RESULT</t>
    <phoneticPr fontId="13" type="noConversion"/>
  </si>
  <si>
    <t>UI_RECEIVE_EXP</t>
    <phoneticPr fontId="13" type="noConversion"/>
  </si>
  <si>
    <t>획득 경험치</t>
    <phoneticPr fontId="13" type="noConversion"/>
  </si>
  <si>
    <t>UI_GUARANTEED_REWARD</t>
    <phoneticPr fontId="13" type="noConversion"/>
  </si>
  <si>
    <t>확정 보상</t>
    <phoneticPr fontId="13" type="noConversion"/>
  </si>
  <si>
    <t>BUTTON_RECEIVE_REWARD</t>
    <phoneticPr fontId="13" type="noConversion"/>
  </si>
  <si>
    <t>보상 받기</t>
    <phoneticPr fontId="13" type="noConversion"/>
  </si>
  <si>
    <t>EXP GAINED</t>
  </si>
  <si>
    <t>Dispatch Result</t>
    <phoneticPr fontId="13" type="noConversion"/>
  </si>
  <si>
    <t>派遣结果</t>
  </si>
  <si>
    <t>获得经验</t>
  </si>
  <si>
    <t>Guaranteed Rewards</t>
    <phoneticPr fontId="13" type="noConversion"/>
  </si>
  <si>
    <t>CLAIM REWARD</t>
  </si>
  <si>
    <t>领取奖励</t>
  </si>
  <si>
    <t>确定奖励</t>
  </si>
  <si>
    <t>Successful</t>
    <phoneticPr fontId="13" type="noConversion"/>
  </si>
  <si>
    <t>CASTLE_MISSION_EMPTY_COMPLETE</t>
    <phoneticPr fontId="13" type="noConversion"/>
  </si>
  <si>
    <t>CASTLE_MISSION_REQ_STAT</t>
    <phoneticPr fontId="13" type="noConversion"/>
  </si>
  <si>
    <t>요구 능력치</t>
    <phoneticPr fontId="13" type="noConversion"/>
  </si>
  <si>
    <t>Required Stats</t>
    <phoneticPr fontId="13" type="noConversion"/>
  </si>
  <si>
    <t>UI_RUNNING_TIME</t>
    <phoneticPr fontId="13" type="noConversion"/>
  </si>
  <si>
    <t>소요시간</t>
    <phoneticPr fontId="13" type="noConversion"/>
  </si>
  <si>
    <t>UI_AND_OTHERS_COUNT</t>
    <phoneticPr fontId="13" type="noConversion"/>
  </si>
  <si>
    <t>외 {0}건</t>
    <phoneticPr fontId="13" type="noConversion"/>
  </si>
  <si>
    <t>+{0} MORE</t>
  </si>
  <si>
    <t>等 {0} 项</t>
  </si>
  <si>
    <t>No Completed Missions</t>
    <phoneticPr fontId="13" type="noConversion"/>
  </si>
  <si>
    <t>没有已完成的任务</t>
  </si>
  <si>
    <t>属性要求</t>
    <phoneticPr fontId="13" type="noConversion"/>
  </si>
  <si>
    <t>Duration</t>
    <phoneticPr fontId="13" type="noConversion"/>
  </si>
  <si>
    <t>所需时间</t>
    <phoneticPr fontId="13" type="noConversion"/>
  </si>
  <si>
    <t>BUTTON_RECEIVE_ALL</t>
    <phoneticPr fontId="13" type="noConversion"/>
  </si>
  <si>
    <t>BUTTON_GO_SHOP</t>
    <phoneticPr fontId="13" type="noConversion"/>
  </si>
  <si>
    <t>상점 이동</t>
    <phoneticPr fontId="13" type="noConversion"/>
  </si>
  <si>
    <t>GO SHOP</t>
    <phoneticPr fontId="13" type="noConversion"/>
  </si>
  <si>
    <t>前往商店</t>
  </si>
  <si>
    <t>BUTTON_CLOSE</t>
    <phoneticPr fontId="13" type="noConversion"/>
  </si>
  <si>
    <t>닫기</t>
    <phoneticPr fontId="13" type="noConversion"/>
  </si>
  <si>
    <t>CLOSE</t>
    <phoneticPr fontId="13" type="noConversion"/>
  </si>
  <si>
    <t>关闭</t>
  </si>
  <si>
    <t>Current</t>
    <phoneticPr fontId="13" type="noConversion"/>
  </si>
  <si>
    <t>After Rewind</t>
    <phoneticPr fontId="13" type="noConversion"/>
  </si>
  <si>
    <t>Time Stones Earned</t>
    <phoneticPr fontId="13" type="noConversion"/>
  </si>
  <si>
    <t>Rewind at {0}</t>
    <phoneticPr fontId="13" type="noConversion"/>
  </si>
  <si>
    <t>Daily Quests</t>
    <phoneticPr fontId="13" type="noConversion"/>
  </si>
  <si>
    <t>CATEGORY_NAME_S_DAILY</t>
    <phoneticPr fontId="13" type="noConversion"/>
  </si>
  <si>
    <t>CATEGORY_NAME_S_WEEKLY</t>
    <phoneticPr fontId="13" type="noConversion"/>
  </si>
  <si>
    <t>WEEKLY</t>
    <phoneticPr fontId="13" type="noConversion"/>
  </si>
  <si>
    <t>UI_PRODUCT</t>
    <phoneticPr fontId="13" type="noConversion"/>
  </si>
  <si>
    <t>상품</t>
    <phoneticPr fontId="13" type="noConversion"/>
  </si>
  <si>
    <t>BUTTON_BUY</t>
    <phoneticPr fontId="13" type="noConversion"/>
  </si>
  <si>
    <t>구매</t>
    <phoneticPr fontId="13" type="noConversion"/>
  </si>
  <si>
    <t>POPUP_BUY_TITLE</t>
    <phoneticPr fontId="13" type="noConversion"/>
  </si>
  <si>
    <t>보유수량: {0}</t>
    <phoneticPr fontId="13" type="noConversion"/>
  </si>
  <si>
    <t>UI_MY_AMOUNT</t>
    <phoneticPr fontId="13" type="noConversion"/>
  </si>
  <si>
    <t>&lt;mspace=90&gt;상품구매</t>
    <phoneticPr fontId="13" type="noConversion"/>
  </si>
  <si>
    <t>MODAL_MOVE_SHOP</t>
    <phoneticPr fontId="13" type="noConversion"/>
  </si>
  <si>
    <t>상점으로 이동하시겠습니까?</t>
    <phoneticPr fontId="13" type="noConversion"/>
  </si>
  <si>
    <t>MODAL_BUY</t>
    <phoneticPr fontId="13" type="noConversion"/>
  </si>
  <si>
    <t>구매하시겠습니까?</t>
    <phoneticPr fontId="13" type="noConversion"/>
  </si>
  <si>
    <t>pass</t>
  </si>
  <si>
    <t>군량 주머니</t>
    <phoneticPr fontId="13" type="noConversion"/>
  </si>
  <si>
    <t>금화 주머니</t>
    <phoneticPr fontId="13" type="noConversion"/>
  </si>
  <si>
    <t>시간석 주머니</t>
  </si>
  <si>
    <t>클래스 영혼석 랜덤박스</t>
  </si>
  <si>
    <t>전용 영혼석 랜덤박스</t>
  </si>
  <si>
    <t>보물 조각 랜덤박스</t>
  </si>
  <si>
    <t>일반 연회권</t>
  </si>
  <si>
    <t>고급 연회권</t>
  </si>
  <si>
    <t>토너먼트 포인트</t>
  </si>
  <si>
    <t>공용 영혼석</t>
  </si>
  <si>
    <t>클래스 영혼석</t>
  </si>
  <si>
    <t>보물 마일리지</t>
  </si>
  <si>
    <t>토너먼트 티켓</t>
  </si>
  <si>
    <t>UI_PASS_RUNNING</t>
    <phoneticPr fontId="13" type="noConversion"/>
  </si>
  <si>
    <t>임무중</t>
    <phoneticPr fontId="13" type="noConversion"/>
  </si>
  <si>
    <t>시즌</t>
    <phoneticPr fontId="13" type="noConversion"/>
  </si>
  <si>
    <t>package</t>
  </si>
  <si>
    <t>패키지</t>
  </si>
  <si>
    <t>rice_10000</t>
  </si>
  <si>
    <t>초보자 성장 패키지</t>
  </si>
  <si>
    <t>battle_pass_season_1</t>
  </si>
  <si>
    <t>군사마</t>
    <phoneticPr fontId="13" type="noConversion"/>
  </si>
  <si>
    <t>편장군</t>
    <phoneticPr fontId="13" type="noConversion"/>
  </si>
  <si>
    <t>Q.MASTER</t>
    <phoneticPr fontId="13" type="noConversion"/>
  </si>
  <si>
    <t>DEP G</t>
    <phoneticPr fontId="13" type="noConversion"/>
  </si>
  <si>
    <t>Deputy General</t>
    <phoneticPr fontId="13" type="noConversion"/>
  </si>
  <si>
    <t>Quartermaster</t>
    <phoneticPr fontId="13" type="noConversion"/>
  </si>
  <si>
    <t>军师马</t>
  </si>
  <si>
    <t>军师马</t>
    <phoneticPr fontId="13" type="noConversion"/>
  </si>
  <si>
    <t>偏将军</t>
  </si>
  <si>
    <r>
      <rPr>
        <sz val="10"/>
        <color theme="1"/>
        <rFont val="맑은 고딕"/>
        <family val="3"/>
        <charset val="129"/>
      </rPr>
      <t>장수</t>
    </r>
    <r>
      <rPr>
        <sz val="10"/>
        <color theme="1"/>
        <rFont val="굴림"/>
        <family val="3"/>
        <charset val="129"/>
      </rPr>
      <t xml:space="preserve"> 배치</t>
    </r>
    <phoneticPr fontId="13" type="noConversion"/>
  </si>
  <si>
    <r>
      <rPr>
        <sz val="10"/>
        <color theme="1"/>
        <rFont val="Microsoft YaHei"/>
        <family val="2"/>
        <charset val="134"/>
      </rPr>
      <t>难度</t>
    </r>
    <r>
      <rPr>
        <sz val="10"/>
        <color theme="1"/>
        <rFont val="Calibri"/>
        <family val="2"/>
        <scheme val="minor"/>
      </rPr>
      <t>: {0} &lt;size=90%&gt;(+{1}EXP)</t>
    </r>
    <phoneticPr fontId="13" type="noConversion"/>
  </si>
  <si>
    <r>
      <t xml:space="preserve">LV.{0} </t>
    </r>
    <r>
      <rPr>
        <sz val="10"/>
        <color theme="1"/>
        <rFont val="맑은 고딕"/>
        <family val="3"/>
        <charset val="129"/>
      </rPr>
      <t>관아</t>
    </r>
    <r>
      <rPr>
        <sz val="10"/>
        <color theme="1"/>
        <rFont val="굴림"/>
        <family val="3"/>
        <charset val="129"/>
      </rPr>
      <t xml:space="preserve"> 경험치</t>
    </r>
    <phoneticPr fontId="13" type="noConversion"/>
  </si>
  <si>
    <r>
      <t xml:space="preserve">LV.{0} </t>
    </r>
    <r>
      <rPr>
        <sz val="10"/>
        <color theme="1"/>
        <rFont val="맑은 고딕"/>
        <family val="3"/>
        <charset val="129"/>
      </rPr>
      <t>官府</t>
    </r>
    <r>
      <rPr>
        <sz val="10"/>
        <color theme="1"/>
        <rFont val="새굴림"/>
        <family val="1"/>
        <charset val="129"/>
      </rPr>
      <t>经验</t>
    </r>
    <phoneticPr fontId="13" type="noConversion"/>
  </si>
  <si>
    <r>
      <rPr>
        <sz val="10"/>
        <color theme="1"/>
        <rFont val="맑은 고딕"/>
        <family val="3"/>
        <charset val="129"/>
      </rPr>
      <t>剩余次</t>
    </r>
    <r>
      <rPr>
        <sz val="10"/>
        <color theme="1"/>
        <rFont val="새굴림"/>
        <family val="1"/>
        <charset val="129"/>
      </rPr>
      <t>数</t>
    </r>
    <r>
      <rPr>
        <sz val="10"/>
        <color theme="1"/>
        <rFont val="Calibri"/>
        <family val="2"/>
        <scheme val="minor"/>
      </rPr>
      <t>: {0}</t>
    </r>
    <phoneticPr fontId="13" type="noConversion"/>
  </si>
  <si>
    <r>
      <t>파견</t>
    </r>
    <r>
      <rPr>
        <sz val="10"/>
        <color theme="1"/>
        <rFont val="굴림"/>
        <family val="3"/>
        <charset val="129"/>
      </rPr>
      <t xml:space="preserve"> 결과</t>
    </r>
    <phoneticPr fontId="13" type="noConversion"/>
  </si>
  <si>
    <r>
      <t>완료된</t>
    </r>
    <r>
      <rPr>
        <sz val="10"/>
        <color theme="1"/>
        <rFont val="굴림"/>
        <family val="3"/>
        <charset val="129"/>
      </rPr>
      <t xml:space="preserve"> 미션이 없습니다.</t>
    </r>
    <phoneticPr fontId="13" type="noConversion"/>
  </si>
  <si>
    <t>진군장군</t>
    <phoneticPr fontId="13" type="noConversion"/>
  </si>
  <si>
    <t>gold_paid</t>
    <phoneticPr fontId="13" type="noConversion"/>
  </si>
  <si>
    <t>gold_free</t>
    <phoneticPr fontId="13" type="noConversion"/>
  </si>
  <si>
    <t>Rice</t>
  </si>
  <si>
    <t>Gold</t>
    <phoneticPr fontId="13" type="noConversion"/>
  </si>
  <si>
    <t>TimeStone</t>
    <phoneticPr fontId="13" type="noConversion"/>
  </si>
  <si>
    <t>PocketRice</t>
  </si>
  <si>
    <t>PocketGold</t>
  </si>
  <si>
    <t>PocketTimeStone</t>
  </si>
  <si>
    <t>RandomBoxSoulStoneClass</t>
  </si>
  <si>
    <t>RandomBoxSoulStoneDedicated</t>
  </si>
  <si>
    <t>RandomBoxTreasurePiece</t>
  </si>
  <si>
    <t>TicketGachaNormal</t>
  </si>
  <si>
    <t>TicketGachaPremium</t>
  </si>
  <si>
    <t>PointRaid</t>
  </si>
  <si>
    <t>PointTournament</t>
  </si>
  <si>
    <t>SoulStonePublic</t>
  </si>
  <si>
    <t>SoulStoneDedicated</t>
  </si>
  <si>
    <t>SoulStoneClass</t>
  </si>
  <si>
    <t>TreasureMileage</t>
  </si>
  <si>
    <t>TicketTournament</t>
  </si>
  <si>
    <t>Pass</t>
  </si>
  <si>
    <t>gold_paid_1000</t>
  </si>
  <si>
    <t>gold_paid_3000</t>
  </si>
  <si>
    <t>gold_paid_5000</t>
  </si>
  <si>
    <t>gold_paid_7000</t>
  </si>
  <si>
    <t>gold_paid_10000</t>
  </si>
  <si>
    <t>gold_paid_30000</t>
  </si>
  <si>
    <t>gold_paid_50000</t>
  </si>
  <si>
    <t>gold_paid_70000</t>
  </si>
  <si>
    <t>gold_free_1000</t>
  </si>
  <si>
    <t>gold_free_3000</t>
  </si>
  <si>
    <t>gold_free_5000</t>
  </si>
  <si>
    <t>gold_free_7000</t>
  </si>
  <si>
    <t>gold_free_10000</t>
  </si>
  <si>
    <t>gold_free_30000</t>
  </si>
  <si>
    <t>gold_free_50000</t>
  </si>
  <si>
    <t>gold_free_70000</t>
  </si>
  <si>
    <t>rice_30000</t>
  </si>
  <si>
    <t>rice_50000</t>
  </si>
  <si>
    <t>rice_70000</t>
  </si>
  <si>
    <t>rice_100000</t>
  </si>
  <si>
    <t>rice_300000</t>
  </si>
  <si>
    <t>rice_500000</t>
  </si>
  <si>
    <t>rice_700000</t>
  </si>
  <si>
    <t>package_beginner</t>
  </si>
  <si>
    <t>package_open</t>
  </si>
  <si>
    <t>군량 10000개</t>
    <phoneticPr fontId="13" type="noConversion"/>
  </si>
  <si>
    <t>군량 30000개</t>
    <phoneticPr fontId="13" type="noConversion"/>
  </si>
  <si>
    <t>군량 50000개</t>
    <phoneticPr fontId="13" type="noConversion"/>
  </si>
  <si>
    <t>군량 70000개</t>
    <phoneticPr fontId="13" type="noConversion"/>
  </si>
  <si>
    <t>군량 100000개</t>
    <phoneticPr fontId="13" type="noConversion"/>
  </si>
  <si>
    <t>군량 300000개</t>
    <phoneticPr fontId="13" type="noConversion"/>
  </si>
  <si>
    <t>군량 500000개</t>
    <phoneticPr fontId="13" type="noConversion"/>
  </si>
  <si>
    <t>군량 700000개</t>
    <phoneticPr fontId="13" type="noConversion"/>
  </si>
  <si>
    <t>금화 1000개</t>
    <phoneticPr fontId="13" type="noConversion"/>
  </si>
  <si>
    <t>금화 3000개</t>
    <phoneticPr fontId="13" type="noConversion"/>
  </si>
  <si>
    <t>금화 5000개</t>
    <phoneticPr fontId="13" type="noConversion"/>
  </si>
  <si>
    <t>금화 7000개</t>
    <phoneticPr fontId="13" type="noConversion"/>
  </si>
  <si>
    <t>금화 10000개</t>
    <phoneticPr fontId="13" type="noConversion"/>
  </si>
  <si>
    <t>금화 30000개</t>
    <phoneticPr fontId="13" type="noConversion"/>
  </si>
  <si>
    <t>금화 50000개</t>
    <phoneticPr fontId="13" type="noConversion"/>
  </si>
  <si>
    <t>금화 70000개</t>
    <phoneticPr fontId="13" type="noConversion"/>
  </si>
  <si>
    <t>오픈 기념 패키지</t>
    <phoneticPr fontId="13" type="noConversion"/>
  </si>
  <si>
    <t>goldfree</t>
    <phoneticPr fontId="13" type="noConversion"/>
  </si>
  <si>
    <t>goldpaid</t>
    <phoneticPr fontId="13" type="noConversion"/>
  </si>
  <si>
    <t>UI_SOLDOUT</t>
    <phoneticPr fontId="13" type="noConversion"/>
  </si>
  <si>
    <t>판매 완료</t>
    <phoneticPr fontId="13" type="noConversion"/>
  </si>
  <si>
    <t>MODAL_BUY_CURRENCY_NOT_ENOUGH</t>
    <phoneticPr fontId="13" type="noConversion"/>
  </si>
  <si>
    <t>{0} 부족합니다.\n구매하시겠습니까?</t>
    <phoneticPr fontId="13" type="noConversion"/>
  </si>
  <si>
    <t>MODAL_BUY_ITEM</t>
    <phoneticPr fontId="13" type="noConversion"/>
  </si>
  <si>
    <t>{0}\n구매하시겠습니까?</t>
    <phoneticPr fontId="13" type="noConversion"/>
  </si>
  <si>
    <t>출사표</t>
    <phoneticPr fontId="13" type="noConversion"/>
  </si>
  <si>
    <t>UI_BATTLE_PASS_1_REWARD_TITLE</t>
    <phoneticPr fontId="13" type="noConversion"/>
  </si>
  <si>
    <t>UI_BATTLE_PASS_1_REWARD_SUB</t>
    <phoneticPr fontId="13" type="noConversion"/>
  </si>
  <si>
    <t>UI_BATTLE_PASS_1_REWARD_DESC</t>
    <phoneticPr fontId="13" type="noConversion"/>
  </si>
  <si>
    <t>출사표 완료보상!!</t>
    <phoneticPr fontId="13" type="noConversion"/>
  </si>
  <si>
    <t>재화 획득!!</t>
    <phoneticPr fontId="13" type="noConversion"/>
  </si>
  <si>
    <t>광고 제거\n특사 임무 가능</t>
    <phoneticPr fontId="13" type="noConversion"/>
  </si>
  <si>
    <t>출사표 시즌1</t>
    <phoneticPr fontId="13" type="noConversion"/>
  </si>
  <si>
    <t>UI_BUY_REMAIN_COUNT</t>
    <phoneticPr fontId="13" type="noConversion"/>
  </si>
  <si>
    <t>{0}회 구매 가능</t>
    <phoneticPr fontId="13" type="noConversion"/>
  </si>
  <si>
    <r>
      <t>구매</t>
    </r>
    <r>
      <rPr>
        <sz val="10"/>
        <color theme="1"/>
        <rFont val="돋움"/>
        <family val="3"/>
        <charset val="129"/>
      </rPr>
      <t xml:space="preserve"> 성공</t>
    </r>
    <phoneticPr fontId="13" type="noConversion"/>
  </si>
  <si>
    <t>BUY_SUCCESS</t>
    <phoneticPr fontId="13" type="noConversion"/>
  </si>
  <si>
    <t>TICKET_GACHA</t>
    <phoneticPr fontId="13" type="noConversion"/>
  </si>
  <si>
    <t>PEROID_TYPE_DAILY</t>
    <phoneticPr fontId="13" type="noConversion"/>
  </si>
  <si>
    <t>PEROID_TYPE_SEASON</t>
    <phoneticPr fontId="13" type="noConversion"/>
  </si>
  <si>
    <t>PEROID_TYPE_WEEKLY</t>
    <phoneticPr fontId="13" type="noConversion"/>
  </si>
  <si>
    <t>REGION_NAME_FULL_WEI</t>
    <phoneticPr fontId="13" type="noConversion"/>
  </si>
  <si>
    <t>chiefmilitaryadviser</t>
  </si>
  <si>
    <t>directorofthesecretariat</t>
  </si>
  <si>
    <t>dragonfighter</t>
  </si>
  <si>
    <t>generaloftheleft</t>
  </si>
  <si>
    <t>generaloftherear</t>
  </si>
  <si>
    <t>generaloftheright</t>
  </si>
  <si>
    <t>generalofthevanguard</t>
  </si>
  <si>
    <t>grandgeneral</t>
  </si>
  <si>
    <t>grandstrategist</t>
  </si>
  <si>
    <t>palaceassistantinspector</t>
  </si>
  <si>
    <t>primeminister</t>
  </si>
  <si>
    <t>suppressesbandits</t>
  </si>
  <si>
    <t>thestandard</t>
  </si>
  <si>
    <t>vanquishesrebels</t>
  </si>
  <si>
    <t>militarysima</t>
  </si>
  <si>
    <t>generalofthecavalry</t>
  </si>
  <si>
    <t>generalofthemid</t>
  </si>
  <si>
    <t>UI_POSITION_LEADER_TITLE</t>
    <phoneticPr fontId="13" type="noConversion"/>
  </si>
  <si>
    <t>UI_POSITION_RANK_TITLE</t>
    <phoneticPr fontId="13" type="noConversion"/>
  </si>
  <si>
    <t>UI_POSITION_TITLE_TITLE</t>
    <phoneticPr fontId="13" type="noConversion"/>
  </si>
  <si>
    <t>UI_CURRENCY_SHOP_TITLE</t>
    <phoneticPr fontId="13" type="noConversion"/>
  </si>
  <si>
    <t>상점</t>
    <phoneticPr fontId="13" type="noConversion"/>
  </si>
  <si>
    <t>RP 충전하기</t>
    <phoneticPr fontId="13" type="noConversion"/>
  </si>
  <si>
    <t>RP</t>
    <phoneticPr fontId="13" type="noConversion"/>
  </si>
  <si>
    <t>RP 1000개</t>
  </si>
  <si>
    <t>RP 3000개</t>
  </si>
  <si>
    <t>RP 5000개</t>
  </si>
  <si>
    <t>RP 7000개</t>
  </si>
  <si>
    <t>RP 10000개</t>
  </si>
  <si>
    <t>RP 30000개</t>
  </si>
  <si>
    <t>RP 50000개</t>
  </si>
  <si>
    <t>RP 70000개</t>
  </si>
  <si>
    <t>파견 보낼 장수가 없습니다.</t>
    <phoneticPr fontId="13" type="noConversion"/>
  </si>
  <si>
    <t>이미 파견 중인 장수입니다.
새로운 파견을 부여하겠습니까?</t>
    <phoneticPr fontId="13" type="noConversion"/>
  </si>
  <si>
    <t>기존 장수를 해임하겠습니까?</t>
  </si>
  <si>
    <t>새로운 장수가 방문하였습니다.</t>
  </si>
  <si>
    <t>배치 장수 수</t>
  </si>
  <si>
    <t>장수</t>
  </si>
  <si>
    <t>대표 장수</t>
  </si>
  <si>
    <t>전체 장수</t>
  </si>
  <si>
    <t>장수목록</t>
  </si>
  <si>
    <t>장수무기</t>
  </si>
  <si>
    <t>영혼석 획득 / 장수모집</t>
  </si>
  <si>
    <t>장수 관리</t>
  </si>
  <si>
    <t>장수편성</t>
  </si>
  <si>
    <t>장수 모집 진행하기</t>
  </si>
  <si>
    <t>장수 배치하기</t>
  </si>
  <si>
    <t>얻은 장수를 배치하자!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</si>
</sst>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b/>
      <sz val="10"/>
      <color theme="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Dotum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새굴림"/>
      <family val="1"/>
      <charset val="129"/>
    </font>
    <font>
      <sz val="10"/>
      <color theme="1"/>
      <name val="Malgun Gothic"/>
      <family val="1"/>
      <charset val="129"/>
    </font>
    <font>
      <sz val="10"/>
      <color theme="1"/>
      <name val="Calibri"/>
      <family val="2"/>
    </font>
    <font>
      <sz val="10"/>
      <color theme="1"/>
      <name val="Calibri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Calibri"/>
      <family val="2"/>
      <charset val="134"/>
      <scheme val="minor"/>
    </font>
    <font>
      <sz val="10"/>
      <color theme="1"/>
      <name val="Microsoft YaHei"/>
      <family val="2"/>
      <charset val="134"/>
    </font>
    <font>
      <sz val="10"/>
      <color theme="1"/>
      <name val="Calibri"/>
      <family val="3"/>
      <charset val="129"/>
      <scheme val="minor"/>
    </font>
    <font>
      <sz val="10"/>
      <color theme="1"/>
      <name val="Yu Gothic"/>
      <family val="2"/>
      <charset val="128"/>
    </font>
    <font>
      <b/>
      <sz val="10"/>
      <color theme="0"/>
      <name val="맑은 고딕"/>
      <family val="3"/>
      <charset val="129"/>
    </font>
    <font>
      <sz val="10"/>
      <color theme="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4F6128"/>
        <bgColor rgb="FF4F612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2" fillId="0" borderId="1" xfId="0" quotePrefix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8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6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/>
    </xf>
    <xf numFmtId="0" fontId="17" fillId="0" borderId="6" xfId="0" applyFont="1" applyBorder="1" applyAlignment="1">
      <alignment vertical="center"/>
    </xf>
    <xf numFmtId="0" fontId="19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49" fontId="16" fillId="0" borderId="6" xfId="0" applyNumberFormat="1" applyFont="1" applyBorder="1" applyAlignment="1">
      <alignment vertical="center"/>
    </xf>
    <xf numFmtId="0" fontId="26" fillId="2" borderId="6" xfId="0" applyFont="1" applyFill="1" applyBorder="1" applyAlignment="1">
      <alignment horizontal="left" vertical="center"/>
    </xf>
    <xf numFmtId="0" fontId="26" fillId="2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2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13.5703125" customWidth="1"/>
    <col min="3" max="26" width="8.7109375" customWidth="1"/>
  </cols>
  <sheetData>
    <row r="1" spans="1:2" ht="16.5" customHeight="1">
      <c r="A1" s="2" t="s">
        <v>1</v>
      </c>
      <c r="B1" s="2" t="s">
        <v>5</v>
      </c>
    </row>
    <row r="2" spans="1:2" ht="16.5" customHeight="1">
      <c r="A2" s="2" t="s">
        <v>7</v>
      </c>
      <c r="B2" s="2" t="s">
        <v>8</v>
      </c>
    </row>
    <row r="3" spans="1:2" ht="16.5" customHeight="1">
      <c r="A3" s="2" t="s">
        <v>10</v>
      </c>
      <c r="B3" s="2" t="s">
        <v>12</v>
      </c>
    </row>
    <row r="4" spans="1:2" ht="16.5" customHeight="1">
      <c r="A4" s="2" t="s">
        <v>13</v>
      </c>
      <c r="B4" s="2" t="s">
        <v>14</v>
      </c>
    </row>
    <row r="5" spans="1:2" ht="16.5" customHeight="1">
      <c r="A5" s="2" t="s">
        <v>16</v>
      </c>
      <c r="B5" s="6" t="s">
        <v>17</v>
      </c>
    </row>
    <row r="6" spans="1:2" ht="16.5" customHeight="1">
      <c r="A6" s="2" t="s">
        <v>18</v>
      </c>
      <c r="B6" s="2" t="s">
        <v>19</v>
      </c>
    </row>
    <row r="7" spans="1:2" ht="16.5" customHeight="1">
      <c r="A7" s="2" t="s">
        <v>20</v>
      </c>
      <c r="B7" s="6" t="s">
        <v>21</v>
      </c>
    </row>
    <row r="8" spans="1:2" ht="16.5" customHeight="1">
      <c r="A8" s="2" t="s">
        <v>22</v>
      </c>
      <c r="B8" s="6" t="s">
        <v>23</v>
      </c>
    </row>
    <row r="9" spans="1:2" ht="16.5" customHeight="1">
      <c r="A9" s="2" t="s">
        <v>24</v>
      </c>
      <c r="B9" s="6" t="s">
        <v>25</v>
      </c>
    </row>
    <row r="10" spans="1:2" ht="16.5" customHeight="1">
      <c r="A10" s="2" t="s">
        <v>26</v>
      </c>
      <c r="B10" s="6" t="s">
        <v>27</v>
      </c>
    </row>
    <row r="11" spans="1:2" ht="16.5" customHeight="1">
      <c r="A11" s="2" t="s">
        <v>28</v>
      </c>
      <c r="B11" s="6" t="s">
        <v>29</v>
      </c>
    </row>
    <row r="12" spans="1:2" ht="16.5" customHeight="1">
      <c r="A12" s="2" t="s">
        <v>43</v>
      </c>
      <c r="B12" s="6" t="s">
        <v>44</v>
      </c>
    </row>
    <row r="13" spans="1:2" ht="16.5" customHeight="1">
      <c r="A13" s="6" t="s">
        <v>50</v>
      </c>
      <c r="B13" s="6" t="s">
        <v>51</v>
      </c>
    </row>
    <row r="14" spans="1:2" ht="16.5" customHeight="1">
      <c r="A14" s="6" t="s">
        <v>55</v>
      </c>
      <c r="B14" s="6" t="s">
        <v>56</v>
      </c>
    </row>
    <row r="15" spans="1:2" ht="16.5" customHeight="1">
      <c r="A15" s="6" t="s">
        <v>60</v>
      </c>
      <c r="B15" s="6" t="s">
        <v>63</v>
      </c>
    </row>
    <row r="16" spans="1:2" ht="16.5" customHeight="1">
      <c r="A16" s="6" t="s">
        <v>65</v>
      </c>
      <c r="B16" s="6" t="s">
        <v>68</v>
      </c>
    </row>
    <row r="17" spans="1:2" ht="16.5" customHeight="1">
      <c r="A17" s="6" t="s">
        <v>72</v>
      </c>
      <c r="B17" s="6" t="s">
        <v>74</v>
      </c>
    </row>
    <row r="18" spans="1:2" ht="16.5" customHeight="1">
      <c r="A18" s="6" t="s">
        <v>78</v>
      </c>
      <c r="B18" s="6" t="s">
        <v>80</v>
      </c>
    </row>
    <row r="19" spans="1:2" ht="16.5" customHeight="1">
      <c r="A19" s="6" t="s">
        <v>84</v>
      </c>
      <c r="B19" s="6" t="s">
        <v>85</v>
      </c>
    </row>
    <row r="20" spans="1:2" ht="16.5" customHeight="1">
      <c r="A20" s="2" t="s">
        <v>89</v>
      </c>
      <c r="B20" s="2" t="s">
        <v>91</v>
      </c>
    </row>
    <row r="21" spans="1:2" ht="16.5" customHeight="1">
      <c r="A21" s="6" t="s">
        <v>95</v>
      </c>
      <c r="B21" s="6" t="s">
        <v>97</v>
      </c>
    </row>
    <row r="22" spans="1:2" ht="16.5" customHeight="1">
      <c r="A22" s="6" t="s">
        <v>104</v>
      </c>
      <c r="B22" s="6" t="s">
        <v>106</v>
      </c>
    </row>
    <row r="23" spans="1:2" ht="16.5" customHeight="1">
      <c r="A23" s="6" t="s">
        <v>109</v>
      </c>
      <c r="B23" s="6" t="s">
        <v>111</v>
      </c>
    </row>
    <row r="24" spans="1:2" ht="16.5" customHeight="1">
      <c r="A24" s="6" t="s">
        <v>118</v>
      </c>
      <c r="B24" s="6" t="s">
        <v>119</v>
      </c>
    </row>
    <row r="25" spans="1:2" ht="16.5" customHeight="1">
      <c r="A25" s="6" t="s">
        <v>122</v>
      </c>
      <c r="B25" s="6" t="s">
        <v>123</v>
      </c>
    </row>
    <row r="26" spans="1:2" ht="16.5" customHeight="1">
      <c r="A26" s="6" t="s">
        <v>127</v>
      </c>
      <c r="B26" s="6" t="s">
        <v>130</v>
      </c>
    </row>
    <row r="27" spans="1:2" ht="16.5" customHeight="1">
      <c r="A27" s="6" t="s">
        <v>134</v>
      </c>
      <c r="B27" s="6" t="s">
        <v>135</v>
      </c>
    </row>
    <row r="28" spans="1:2" ht="16.5" customHeight="1">
      <c r="A28" s="6" t="s">
        <v>138</v>
      </c>
      <c r="B28" s="6" t="s">
        <v>141</v>
      </c>
    </row>
    <row r="29" spans="1:2" ht="16.5" customHeight="1"/>
    <row r="30" spans="1:2" ht="16.5" customHeight="1"/>
    <row r="31" spans="1:2" ht="16.5" customHeight="1"/>
    <row r="32" spans="1: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4"/>
  <sheetViews>
    <sheetView topLeftCell="A160" workbookViewId="0">
      <selection activeCell="C178" sqref="C178"/>
    </sheetView>
  </sheetViews>
  <sheetFormatPr defaultColWidth="14.42578125" defaultRowHeight="15" customHeight="1"/>
  <cols>
    <col min="1" max="1" width="27" customWidth="1"/>
    <col min="2" max="2" width="50.28515625" customWidth="1"/>
    <col min="3" max="3" width="36.7109375" customWidth="1"/>
    <col min="4" max="5" width="98.28515625" customWidth="1"/>
    <col min="6" max="26" width="8.7109375" customWidth="1"/>
  </cols>
  <sheetData>
    <row r="1" spans="1:5">
      <c r="A1" s="60" t="s">
        <v>0</v>
      </c>
      <c r="B1" s="60" t="s">
        <v>3</v>
      </c>
      <c r="C1" s="61" t="s">
        <v>4</v>
      </c>
      <c r="D1" s="61" t="s">
        <v>6</v>
      </c>
      <c r="E1" s="61" t="s">
        <v>9</v>
      </c>
    </row>
    <row r="2" spans="1:5">
      <c r="A2" s="60" t="s">
        <v>11</v>
      </c>
      <c r="B2" s="60" t="s">
        <v>11</v>
      </c>
      <c r="C2" s="61" t="s">
        <v>11</v>
      </c>
      <c r="D2" s="61" t="s">
        <v>11</v>
      </c>
      <c r="E2" s="61" t="s">
        <v>11</v>
      </c>
    </row>
    <row r="3" spans="1:5">
      <c r="A3" s="49"/>
      <c r="B3" s="49" t="s">
        <v>30</v>
      </c>
      <c r="C3" s="49" t="s">
        <v>31</v>
      </c>
      <c r="D3" s="49" t="s">
        <v>32</v>
      </c>
      <c r="E3" s="49" t="s">
        <v>33</v>
      </c>
    </row>
    <row r="4" spans="1:5">
      <c r="A4" s="49"/>
      <c r="B4" s="49" t="s">
        <v>34</v>
      </c>
      <c r="C4" s="62" t="s">
        <v>36</v>
      </c>
      <c r="D4" s="49" t="s">
        <v>37</v>
      </c>
      <c r="E4" s="49" t="s">
        <v>38</v>
      </c>
    </row>
    <row r="5" spans="1:5">
      <c r="A5" s="49"/>
      <c r="B5" s="49" t="s">
        <v>39</v>
      </c>
      <c r="C5" s="62" t="s">
        <v>40</v>
      </c>
      <c r="D5" s="49" t="s">
        <v>41</v>
      </c>
      <c r="E5" s="49" t="s">
        <v>42</v>
      </c>
    </row>
    <row r="6" spans="1:5">
      <c r="A6" s="49"/>
      <c r="B6" s="49" t="s">
        <v>46</v>
      </c>
      <c r="C6" s="62" t="s">
        <v>48</v>
      </c>
      <c r="D6" s="49" t="s">
        <v>52</v>
      </c>
      <c r="E6" s="49" t="s">
        <v>53</v>
      </c>
    </row>
    <row r="7" spans="1:5">
      <c r="A7" s="49"/>
      <c r="B7" s="49" t="s">
        <v>57</v>
      </c>
      <c r="C7" s="62" t="s">
        <v>58</v>
      </c>
      <c r="D7" s="49" t="s">
        <v>59</v>
      </c>
      <c r="E7" s="49" t="s">
        <v>62</v>
      </c>
    </row>
    <row r="8" spans="1:5">
      <c r="A8" s="49"/>
      <c r="B8" s="49" t="s">
        <v>66</v>
      </c>
      <c r="C8" s="62" t="s">
        <v>69</v>
      </c>
      <c r="D8" s="49" t="s">
        <v>70</v>
      </c>
      <c r="E8" s="49" t="s">
        <v>71</v>
      </c>
    </row>
    <row r="9" spans="1:5">
      <c r="A9" s="49"/>
      <c r="B9" s="49" t="s">
        <v>76</v>
      </c>
      <c r="C9" s="62" t="s">
        <v>79</v>
      </c>
      <c r="D9" s="49" t="s">
        <v>81</v>
      </c>
      <c r="E9" s="49" t="s">
        <v>83</v>
      </c>
    </row>
    <row r="10" spans="1:5">
      <c r="A10" s="49"/>
      <c r="B10" s="49" t="s">
        <v>87</v>
      </c>
      <c r="C10" s="62" t="s">
        <v>88</v>
      </c>
      <c r="D10" s="49" t="s">
        <v>92</v>
      </c>
      <c r="E10" s="49" t="s">
        <v>93</v>
      </c>
    </row>
    <row r="11" spans="1:5">
      <c r="A11" s="49"/>
      <c r="B11" s="49" t="s">
        <v>96</v>
      </c>
      <c r="C11" s="62" t="s">
        <v>100</v>
      </c>
      <c r="D11" s="49" t="s">
        <v>103</v>
      </c>
      <c r="E11" s="49" t="s">
        <v>105</v>
      </c>
    </row>
    <row r="12" spans="1:5">
      <c r="A12" s="49"/>
      <c r="B12" s="49" t="s">
        <v>108</v>
      </c>
      <c r="C12" s="62" t="s">
        <v>110</v>
      </c>
      <c r="D12" s="49" t="s">
        <v>114</v>
      </c>
      <c r="E12" s="49" t="s">
        <v>116</v>
      </c>
    </row>
    <row r="13" spans="1:5">
      <c r="A13" s="49"/>
      <c r="B13" s="49" t="s">
        <v>120</v>
      </c>
      <c r="C13" s="63" t="s">
        <v>126</v>
      </c>
      <c r="D13" s="49" t="s">
        <v>3381</v>
      </c>
      <c r="E13" s="49" t="s">
        <v>137</v>
      </c>
    </row>
    <row r="14" spans="1:5">
      <c r="A14" s="49"/>
      <c r="B14" s="49" t="s">
        <v>142</v>
      </c>
      <c r="C14" s="63" t="s">
        <v>143</v>
      </c>
      <c r="D14" s="49" t="s">
        <v>3405</v>
      </c>
      <c r="E14" s="49" t="s">
        <v>146</v>
      </c>
    </row>
    <row r="15" spans="1:5">
      <c r="A15" s="49"/>
      <c r="B15" s="49" t="s">
        <v>152</v>
      </c>
      <c r="C15" s="63" t="s">
        <v>153</v>
      </c>
      <c r="D15" s="49" t="s">
        <v>154</v>
      </c>
      <c r="E15" s="49" t="s">
        <v>155</v>
      </c>
    </row>
    <row r="16" spans="1:5">
      <c r="A16" s="49"/>
      <c r="B16" s="49" t="s">
        <v>158</v>
      </c>
      <c r="C16" s="63" t="s">
        <v>161</v>
      </c>
      <c r="D16" s="49" t="s">
        <v>163</v>
      </c>
      <c r="E16" s="49" t="s">
        <v>166</v>
      </c>
    </row>
    <row r="17" spans="1:5">
      <c r="A17" s="49"/>
      <c r="B17" s="49" t="s">
        <v>168</v>
      </c>
      <c r="C17" s="63" t="s">
        <v>169</v>
      </c>
      <c r="D17" s="49" t="s">
        <v>3404</v>
      </c>
      <c r="E17" s="49" t="s">
        <v>172</v>
      </c>
    </row>
    <row r="18" spans="1:5">
      <c r="A18" s="49"/>
      <c r="B18" s="49" t="s">
        <v>174</v>
      </c>
      <c r="C18" s="63" t="s">
        <v>176</v>
      </c>
      <c r="D18" s="49" t="s">
        <v>3403</v>
      </c>
      <c r="E18" s="49" t="s">
        <v>178</v>
      </c>
    </row>
    <row r="19" spans="1:5">
      <c r="A19" s="49"/>
      <c r="B19" s="49" t="s">
        <v>179</v>
      </c>
      <c r="C19" s="63" t="s">
        <v>181</v>
      </c>
      <c r="D19" s="49" t="s">
        <v>3402</v>
      </c>
      <c r="E19" s="49" t="s">
        <v>182</v>
      </c>
    </row>
    <row r="20" spans="1:5">
      <c r="A20" s="49"/>
      <c r="B20" s="49" t="s">
        <v>184</v>
      </c>
      <c r="C20" s="63" t="s">
        <v>187</v>
      </c>
      <c r="D20" s="49" t="s">
        <v>3406</v>
      </c>
      <c r="E20" s="49" t="s">
        <v>191</v>
      </c>
    </row>
    <row r="21" spans="1:5">
      <c r="A21" s="49"/>
      <c r="B21" s="49" t="s">
        <v>193</v>
      </c>
      <c r="C21" s="63" t="s">
        <v>194</v>
      </c>
      <c r="D21" s="49" t="s">
        <v>3401</v>
      </c>
      <c r="E21" s="49" t="s">
        <v>197</v>
      </c>
    </row>
    <row r="22" spans="1:5">
      <c r="A22" s="49"/>
      <c r="B22" s="49" t="s">
        <v>201</v>
      </c>
      <c r="C22" s="63" t="s">
        <v>203</v>
      </c>
      <c r="D22" s="49" t="s">
        <v>205</v>
      </c>
      <c r="E22" s="49" t="s">
        <v>206</v>
      </c>
    </row>
    <row r="23" spans="1:5">
      <c r="A23" s="49"/>
      <c r="B23" s="49" t="s">
        <v>211</v>
      </c>
      <c r="C23" s="63" t="s">
        <v>212</v>
      </c>
      <c r="D23" s="49" t="s">
        <v>3400</v>
      </c>
      <c r="E23" s="49" t="s">
        <v>215</v>
      </c>
    </row>
    <row r="24" spans="1:5">
      <c r="A24" s="49"/>
      <c r="B24" s="49" t="s">
        <v>218</v>
      </c>
      <c r="C24" s="63" t="s">
        <v>220</v>
      </c>
      <c r="D24" s="49" t="s">
        <v>3399</v>
      </c>
      <c r="E24" s="49" t="s">
        <v>223</v>
      </c>
    </row>
    <row r="25" spans="1:5">
      <c r="A25" s="49"/>
      <c r="B25" s="49" t="s">
        <v>225</v>
      </c>
      <c r="C25" s="63" t="s">
        <v>226</v>
      </c>
      <c r="D25" s="49" t="s">
        <v>3398</v>
      </c>
      <c r="E25" s="49" t="s">
        <v>229</v>
      </c>
    </row>
    <row r="26" spans="1:5">
      <c r="A26" s="49"/>
      <c r="B26" s="49" t="s">
        <v>230</v>
      </c>
      <c r="C26" s="63" t="s">
        <v>232</v>
      </c>
      <c r="D26" s="49" t="s">
        <v>3397</v>
      </c>
      <c r="E26" s="49" t="s">
        <v>233</v>
      </c>
    </row>
    <row r="27" spans="1:5">
      <c r="A27" s="49"/>
      <c r="B27" s="49" t="s">
        <v>235</v>
      </c>
      <c r="C27" s="49" t="s">
        <v>237</v>
      </c>
      <c r="D27" s="49" t="s">
        <v>3396</v>
      </c>
      <c r="E27" s="49" t="s">
        <v>239</v>
      </c>
    </row>
    <row r="28" spans="1:5">
      <c r="A28" s="49"/>
      <c r="B28" s="49" t="s">
        <v>240</v>
      </c>
      <c r="C28" s="63" t="s">
        <v>241</v>
      </c>
      <c r="D28" s="49" t="s">
        <v>3393</v>
      </c>
      <c r="E28" s="49" t="s">
        <v>242</v>
      </c>
    </row>
    <row r="29" spans="1:5">
      <c r="A29" s="49"/>
      <c r="B29" s="49" t="s">
        <v>243</v>
      </c>
      <c r="C29" s="63" t="s">
        <v>244</v>
      </c>
      <c r="D29" s="49" t="s">
        <v>3394</v>
      </c>
      <c r="E29" s="49" t="s">
        <v>245</v>
      </c>
    </row>
    <row r="30" spans="1:5">
      <c r="A30" s="49"/>
      <c r="B30" s="49" t="s">
        <v>246</v>
      </c>
      <c r="C30" s="63" t="s">
        <v>247</v>
      </c>
      <c r="D30" s="49" t="s">
        <v>3395</v>
      </c>
      <c r="E30" s="49" t="s">
        <v>248</v>
      </c>
    </row>
    <row r="31" spans="1:5">
      <c r="A31" s="49"/>
      <c r="B31" s="49" t="s">
        <v>3423</v>
      </c>
      <c r="C31" s="63" t="s">
        <v>3424</v>
      </c>
      <c r="D31" s="49" t="s">
        <v>3425</v>
      </c>
      <c r="E31" s="49" t="s">
        <v>248</v>
      </c>
    </row>
    <row r="32" spans="1:5">
      <c r="A32" s="49"/>
      <c r="B32" s="49" t="s">
        <v>3516</v>
      </c>
      <c r="C32" s="63" t="s">
        <v>3517</v>
      </c>
      <c r="D32" s="49" t="s">
        <v>3518</v>
      </c>
      <c r="E32" s="49" t="s">
        <v>251</v>
      </c>
    </row>
    <row r="33" spans="1:5">
      <c r="A33" s="49"/>
      <c r="B33" s="49" t="s">
        <v>249</v>
      </c>
      <c r="C33" s="63" t="s">
        <v>250</v>
      </c>
      <c r="D33" s="49" t="s">
        <v>3512</v>
      </c>
      <c r="E33" s="49" t="s">
        <v>251</v>
      </c>
    </row>
    <row r="34" spans="1:5">
      <c r="A34" s="49"/>
      <c r="B34" s="49" t="s">
        <v>3513</v>
      </c>
      <c r="C34" s="63" t="s">
        <v>3514</v>
      </c>
      <c r="D34" s="49" t="s">
        <v>3515</v>
      </c>
      <c r="E34" s="49" t="s">
        <v>251</v>
      </c>
    </row>
    <row r="35" spans="1:5">
      <c r="A35" s="49"/>
      <c r="B35" s="49" t="s">
        <v>252</v>
      </c>
      <c r="C35" s="63" t="s">
        <v>253</v>
      </c>
      <c r="D35" s="49" t="s">
        <v>254</v>
      </c>
      <c r="E35" s="49" t="s">
        <v>255</v>
      </c>
    </row>
    <row r="36" spans="1:5">
      <c r="A36" s="49"/>
      <c r="B36" s="49" t="s">
        <v>3501</v>
      </c>
      <c r="C36" s="63" t="s">
        <v>253</v>
      </c>
      <c r="D36" s="49" t="s">
        <v>3502</v>
      </c>
      <c r="E36" s="49" t="s">
        <v>255</v>
      </c>
    </row>
    <row r="37" spans="1:5">
      <c r="A37" s="49"/>
      <c r="B37" s="49" t="s">
        <v>256</v>
      </c>
      <c r="C37" s="63" t="s">
        <v>257</v>
      </c>
      <c r="D37" s="49" t="s">
        <v>3505</v>
      </c>
      <c r="E37" s="49" t="s">
        <v>258</v>
      </c>
    </row>
    <row r="38" spans="1:5">
      <c r="A38" s="49"/>
      <c r="B38" s="49" t="s">
        <v>3506</v>
      </c>
      <c r="C38" s="63" t="s">
        <v>257</v>
      </c>
      <c r="D38" s="49" t="s">
        <v>3507</v>
      </c>
      <c r="E38" s="49" t="s">
        <v>258</v>
      </c>
    </row>
    <row r="39" spans="1:5">
      <c r="A39" s="49"/>
      <c r="B39" s="49" t="s">
        <v>259</v>
      </c>
      <c r="C39" s="63" t="s">
        <v>250</v>
      </c>
      <c r="D39" s="49" t="s">
        <v>3508</v>
      </c>
      <c r="E39" s="49" t="s">
        <v>251</v>
      </c>
    </row>
    <row r="40" spans="1:5">
      <c r="A40" s="49"/>
      <c r="B40" s="49" t="s">
        <v>3509</v>
      </c>
      <c r="C40" s="63" t="s">
        <v>250</v>
      </c>
      <c r="D40" s="49" t="s">
        <v>3510</v>
      </c>
      <c r="E40" s="49" t="s">
        <v>251</v>
      </c>
    </row>
    <row r="41" spans="1:5">
      <c r="A41" s="49"/>
      <c r="B41" s="49" t="s">
        <v>3503</v>
      </c>
      <c r="C41" s="63" t="s">
        <v>262</v>
      </c>
      <c r="D41" s="49" t="s">
        <v>3504</v>
      </c>
      <c r="E41" s="49" t="s">
        <v>264</v>
      </c>
    </row>
    <row r="42" spans="1:5">
      <c r="A42" s="49"/>
      <c r="B42" s="49" t="s">
        <v>261</v>
      </c>
      <c r="C42" s="63" t="s">
        <v>262</v>
      </c>
      <c r="D42" s="49" t="s">
        <v>263</v>
      </c>
      <c r="E42" s="49" t="s">
        <v>264</v>
      </c>
    </row>
    <row r="43" spans="1:5">
      <c r="A43" s="49"/>
      <c r="B43" s="49" t="s">
        <v>265</v>
      </c>
      <c r="C43" s="63" t="s">
        <v>266</v>
      </c>
      <c r="D43" s="49" t="s">
        <v>267</v>
      </c>
      <c r="E43" s="49" t="s">
        <v>268</v>
      </c>
    </row>
    <row r="44" spans="1:5">
      <c r="A44" s="49"/>
      <c r="B44" s="49" t="s">
        <v>269</v>
      </c>
      <c r="C44" s="62" t="s">
        <v>270</v>
      </c>
      <c r="D44" s="49" t="s">
        <v>3407</v>
      </c>
      <c r="E44" s="49" t="s">
        <v>271</v>
      </c>
    </row>
    <row r="45" spans="1:5">
      <c r="A45" s="49"/>
      <c r="B45" s="49" t="s">
        <v>272</v>
      </c>
      <c r="C45" s="49" t="s">
        <v>273</v>
      </c>
      <c r="D45" s="49" t="s">
        <v>3408</v>
      </c>
      <c r="E45" s="49" t="s">
        <v>274</v>
      </c>
    </row>
    <row r="46" spans="1:5">
      <c r="A46" s="49"/>
      <c r="B46" s="49" t="s">
        <v>275</v>
      </c>
      <c r="C46" s="62" t="s">
        <v>276</v>
      </c>
      <c r="D46" s="49" t="s">
        <v>3409</v>
      </c>
      <c r="E46" s="49" t="s">
        <v>277</v>
      </c>
    </row>
    <row r="47" spans="1:5">
      <c r="A47" s="49"/>
      <c r="B47" s="49" t="s">
        <v>278</v>
      </c>
      <c r="C47" s="49" t="s">
        <v>257</v>
      </c>
      <c r="D47" s="49" t="s">
        <v>3511</v>
      </c>
      <c r="E47" s="49" t="s">
        <v>258</v>
      </c>
    </row>
    <row r="48" spans="1:5">
      <c r="A48" s="49"/>
      <c r="B48" s="49" t="s">
        <v>280</v>
      </c>
      <c r="C48" s="49" t="s">
        <v>281</v>
      </c>
      <c r="D48" s="49" t="s">
        <v>3410</v>
      </c>
      <c r="E48" s="49" t="s">
        <v>282</v>
      </c>
    </row>
    <row r="49" spans="1:5">
      <c r="A49" s="49"/>
      <c r="B49" s="49" t="s">
        <v>283</v>
      </c>
      <c r="C49" s="62" t="s">
        <v>284</v>
      </c>
      <c r="D49" s="49" t="s">
        <v>3411</v>
      </c>
      <c r="E49" s="49" t="s">
        <v>285</v>
      </c>
    </row>
    <row r="50" spans="1:5">
      <c r="A50" s="49"/>
      <c r="B50" s="49" t="s">
        <v>286</v>
      </c>
      <c r="C50" s="63" t="s">
        <v>287</v>
      </c>
      <c r="D50" s="49" t="s">
        <v>288</v>
      </c>
      <c r="E50" s="49" t="s">
        <v>289</v>
      </c>
    </row>
    <row r="51" spans="1:5">
      <c r="A51" s="49"/>
      <c r="B51" s="49" t="s">
        <v>290</v>
      </c>
      <c r="C51" s="63" t="s">
        <v>291</v>
      </c>
      <c r="D51" s="49" t="s">
        <v>292</v>
      </c>
      <c r="E51" s="49" t="s">
        <v>293</v>
      </c>
    </row>
    <row r="52" spans="1:5">
      <c r="A52" s="49"/>
      <c r="B52" s="49" t="s">
        <v>294</v>
      </c>
      <c r="C52" s="63" t="s">
        <v>295</v>
      </c>
      <c r="D52" s="49" t="s">
        <v>296</v>
      </c>
      <c r="E52" s="49" t="s">
        <v>297</v>
      </c>
    </row>
    <row r="53" spans="1:5">
      <c r="A53" s="49"/>
      <c r="B53" s="49" t="s">
        <v>298</v>
      </c>
      <c r="C53" s="63" t="s">
        <v>299</v>
      </c>
      <c r="D53" s="49" t="s">
        <v>300</v>
      </c>
      <c r="E53" s="49" t="s">
        <v>301</v>
      </c>
    </row>
    <row r="54" spans="1:5">
      <c r="A54" s="49"/>
      <c r="B54" s="49" t="s">
        <v>302</v>
      </c>
      <c r="C54" s="63" t="s">
        <v>303</v>
      </c>
      <c r="D54" s="49" t="s">
        <v>304</v>
      </c>
      <c r="E54" s="49" t="s">
        <v>305</v>
      </c>
    </row>
    <row r="55" spans="1:5">
      <c r="A55" s="49"/>
      <c r="B55" s="49" t="s">
        <v>306</v>
      </c>
      <c r="C55" s="63" t="s">
        <v>307</v>
      </c>
      <c r="D55" s="49" t="s">
        <v>309</v>
      </c>
      <c r="E55" s="49" t="s">
        <v>310</v>
      </c>
    </row>
    <row r="56" spans="1:5">
      <c r="A56" s="49"/>
      <c r="B56" s="49" t="s">
        <v>311</v>
      </c>
      <c r="C56" s="63" t="s">
        <v>313</v>
      </c>
      <c r="D56" s="49" t="s">
        <v>314</v>
      </c>
      <c r="E56" s="49" t="s">
        <v>315</v>
      </c>
    </row>
    <row r="57" spans="1:5">
      <c r="A57" s="49"/>
      <c r="B57" s="49" t="s">
        <v>316</v>
      </c>
      <c r="C57" s="63" t="s">
        <v>317</v>
      </c>
      <c r="D57" s="49" t="s">
        <v>318</v>
      </c>
      <c r="E57" s="49" t="s">
        <v>319</v>
      </c>
    </row>
    <row r="58" spans="1:5">
      <c r="A58" s="49"/>
      <c r="B58" s="49" t="s">
        <v>320</v>
      </c>
      <c r="C58" s="63" t="s">
        <v>321</v>
      </c>
      <c r="D58" s="49" t="s">
        <v>322</v>
      </c>
      <c r="E58" s="49" t="s">
        <v>323</v>
      </c>
    </row>
    <row r="59" spans="1:5">
      <c r="A59" s="49"/>
      <c r="B59" s="49" t="s">
        <v>324</v>
      </c>
      <c r="C59" s="63" t="s">
        <v>325</v>
      </c>
      <c r="D59" s="49" t="s">
        <v>326</v>
      </c>
      <c r="E59" s="49" t="s">
        <v>327</v>
      </c>
    </row>
    <row r="60" spans="1:5">
      <c r="A60" s="49"/>
      <c r="B60" s="49" t="s">
        <v>329</v>
      </c>
      <c r="C60" s="63" t="s">
        <v>3785</v>
      </c>
      <c r="D60" s="49" t="s">
        <v>330</v>
      </c>
      <c r="E60" s="49" t="s">
        <v>331</v>
      </c>
    </row>
    <row r="61" spans="1:5">
      <c r="A61" s="49"/>
      <c r="B61" s="49" t="s">
        <v>333</v>
      </c>
      <c r="C61" s="63" t="s">
        <v>334</v>
      </c>
      <c r="D61" s="49" t="s">
        <v>335</v>
      </c>
      <c r="E61" s="49" t="s">
        <v>336</v>
      </c>
    </row>
    <row r="62" spans="1:5">
      <c r="A62" s="49"/>
      <c r="B62" s="49" t="s">
        <v>337</v>
      </c>
      <c r="C62" s="63" t="s">
        <v>339</v>
      </c>
      <c r="D62" s="49" t="s">
        <v>340</v>
      </c>
      <c r="E62" s="49" t="s">
        <v>341</v>
      </c>
    </row>
    <row r="63" spans="1:5">
      <c r="A63" s="49"/>
      <c r="B63" s="49" t="s">
        <v>342</v>
      </c>
      <c r="C63" s="63" t="s">
        <v>343</v>
      </c>
      <c r="D63" s="49" t="s">
        <v>344</v>
      </c>
      <c r="E63" s="49" t="s">
        <v>345</v>
      </c>
    </row>
    <row r="64" spans="1:5">
      <c r="A64" s="49"/>
      <c r="B64" s="49" t="s">
        <v>348</v>
      </c>
      <c r="C64" s="63" t="s">
        <v>349</v>
      </c>
      <c r="D64" s="49" t="s">
        <v>350</v>
      </c>
      <c r="E64" s="49" t="s">
        <v>351</v>
      </c>
    </row>
    <row r="65" spans="1:5">
      <c r="A65" s="49"/>
      <c r="B65" s="49" t="s">
        <v>352</v>
      </c>
      <c r="C65" s="63" t="s">
        <v>3523</v>
      </c>
      <c r="D65" s="49" t="s">
        <v>3524</v>
      </c>
      <c r="E65" s="52" t="s">
        <v>3526</v>
      </c>
    </row>
    <row r="66" spans="1:5">
      <c r="A66" s="49"/>
      <c r="B66" s="49" t="s">
        <v>353</v>
      </c>
      <c r="C66" s="63" t="s">
        <v>354</v>
      </c>
      <c r="D66" s="49" t="s">
        <v>355</v>
      </c>
      <c r="E66" s="49" t="s">
        <v>356</v>
      </c>
    </row>
    <row r="67" spans="1:5">
      <c r="A67" s="49"/>
      <c r="B67" s="49" t="s">
        <v>357</v>
      </c>
      <c r="C67" s="63" t="s">
        <v>358</v>
      </c>
      <c r="D67" s="49" t="s">
        <v>3525</v>
      </c>
      <c r="E67" s="49" t="s">
        <v>359</v>
      </c>
    </row>
    <row r="68" spans="1:5">
      <c r="A68" s="49"/>
      <c r="B68" s="49" t="s">
        <v>360</v>
      </c>
      <c r="C68" s="63" t="s">
        <v>361</v>
      </c>
      <c r="D68" s="49" t="s">
        <v>362</v>
      </c>
      <c r="E68" s="49" t="s">
        <v>363</v>
      </c>
    </row>
    <row r="69" spans="1:5">
      <c r="A69" s="49"/>
      <c r="B69" s="49" t="s">
        <v>364</v>
      </c>
      <c r="C69" s="63" t="s">
        <v>365</v>
      </c>
      <c r="D69" s="49" t="s">
        <v>366</v>
      </c>
      <c r="E69" s="49" t="s">
        <v>367</v>
      </c>
    </row>
    <row r="70" spans="1:5">
      <c r="A70" s="49"/>
      <c r="B70" s="49" t="s">
        <v>368</v>
      </c>
      <c r="C70" s="63" t="s">
        <v>369</v>
      </c>
      <c r="D70" s="49" t="s">
        <v>370</v>
      </c>
      <c r="E70" s="49" t="s">
        <v>371</v>
      </c>
    </row>
    <row r="71" spans="1:5">
      <c r="A71" s="49"/>
      <c r="B71" s="49" t="s">
        <v>372</v>
      </c>
      <c r="C71" s="63" t="s">
        <v>373</v>
      </c>
      <c r="D71" s="49" t="s">
        <v>374</v>
      </c>
      <c r="E71" s="49" t="s">
        <v>375</v>
      </c>
    </row>
    <row r="72" spans="1:5">
      <c r="A72" s="49"/>
      <c r="B72" s="49" t="s">
        <v>376</v>
      </c>
      <c r="C72" s="63" t="s">
        <v>377</v>
      </c>
      <c r="D72" s="49" t="s">
        <v>378</v>
      </c>
      <c r="E72" s="49" t="s">
        <v>379</v>
      </c>
    </row>
    <row r="73" spans="1:5">
      <c r="A73" s="49"/>
      <c r="B73" s="49" t="s">
        <v>380</v>
      </c>
      <c r="C73" s="63" t="s">
        <v>381</v>
      </c>
      <c r="D73" s="49" t="s">
        <v>382</v>
      </c>
      <c r="E73" s="49" t="s">
        <v>383</v>
      </c>
    </row>
    <row r="74" spans="1:5">
      <c r="A74" s="49"/>
      <c r="B74" s="49" t="s">
        <v>384</v>
      </c>
      <c r="C74" s="63" t="s">
        <v>385</v>
      </c>
      <c r="D74" s="49" t="s">
        <v>386</v>
      </c>
      <c r="E74" s="49" t="s">
        <v>387</v>
      </c>
    </row>
    <row r="75" spans="1:5">
      <c r="A75" s="49"/>
      <c r="B75" s="49" t="s">
        <v>388</v>
      </c>
      <c r="C75" s="63" t="s">
        <v>389</v>
      </c>
      <c r="D75" s="49" t="s">
        <v>390</v>
      </c>
      <c r="E75" s="49" t="s">
        <v>391</v>
      </c>
    </row>
    <row r="76" spans="1:5">
      <c r="A76" s="49" t="s">
        <v>3749</v>
      </c>
      <c r="B76" s="49" t="str">
        <f t="shared" ref="B76:B91" si="0">"CHARACTER_POSITION_"&amp;UPPER(A76)</f>
        <v>CHARACTER_POSITION_CHIEFMILITARYADVISER</v>
      </c>
      <c r="C76" s="63" t="s">
        <v>392</v>
      </c>
      <c r="D76" s="49" t="s">
        <v>393</v>
      </c>
      <c r="E76" s="49" t="s">
        <v>394</v>
      </c>
    </row>
    <row r="77" spans="1:5">
      <c r="A77" s="64" t="s">
        <v>3750</v>
      </c>
      <c r="B77" s="49" t="str">
        <f t="shared" si="0"/>
        <v>CHARACTER_POSITION_DIRECTOROFTHESECRETARIAT</v>
      </c>
      <c r="C77" s="50" t="s">
        <v>395</v>
      </c>
      <c r="D77" s="49" t="s">
        <v>396</v>
      </c>
      <c r="E77" s="49" t="s">
        <v>397</v>
      </c>
    </row>
    <row r="78" spans="1:5">
      <c r="A78" s="49" t="s">
        <v>3751</v>
      </c>
      <c r="B78" s="49" t="str">
        <f t="shared" si="0"/>
        <v>CHARACTER_POSITION_DRAGONFIGHTER</v>
      </c>
      <c r="C78" s="49" t="s">
        <v>398</v>
      </c>
      <c r="D78" s="49" t="s">
        <v>399</v>
      </c>
      <c r="E78" s="49" t="s">
        <v>400</v>
      </c>
    </row>
    <row r="79" spans="1:5" ht="15" customHeight="1">
      <c r="A79" s="65" t="s">
        <v>3752</v>
      </c>
      <c r="B79" s="49" t="str">
        <f t="shared" si="0"/>
        <v>CHARACTER_POSITION_GENERALOFTHELEFT</v>
      </c>
      <c r="C79" s="48" t="s">
        <v>401</v>
      </c>
      <c r="D79" s="49" t="s">
        <v>3449</v>
      </c>
      <c r="E79" s="49" t="s">
        <v>402</v>
      </c>
    </row>
    <row r="80" spans="1:5" ht="15" customHeight="1">
      <c r="A80" s="65" t="s">
        <v>3753</v>
      </c>
      <c r="B80" s="49" t="str">
        <f t="shared" si="0"/>
        <v>CHARACTER_POSITION_GENERALOFTHEREAR</v>
      </c>
      <c r="C80" s="48" t="s">
        <v>403</v>
      </c>
      <c r="D80" s="49" t="s">
        <v>3450</v>
      </c>
      <c r="E80" s="49" t="s">
        <v>404</v>
      </c>
    </row>
    <row r="81" spans="1:5" ht="15" customHeight="1">
      <c r="A81" s="65" t="s">
        <v>3754</v>
      </c>
      <c r="B81" s="49" t="str">
        <f t="shared" si="0"/>
        <v>CHARACTER_POSITION_GENERALOFTHERIGHT</v>
      </c>
      <c r="C81" s="48" t="s">
        <v>405</v>
      </c>
      <c r="D81" s="49" t="s">
        <v>3451</v>
      </c>
      <c r="E81" s="49" t="s">
        <v>406</v>
      </c>
    </row>
    <row r="82" spans="1:5">
      <c r="A82" s="64" t="s">
        <v>3755</v>
      </c>
      <c r="B82" s="49" t="str">
        <f t="shared" si="0"/>
        <v>CHARACTER_POSITION_GENERALOFTHEVANGUARD</v>
      </c>
      <c r="C82" s="50" t="s">
        <v>407</v>
      </c>
      <c r="D82" s="49" t="s">
        <v>3452</v>
      </c>
      <c r="E82" s="49" t="s">
        <v>408</v>
      </c>
    </row>
    <row r="83" spans="1:5">
      <c r="A83" s="64" t="s">
        <v>3756</v>
      </c>
      <c r="B83" s="49" t="str">
        <f t="shared" si="0"/>
        <v>CHARACTER_POSITION_GRANDGENERAL</v>
      </c>
      <c r="C83" s="50" t="s">
        <v>409</v>
      </c>
      <c r="D83" s="49" t="s">
        <v>410</v>
      </c>
      <c r="E83" s="49" t="s">
        <v>411</v>
      </c>
    </row>
    <row r="84" spans="1:5">
      <c r="A84" s="64" t="s">
        <v>3757</v>
      </c>
      <c r="B84" s="49" t="str">
        <f t="shared" si="0"/>
        <v>CHARACTER_POSITION_GRANDSTRATEGIST</v>
      </c>
      <c r="C84" s="50" t="s">
        <v>412</v>
      </c>
      <c r="D84" s="49" t="s">
        <v>413</v>
      </c>
      <c r="E84" s="49" t="s">
        <v>414</v>
      </c>
    </row>
    <row r="85" spans="1:5">
      <c r="A85" s="49" t="s">
        <v>3758</v>
      </c>
      <c r="B85" s="49" t="str">
        <f t="shared" si="0"/>
        <v>CHARACTER_POSITION_PALACEASSISTANTINSPECTOR</v>
      </c>
      <c r="C85" s="49" t="s">
        <v>415</v>
      </c>
      <c r="D85" s="49" t="s">
        <v>416</v>
      </c>
      <c r="E85" s="49" t="s">
        <v>417</v>
      </c>
    </row>
    <row r="86" spans="1:5">
      <c r="A86" s="64" t="s">
        <v>3759</v>
      </c>
      <c r="B86" s="49" t="str">
        <f t="shared" si="0"/>
        <v>CHARACTER_POSITION_PRIMEMINISTER</v>
      </c>
      <c r="C86" s="50" t="s">
        <v>418</v>
      </c>
      <c r="D86" s="49" t="s">
        <v>419</v>
      </c>
      <c r="E86" s="49" t="s">
        <v>420</v>
      </c>
    </row>
    <row r="87" spans="1:5" ht="15" customHeight="1">
      <c r="A87" s="49" t="s">
        <v>3760</v>
      </c>
      <c r="B87" s="49" t="str">
        <f t="shared" si="0"/>
        <v>CHARACTER_POSITION_SUPPRESSESBANDITS</v>
      </c>
      <c r="C87" s="48" t="s">
        <v>421</v>
      </c>
      <c r="D87" s="49" t="s">
        <v>3454</v>
      </c>
      <c r="E87" s="49" t="s">
        <v>422</v>
      </c>
    </row>
    <row r="88" spans="1:5">
      <c r="A88" s="49" t="s">
        <v>3761</v>
      </c>
      <c r="B88" s="49" t="str">
        <f t="shared" si="0"/>
        <v>CHARACTER_POSITION_THESTANDARD</v>
      </c>
      <c r="C88" s="63" t="s">
        <v>423</v>
      </c>
      <c r="D88" s="49" t="s">
        <v>3453</v>
      </c>
      <c r="E88" s="49" t="s">
        <v>424</v>
      </c>
    </row>
    <row r="89" spans="1:5">
      <c r="A89" s="49" t="s">
        <v>3762</v>
      </c>
      <c r="B89" s="49" t="str">
        <f t="shared" ref="B89" si="1">"CHARACTER_POSITION_"&amp;UPPER(A89)</f>
        <v>CHARACTER_POSITION_VANQUISHESREBELS</v>
      </c>
      <c r="C89" s="63" t="s">
        <v>425</v>
      </c>
      <c r="D89" s="49" t="s">
        <v>3456</v>
      </c>
      <c r="E89" s="49" t="s">
        <v>426</v>
      </c>
    </row>
    <row r="90" spans="1:5">
      <c r="A90" s="55" t="s">
        <v>3763</v>
      </c>
      <c r="B90" s="49" t="str">
        <f t="shared" si="0"/>
        <v>CHARACTER_POSITION_MILITARYSIMA</v>
      </c>
      <c r="C90" s="63" t="s">
        <v>3644</v>
      </c>
      <c r="D90" s="49" t="s">
        <v>3649</v>
      </c>
      <c r="E90" s="52" t="s">
        <v>3650</v>
      </c>
    </row>
    <row r="91" spans="1:5">
      <c r="A91" s="55" t="s">
        <v>3764</v>
      </c>
      <c r="B91" s="49" t="str">
        <f t="shared" si="0"/>
        <v>CHARACTER_POSITION_GENERALOFTHECAVALRY</v>
      </c>
      <c r="C91" s="63" t="s">
        <v>3645</v>
      </c>
      <c r="D91" s="49" t="s">
        <v>3648</v>
      </c>
      <c r="E91" s="52" t="s">
        <v>3652</v>
      </c>
    </row>
    <row r="92" spans="1:5">
      <c r="A92" s="49" t="s">
        <v>3749</v>
      </c>
      <c r="B92" s="49" t="str">
        <f>"CHARACTER_POSITION_S_"&amp;UPPER(A92)</f>
        <v>CHARACTER_POSITION_S_CHIEFMILITARYADVISER</v>
      </c>
      <c r="C92" s="63" t="s">
        <v>392</v>
      </c>
      <c r="D92" s="49" t="s">
        <v>3437</v>
      </c>
      <c r="E92" s="49" t="s">
        <v>394</v>
      </c>
    </row>
    <row r="93" spans="1:5">
      <c r="A93" s="64" t="s">
        <v>3750</v>
      </c>
      <c r="B93" s="49" t="str">
        <f t="shared" ref="B93:B108" si="2">"CHARACTER_POSITION_S_"&amp;UPPER(A93)</f>
        <v>CHARACTER_POSITION_S_DIRECTOROFTHESECRETARIAT</v>
      </c>
      <c r="C93" s="50" t="s">
        <v>395</v>
      </c>
      <c r="D93" s="49" t="s">
        <v>3438</v>
      </c>
      <c r="E93" s="49" t="s">
        <v>397</v>
      </c>
    </row>
    <row r="94" spans="1:5">
      <c r="A94" s="49" t="s">
        <v>3751</v>
      </c>
      <c r="B94" s="49" t="str">
        <f t="shared" si="2"/>
        <v>CHARACTER_POSITION_S_DRAGONFIGHTER</v>
      </c>
      <c r="C94" s="49" t="s">
        <v>398</v>
      </c>
      <c r="D94" s="49" t="s">
        <v>3439</v>
      </c>
      <c r="E94" s="49" t="s">
        <v>400</v>
      </c>
    </row>
    <row r="95" spans="1:5" ht="15" customHeight="1">
      <c r="A95" s="65" t="s">
        <v>3752</v>
      </c>
      <c r="B95" s="49" t="str">
        <f t="shared" si="2"/>
        <v>CHARACTER_POSITION_S_GENERALOFTHELEFT</v>
      </c>
      <c r="C95" s="48" t="s">
        <v>401</v>
      </c>
      <c r="D95" s="49" t="s">
        <v>3440</v>
      </c>
      <c r="E95" s="49" t="s">
        <v>402</v>
      </c>
    </row>
    <row r="96" spans="1:5" ht="15" customHeight="1">
      <c r="A96" s="65" t="s">
        <v>3753</v>
      </c>
      <c r="B96" s="49" t="str">
        <f t="shared" si="2"/>
        <v>CHARACTER_POSITION_S_GENERALOFTHEREAR</v>
      </c>
      <c r="C96" s="48" t="s">
        <v>403</v>
      </c>
      <c r="D96" s="49" t="s">
        <v>3441</v>
      </c>
      <c r="E96" s="49" t="s">
        <v>404</v>
      </c>
    </row>
    <row r="97" spans="1:5" ht="15" customHeight="1">
      <c r="A97" s="65" t="s">
        <v>3754</v>
      </c>
      <c r="B97" s="49" t="str">
        <f t="shared" si="2"/>
        <v>CHARACTER_POSITION_S_GENERALOFTHERIGHT</v>
      </c>
      <c r="C97" s="48" t="s">
        <v>405</v>
      </c>
      <c r="D97" s="49" t="s">
        <v>3443</v>
      </c>
      <c r="E97" s="49" t="s">
        <v>406</v>
      </c>
    </row>
    <row r="98" spans="1:5">
      <c r="A98" s="64" t="s">
        <v>3755</v>
      </c>
      <c r="B98" s="49" t="str">
        <f t="shared" si="2"/>
        <v>CHARACTER_POSITION_S_GENERALOFTHEVANGUARD</v>
      </c>
      <c r="C98" s="50" t="s">
        <v>407</v>
      </c>
      <c r="D98" s="49" t="s">
        <v>3442</v>
      </c>
      <c r="E98" s="49" t="s">
        <v>408</v>
      </c>
    </row>
    <row r="99" spans="1:5">
      <c r="A99" s="64" t="s">
        <v>3756</v>
      </c>
      <c r="B99" s="49" t="str">
        <f t="shared" si="2"/>
        <v>CHARACTER_POSITION_S_GRANDGENERAL</v>
      </c>
      <c r="C99" s="50" t="s">
        <v>409</v>
      </c>
      <c r="D99" s="49" t="s">
        <v>3444</v>
      </c>
      <c r="E99" s="49" t="s">
        <v>411</v>
      </c>
    </row>
    <row r="100" spans="1:5">
      <c r="A100" s="64" t="s">
        <v>3757</v>
      </c>
      <c r="B100" s="49" t="str">
        <f t="shared" si="2"/>
        <v>CHARACTER_POSITION_S_GRANDSTRATEGIST</v>
      </c>
      <c r="C100" s="50" t="s">
        <v>412</v>
      </c>
      <c r="D100" s="49" t="s">
        <v>3445</v>
      </c>
      <c r="E100" s="49" t="s">
        <v>414</v>
      </c>
    </row>
    <row r="101" spans="1:5">
      <c r="A101" s="49" t="s">
        <v>3758</v>
      </c>
      <c r="B101" s="49" t="str">
        <f t="shared" si="2"/>
        <v>CHARACTER_POSITION_S_PALACEASSISTANTINSPECTOR</v>
      </c>
      <c r="C101" s="49" t="s">
        <v>415</v>
      </c>
      <c r="D101" s="49" t="s">
        <v>3446</v>
      </c>
      <c r="E101" s="49" t="s">
        <v>417</v>
      </c>
    </row>
    <row r="102" spans="1:5">
      <c r="A102" s="64" t="s">
        <v>3759</v>
      </c>
      <c r="B102" s="49" t="str">
        <f t="shared" si="2"/>
        <v>CHARACTER_POSITION_S_PRIMEMINISTER</v>
      </c>
      <c r="C102" s="50" t="s">
        <v>418</v>
      </c>
      <c r="D102" s="49" t="s">
        <v>3447</v>
      </c>
      <c r="E102" s="49" t="s">
        <v>420</v>
      </c>
    </row>
    <row r="103" spans="1:5" ht="15" customHeight="1">
      <c r="A103" s="49" t="s">
        <v>3760</v>
      </c>
      <c r="B103" s="49" t="str">
        <f t="shared" si="2"/>
        <v>CHARACTER_POSITION_S_SUPPRESSESBANDITS</v>
      </c>
      <c r="C103" s="48" t="s">
        <v>421</v>
      </c>
      <c r="D103" s="49" t="s">
        <v>3455</v>
      </c>
      <c r="E103" s="49" t="s">
        <v>422</v>
      </c>
    </row>
    <row r="104" spans="1:5">
      <c r="A104" s="49" t="s">
        <v>3761</v>
      </c>
      <c r="B104" s="49" t="str">
        <f t="shared" si="2"/>
        <v>CHARACTER_POSITION_S_THESTANDARD</v>
      </c>
      <c r="C104" s="63" t="s">
        <v>423</v>
      </c>
      <c r="D104" s="49" t="s">
        <v>3448</v>
      </c>
      <c r="E104" s="49" t="s">
        <v>424</v>
      </c>
    </row>
    <row r="105" spans="1:5">
      <c r="A105" s="49" t="s">
        <v>3762</v>
      </c>
      <c r="B105" s="49" t="str">
        <f t="shared" si="2"/>
        <v>CHARACTER_POSITION_S_VANQUISHESREBELS</v>
      </c>
      <c r="C105" s="63" t="s">
        <v>425</v>
      </c>
      <c r="D105" s="49" t="s">
        <v>3457</v>
      </c>
      <c r="E105" s="49" t="s">
        <v>426</v>
      </c>
    </row>
    <row r="106" spans="1:5">
      <c r="A106" s="55" t="s">
        <v>3763</v>
      </c>
      <c r="B106" s="49" t="str">
        <f t="shared" si="2"/>
        <v>CHARACTER_POSITION_S_MILITARYSIMA</v>
      </c>
      <c r="C106" s="63" t="s">
        <v>3644</v>
      </c>
      <c r="D106" s="49" t="s">
        <v>3646</v>
      </c>
      <c r="E106" s="66" t="s">
        <v>3651</v>
      </c>
    </row>
    <row r="107" spans="1:5">
      <c r="A107" s="55" t="s">
        <v>3765</v>
      </c>
      <c r="B107" s="49" t="str">
        <f t="shared" si="2"/>
        <v>CHARACTER_POSITION_S_GENERALOFTHEMID</v>
      </c>
      <c r="C107" s="63" t="s">
        <v>3660</v>
      </c>
      <c r="D107" s="49"/>
      <c r="E107" s="66"/>
    </row>
    <row r="108" spans="1:5">
      <c r="A108" s="55" t="s">
        <v>3764</v>
      </c>
      <c r="B108" s="49" t="str">
        <f t="shared" si="2"/>
        <v>CHARACTER_POSITION_S_GENERALOFTHECAVALRY</v>
      </c>
      <c r="C108" s="63" t="s">
        <v>3645</v>
      </c>
      <c r="D108" s="49" t="s">
        <v>3647</v>
      </c>
      <c r="E108" s="52" t="s">
        <v>3652</v>
      </c>
    </row>
    <row r="109" spans="1:5">
      <c r="A109" s="49"/>
      <c r="B109" s="49" t="s">
        <v>427</v>
      </c>
      <c r="C109" s="63" t="s">
        <v>169</v>
      </c>
      <c r="D109" s="49" t="s">
        <v>171</v>
      </c>
      <c r="E109" s="49" t="s">
        <v>172</v>
      </c>
    </row>
    <row r="110" spans="1:5">
      <c r="A110" s="49"/>
      <c r="B110" s="49" t="s">
        <v>428</v>
      </c>
      <c r="C110" s="63" t="s">
        <v>429</v>
      </c>
      <c r="D110" s="49" t="s">
        <v>430</v>
      </c>
      <c r="E110" s="49" t="s">
        <v>431</v>
      </c>
    </row>
    <row r="111" spans="1:5">
      <c r="A111" s="49"/>
      <c r="B111" s="49" t="s">
        <v>432</v>
      </c>
      <c r="C111" s="49" t="s">
        <v>433</v>
      </c>
      <c r="D111" s="49" t="s">
        <v>3413</v>
      </c>
      <c r="E111" s="49" t="s">
        <v>434</v>
      </c>
    </row>
    <row r="112" spans="1:5">
      <c r="A112" s="49"/>
      <c r="B112" s="49" t="s">
        <v>435</v>
      </c>
      <c r="C112" s="49" t="s">
        <v>436</v>
      </c>
      <c r="D112" s="49" t="s">
        <v>3485</v>
      </c>
      <c r="E112" s="49" t="s">
        <v>437</v>
      </c>
    </row>
    <row r="113" spans="1:5">
      <c r="A113" s="49"/>
      <c r="B113" s="49" t="s">
        <v>438</v>
      </c>
      <c r="C113" s="49" t="s">
        <v>439</v>
      </c>
      <c r="D113" s="49" t="s">
        <v>3412</v>
      </c>
      <c r="E113" s="49" t="s">
        <v>440</v>
      </c>
    </row>
    <row r="114" spans="1:5">
      <c r="A114" s="49"/>
      <c r="B114" s="49" t="s">
        <v>441</v>
      </c>
      <c r="C114" s="49" t="s">
        <v>442</v>
      </c>
      <c r="D114" s="49" t="s">
        <v>443</v>
      </c>
      <c r="E114" s="49" t="s">
        <v>444</v>
      </c>
    </row>
    <row r="115" spans="1:5">
      <c r="A115" s="49"/>
      <c r="B115" s="49" t="s">
        <v>445</v>
      </c>
      <c r="C115" s="49" t="s">
        <v>446</v>
      </c>
      <c r="D115" s="49" t="s">
        <v>3482</v>
      </c>
      <c r="E115" s="49" t="s">
        <v>447</v>
      </c>
    </row>
    <row r="116" spans="1:5">
      <c r="A116" s="49"/>
      <c r="B116" s="49" t="s">
        <v>449</v>
      </c>
      <c r="C116" s="49" t="s">
        <v>450</v>
      </c>
      <c r="D116" s="49" t="s">
        <v>451</v>
      </c>
      <c r="E116" s="49" t="s">
        <v>453</v>
      </c>
    </row>
    <row r="117" spans="1:5">
      <c r="A117" s="49"/>
      <c r="B117" s="49" t="s">
        <v>455</v>
      </c>
      <c r="C117" s="62" t="s">
        <v>456</v>
      </c>
      <c r="D117" s="49" t="s">
        <v>3374</v>
      </c>
      <c r="E117" s="49" t="s">
        <v>458</v>
      </c>
    </row>
    <row r="118" spans="1:5">
      <c r="A118" s="49"/>
      <c r="B118" s="49" t="s">
        <v>459</v>
      </c>
      <c r="C118" s="62" t="s">
        <v>460</v>
      </c>
      <c r="D118" s="49" t="s">
        <v>3375</v>
      </c>
      <c r="E118" s="49" t="s">
        <v>462</v>
      </c>
    </row>
    <row r="119" spans="1:5">
      <c r="A119" s="49"/>
      <c r="B119" s="49" t="s">
        <v>463</v>
      </c>
      <c r="C119" s="62" t="s">
        <v>464</v>
      </c>
      <c r="D119" s="49" t="s">
        <v>3376</v>
      </c>
      <c r="E119" s="49" t="s">
        <v>466</v>
      </c>
    </row>
    <row r="120" spans="1:5">
      <c r="A120" s="49"/>
      <c r="B120" s="49" t="s">
        <v>467</v>
      </c>
      <c r="C120" s="62" t="s">
        <v>468</v>
      </c>
      <c r="D120" s="49" t="s">
        <v>3377</v>
      </c>
      <c r="E120" s="49" t="s">
        <v>470</v>
      </c>
    </row>
    <row r="121" spans="1:5">
      <c r="A121" s="49"/>
      <c r="B121" s="49" t="s">
        <v>471</v>
      </c>
      <c r="C121" s="62" t="s">
        <v>472</v>
      </c>
      <c r="D121" s="49" t="s">
        <v>3373</v>
      </c>
      <c r="E121" s="49" t="s">
        <v>474</v>
      </c>
    </row>
    <row r="122" spans="1:5">
      <c r="A122" s="49"/>
      <c r="B122" s="49" t="s">
        <v>475</v>
      </c>
      <c r="C122" s="49" t="s">
        <v>476</v>
      </c>
      <c r="D122" s="49" t="s">
        <v>3486</v>
      </c>
      <c r="E122" s="49" t="s">
        <v>477</v>
      </c>
    </row>
    <row r="123" spans="1:5">
      <c r="A123" s="49"/>
      <c r="B123" s="49" t="s">
        <v>478</v>
      </c>
      <c r="C123" s="49" t="s">
        <v>479</v>
      </c>
      <c r="D123" s="49" t="s">
        <v>3487</v>
      </c>
      <c r="E123" s="49" t="s">
        <v>480</v>
      </c>
    </row>
    <row r="124" spans="1:5">
      <c r="A124" s="49"/>
      <c r="B124" s="49" t="s">
        <v>481</v>
      </c>
      <c r="C124" s="49" t="s">
        <v>482</v>
      </c>
      <c r="D124" s="49" t="s">
        <v>3488</v>
      </c>
      <c r="E124" s="49" t="s">
        <v>483</v>
      </c>
    </row>
    <row r="125" spans="1:5">
      <c r="A125" s="49"/>
      <c r="B125" s="49" t="s">
        <v>484</v>
      </c>
      <c r="C125" s="49" t="s">
        <v>485</v>
      </c>
      <c r="D125" s="49" t="s">
        <v>3489</v>
      </c>
      <c r="E125" s="49" t="s">
        <v>486</v>
      </c>
    </row>
    <row r="126" spans="1:5">
      <c r="A126" s="49"/>
      <c r="B126" s="49" t="s">
        <v>487</v>
      </c>
      <c r="C126" s="49" t="s">
        <v>488</v>
      </c>
      <c r="D126" s="49" t="s">
        <v>3490</v>
      </c>
      <c r="E126" s="49" t="s">
        <v>489</v>
      </c>
    </row>
    <row r="127" spans="1:5">
      <c r="A127" s="49"/>
      <c r="B127" s="49" t="s">
        <v>490</v>
      </c>
      <c r="C127" s="62" t="s">
        <v>491</v>
      </c>
      <c r="D127" s="49" t="s">
        <v>3491</v>
      </c>
      <c r="E127" s="49" t="s">
        <v>493</v>
      </c>
    </row>
    <row r="128" spans="1:5">
      <c r="A128" s="49"/>
      <c r="B128" s="49" t="s">
        <v>495</v>
      </c>
      <c r="C128" s="62" t="s">
        <v>497</v>
      </c>
      <c r="D128" s="49" t="s">
        <v>3492</v>
      </c>
      <c r="E128" s="49" t="s">
        <v>498</v>
      </c>
    </row>
    <row r="129" spans="1:5">
      <c r="A129" s="49"/>
      <c r="B129" s="49" t="s">
        <v>499</v>
      </c>
      <c r="C129" s="62" t="s">
        <v>500</v>
      </c>
      <c r="D129" s="49" t="s">
        <v>3493</v>
      </c>
      <c r="E129" s="49" t="s">
        <v>501</v>
      </c>
    </row>
    <row r="130" spans="1:5">
      <c r="A130" s="49"/>
      <c r="B130" s="49" t="s">
        <v>502</v>
      </c>
      <c r="C130" s="62" t="s">
        <v>504</v>
      </c>
      <c r="D130" s="49" t="s">
        <v>3494</v>
      </c>
      <c r="E130" s="49" t="s">
        <v>506</v>
      </c>
    </row>
    <row r="131" spans="1:5">
      <c r="A131" s="49"/>
      <c r="B131" s="49" t="s">
        <v>508</v>
      </c>
      <c r="C131" s="62" t="s">
        <v>488</v>
      </c>
      <c r="D131" s="49" t="s">
        <v>3490</v>
      </c>
      <c r="E131" s="49" t="s">
        <v>489</v>
      </c>
    </row>
    <row r="132" spans="1:5">
      <c r="A132" s="49"/>
      <c r="B132" s="49" t="s">
        <v>509</v>
      </c>
      <c r="C132" s="49" t="s">
        <v>510</v>
      </c>
      <c r="D132" s="49" t="s">
        <v>3495</v>
      </c>
      <c r="E132" s="49" t="s">
        <v>512</v>
      </c>
    </row>
    <row r="133" spans="1:5">
      <c r="A133" s="49"/>
      <c r="B133" s="49" t="s">
        <v>515</v>
      </c>
      <c r="C133" s="49" t="s">
        <v>516</v>
      </c>
      <c r="D133" s="49" t="s">
        <v>3496</v>
      </c>
      <c r="E133" s="49" t="s">
        <v>517</v>
      </c>
    </row>
    <row r="134" spans="1:5">
      <c r="A134" s="49"/>
      <c r="B134" s="49" t="s">
        <v>518</v>
      </c>
      <c r="C134" s="49" t="s">
        <v>519</v>
      </c>
      <c r="D134" s="49" t="s">
        <v>3497</v>
      </c>
      <c r="E134" s="49" t="s">
        <v>520</v>
      </c>
    </row>
    <row r="135" spans="1:5">
      <c r="A135" s="49"/>
      <c r="B135" s="49" t="s">
        <v>523</v>
      </c>
      <c r="C135" s="49" t="s">
        <v>524</v>
      </c>
      <c r="D135" s="49" t="s">
        <v>3498</v>
      </c>
      <c r="E135" s="49" t="s">
        <v>526</v>
      </c>
    </row>
    <row r="136" spans="1:5">
      <c r="A136" s="49"/>
      <c r="B136" s="49" t="s">
        <v>527</v>
      </c>
      <c r="C136" s="49" t="s">
        <v>488</v>
      </c>
      <c r="D136" s="49" t="s">
        <v>3490</v>
      </c>
      <c r="E136" s="49" t="s">
        <v>489</v>
      </c>
    </row>
    <row r="137" spans="1:5">
      <c r="A137" s="49"/>
      <c r="B137" s="49" t="s">
        <v>528</v>
      </c>
      <c r="C137" s="62" t="s">
        <v>491</v>
      </c>
      <c r="D137" s="49" t="s">
        <v>3491</v>
      </c>
      <c r="E137" s="49" t="s">
        <v>493</v>
      </c>
    </row>
    <row r="138" spans="1:5">
      <c r="A138" s="49"/>
      <c r="B138" s="49" t="s">
        <v>532</v>
      </c>
      <c r="C138" s="62" t="s">
        <v>497</v>
      </c>
      <c r="D138" s="49" t="s">
        <v>3492</v>
      </c>
      <c r="E138" s="49" t="s">
        <v>498</v>
      </c>
    </row>
    <row r="139" spans="1:5">
      <c r="A139" s="49"/>
      <c r="B139" s="49" t="s">
        <v>533</v>
      </c>
      <c r="C139" s="62" t="s">
        <v>500</v>
      </c>
      <c r="D139" s="49" t="s">
        <v>3493</v>
      </c>
      <c r="E139" s="49" t="s">
        <v>501</v>
      </c>
    </row>
    <row r="140" spans="1:5">
      <c r="A140" s="49"/>
      <c r="B140" s="49" t="s">
        <v>537</v>
      </c>
      <c r="C140" s="62" t="s">
        <v>504</v>
      </c>
      <c r="D140" s="49" t="s">
        <v>3494</v>
      </c>
      <c r="E140" s="49" t="s">
        <v>506</v>
      </c>
    </row>
    <row r="141" spans="1:5">
      <c r="A141" s="49"/>
      <c r="B141" s="49" t="s">
        <v>538</v>
      </c>
      <c r="C141" s="62" t="s">
        <v>488</v>
      </c>
      <c r="D141" s="49" t="s">
        <v>3490</v>
      </c>
      <c r="E141" s="49" t="s">
        <v>489</v>
      </c>
    </row>
    <row r="142" spans="1:5">
      <c r="A142" s="49"/>
      <c r="B142" s="49" t="s">
        <v>541</v>
      </c>
      <c r="C142" s="49" t="s">
        <v>73</v>
      </c>
      <c r="D142" s="49" t="s">
        <v>75</v>
      </c>
      <c r="E142" s="49" t="s">
        <v>77</v>
      </c>
    </row>
    <row r="143" spans="1:5">
      <c r="A143" s="49"/>
      <c r="B143" s="49" t="s">
        <v>542</v>
      </c>
      <c r="C143" s="49" t="s">
        <v>195</v>
      </c>
      <c r="D143" s="49" t="s">
        <v>196</v>
      </c>
      <c r="E143" s="49" t="s">
        <v>200</v>
      </c>
    </row>
    <row r="144" spans="1:5">
      <c r="A144" s="49"/>
      <c r="B144" s="49" t="s">
        <v>543</v>
      </c>
      <c r="C144" s="49" t="s">
        <v>124</v>
      </c>
      <c r="D144" s="49" t="s">
        <v>125</v>
      </c>
      <c r="E144" s="49" t="s">
        <v>128</v>
      </c>
    </row>
    <row r="145" spans="1:5">
      <c r="A145" s="49"/>
      <c r="B145" s="49" t="s">
        <v>544</v>
      </c>
      <c r="C145" s="49" t="s">
        <v>208</v>
      </c>
      <c r="D145" s="49" t="s">
        <v>209</v>
      </c>
      <c r="E145" s="49" t="s">
        <v>210</v>
      </c>
    </row>
    <row r="146" spans="1:5">
      <c r="A146" s="49"/>
      <c r="B146" s="49" t="s">
        <v>545</v>
      </c>
      <c r="C146" s="49" t="s">
        <v>217</v>
      </c>
      <c r="D146" s="49" t="s">
        <v>219</v>
      </c>
      <c r="E146" s="49" t="s">
        <v>221</v>
      </c>
    </row>
    <row r="147" spans="1:5">
      <c r="A147" s="49"/>
      <c r="B147" s="49" t="s">
        <v>546</v>
      </c>
      <c r="C147" s="63" t="s">
        <v>547</v>
      </c>
      <c r="D147" s="49" t="s">
        <v>3414</v>
      </c>
      <c r="E147" s="49" t="s">
        <v>548</v>
      </c>
    </row>
    <row r="148" spans="1:5">
      <c r="A148" s="49"/>
      <c r="B148" s="49" t="s">
        <v>549</v>
      </c>
      <c r="C148" s="63" t="s">
        <v>389</v>
      </c>
      <c r="D148" s="49" t="s">
        <v>3415</v>
      </c>
      <c r="E148" s="49" t="s">
        <v>391</v>
      </c>
    </row>
    <row r="149" spans="1:5">
      <c r="A149" s="49"/>
      <c r="B149" s="49" t="s">
        <v>553</v>
      </c>
      <c r="C149" s="63" t="s">
        <v>3786</v>
      </c>
      <c r="D149" s="49" t="s">
        <v>3416</v>
      </c>
      <c r="E149" s="49" t="s">
        <v>554</v>
      </c>
    </row>
    <row r="150" spans="1:5">
      <c r="A150" s="49"/>
      <c r="B150" s="49" t="s">
        <v>555</v>
      </c>
      <c r="C150" s="63" t="s">
        <v>556</v>
      </c>
      <c r="D150" s="49" t="s">
        <v>3417</v>
      </c>
      <c r="E150" s="49" t="s">
        <v>559</v>
      </c>
    </row>
    <row r="151" spans="1:5">
      <c r="A151" s="49"/>
      <c r="B151" s="49" t="s">
        <v>560</v>
      </c>
      <c r="C151" s="63" t="s">
        <v>562</v>
      </c>
      <c r="D151" s="49" t="s">
        <v>3418</v>
      </c>
      <c r="E151" s="49" t="s">
        <v>566</v>
      </c>
    </row>
    <row r="152" spans="1:5">
      <c r="A152" s="49"/>
      <c r="B152" s="49" t="s">
        <v>567</v>
      </c>
      <c r="C152" s="63" t="s">
        <v>568</v>
      </c>
      <c r="D152" s="49" t="s">
        <v>3392</v>
      </c>
      <c r="E152" s="49" t="s">
        <v>569</v>
      </c>
    </row>
    <row r="153" spans="1:5">
      <c r="A153" s="49"/>
      <c r="B153" s="49" t="s">
        <v>570</v>
      </c>
      <c r="C153" s="63" t="s">
        <v>571</v>
      </c>
      <c r="D153" s="49" t="s">
        <v>3419</v>
      </c>
      <c r="E153" s="49" t="s">
        <v>573</v>
      </c>
    </row>
    <row r="154" spans="1:5">
      <c r="A154" s="49"/>
      <c r="B154" s="49" t="s">
        <v>574</v>
      </c>
      <c r="C154" s="63" t="s">
        <v>3786</v>
      </c>
      <c r="D154" s="49" t="s">
        <v>3416</v>
      </c>
      <c r="E154" s="49" t="s">
        <v>554</v>
      </c>
    </row>
    <row r="155" spans="1:5">
      <c r="A155" s="49"/>
      <c r="B155" s="49" t="s">
        <v>578</v>
      </c>
      <c r="C155" s="63" t="s">
        <v>579</v>
      </c>
      <c r="D155" s="49" t="s">
        <v>3420</v>
      </c>
      <c r="E155" s="49" t="s">
        <v>580</v>
      </c>
    </row>
    <row r="156" spans="1:5">
      <c r="A156" s="49"/>
      <c r="B156" s="49" t="s">
        <v>581</v>
      </c>
      <c r="C156" s="63" t="s">
        <v>582</v>
      </c>
      <c r="D156" s="49" t="s">
        <v>3391</v>
      </c>
      <c r="E156" s="49" t="s">
        <v>583</v>
      </c>
    </row>
    <row r="157" spans="1:5">
      <c r="A157" s="49" t="s">
        <v>586</v>
      </c>
      <c r="B157" s="49" t="str">
        <f t="shared" ref="B157:B161" si="3">"MENU_"&amp;A157</f>
        <v>MENU_INVENTORY</v>
      </c>
      <c r="C157" s="63" t="s">
        <v>591</v>
      </c>
      <c r="D157" s="49" t="s">
        <v>3387</v>
      </c>
      <c r="E157" s="49" t="s">
        <v>593</v>
      </c>
    </row>
    <row r="158" spans="1:5">
      <c r="A158" s="49" t="s">
        <v>594</v>
      </c>
      <c r="B158" s="49" t="str">
        <f t="shared" si="3"/>
        <v>MENU_NOTI</v>
      </c>
      <c r="C158" s="63" t="s">
        <v>595</v>
      </c>
      <c r="D158" s="49" t="s">
        <v>3388</v>
      </c>
      <c r="E158" s="49" t="s">
        <v>596</v>
      </c>
    </row>
    <row r="159" spans="1:5">
      <c r="A159" s="49" t="s">
        <v>597</v>
      </c>
      <c r="B159" s="49" t="str">
        <f t="shared" si="3"/>
        <v>MENU_PASS</v>
      </c>
      <c r="C159" s="63" t="s">
        <v>600</v>
      </c>
      <c r="D159" s="49" t="s">
        <v>3459</v>
      </c>
      <c r="E159" s="49" t="s">
        <v>602</v>
      </c>
    </row>
    <row r="160" spans="1:5">
      <c r="A160" s="49" t="s">
        <v>603</v>
      </c>
      <c r="B160" s="49" t="str">
        <f t="shared" si="3"/>
        <v>MENU_POST</v>
      </c>
      <c r="C160" s="63" t="s">
        <v>604</v>
      </c>
      <c r="D160" s="49" t="s">
        <v>3460</v>
      </c>
      <c r="E160" s="49" t="s">
        <v>606</v>
      </c>
    </row>
    <row r="161" spans="1:5">
      <c r="A161" s="49" t="s">
        <v>607</v>
      </c>
      <c r="B161" s="49" t="str">
        <f t="shared" si="3"/>
        <v>MENU_QUEST</v>
      </c>
      <c r="C161" s="63" t="s">
        <v>609</v>
      </c>
      <c r="D161" s="49" t="s">
        <v>3389</v>
      </c>
      <c r="E161" s="49" t="s">
        <v>612</v>
      </c>
    </row>
    <row r="162" spans="1:5">
      <c r="A162" s="49"/>
      <c r="B162" s="49" t="s">
        <v>614</v>
      </c>
      <c r="C162" s="63" t="s">
        <v>615</v>
      </c>
      <c r="D162" s="49" t="s">
        <v>3390</v>
      </c>
      <c r="E162" s="49" t="s">
        <v>617</v>
      </c>
    </row>
    <row r="163" spans="1:5">
      <c r="A163" s="49"/>
      <c r="B163" s="49" t="s">
        <v>618</v>
      </c>
      <c r="C163" s="63" t="s">
        <v>619</v>
      </c>
      <c r="D163" s="49" t="s">
        <v>3458</v>
      </c>
      <c r="E163" s="49" t="s">
        <v>621</v>
      </c>
    </row>
    <row r="164" spans="1:5">
      <c r="A164" s="49"/>
      <c r="B164" s="49" t="s">
        <v>3745</v>
      </c>
      <c r="C164" s="49" t="s">
        <v>623</v>
      </c>
      <c r="D164" s="49" t="s">
        <v>624</v>
      </c>
      <c r="E164" s="49" t="s">
        <v>625</v>
      </c>
    </row>
    <row r="165" spans="1:5">
      <c r="A165" s="49"/>
      <c r="B165" s="49" t="s">
        <v>3746</v>
      </c>
      <c r="C165" s="49" t="s">
        <v>3638</v>
      </c>
      <c r="D165" s="49" t="s">
        <v>628</v>
      </c>
      <c r="E165" s="49" t="s">
        <v>630</v>
      </c>
    </row>
    <row r="166" spans="1:5">
      <c r="A166" s="49"/>
      <c r="B166" s="49" t="s">
        <v>3747</v>
      </c>
      <c r="C166" s="49" t="s">
        <v>631</v>
      </c>
      <c r="D166" s="49" t="s">
        <v>632</v>
      </c>
      <c r="E166" s="49" t="s">
        <v>633</v>
      </c>
    </row>
    <row r="167" spans="1:5">
      <c r="A167" s="49"/>
      <c r="B167" s="49" t="s">
        <v>634</v>
      </c>
      <c r="C167" s="63" t="s">
        <v>635</v>
      </c>
      <c r="D167" s="49" t="s">
        <v>636</v>
      </c>
      <c r="E167" s="49" t="s">
        <v>637</v>
      </c>
    </row>
    <row r="168" spans="1:5">
      <c r="A168" s="49"/>
      <c r="B168" s="49" t="s">
        <v>638</v>
      </c>
      <c r="C168" s="63" t="s">
        <v>3787</v>
      </c>
      <c r="D168" s="49" t="s">
        <v>639</v>
      </c>
      <c r="E168" s="49" t="s">
        <v>640</v>
      </c>
    </row>
    <row r="169" spans="1:5">
      <c r="A169" s="49"/>
      <c r="B169" s="49" t="s">
        <v>643</v>
      </c>
      <c r="C169" s="62" t="s">
        <v>645</v>
      </c>
      <c r="D169" s="49" t="s">
        <v>646</v>
      </c>
      <c r="E169" s="49" t="s">
        <v>647</v>
      </c>
    </row>
    <row r="170" spans="1:5">
      <c r="A170" s="49"/>
      <c r="B170" s="49" t="s">
        <v>648</v>
      </c>
      <c r="C170" s="49" t="s">
        <v>649</v>
      </c>
      <c r="D170" s="49" t="s">
        <v>3500</v>
      </c>
      <c r="E170" s="49" t="s">
        <v>650</v>
      </c>
    </row>
    <row r="171" spans="1:5">
      <c r="A171" s="49"/>
      <c r="B171" s="49" t="s">
        <v>651</v>
      </c>
      <c r="C171" s="49" t="s">
        <v>652</v>
      </c>
      <c r="D171" s="49" t="s">
        <v>3500</v>
      </c>
      <c r="E171" s="49" t="s">
        <v>653</v>
      </c>
    </row>
    <row r="172" spans="1:5">
      <c r="A172" s="49"/>
      <c r="B172" s="49" t="s">
        <v>654</v>
      </c>
      <c r="C172" s="49" t="s">
        <v>655</v>
      </c>
      <c r="D172" s="49" t="s">
        <v>667</v>
      </c>
      <c r="E172" s="49" t="s">
        <v>656</v>
      </c>
    </row>
    <row r="173" spans="1:5">
      <c r="A173" s="49"/>
      <c r="B173" s="49" t="s">
        <v>3748</v>
      </c>
      <c r="C173" s="49" t="s">
        <v>660</v>
      </c>
      <c r="D173" s="49" t="s">
        <v>672</v>
      </c>
      <c r="E173" s="49" t="s">
        <v>661</v>
      </c>
    </row>
    <row r="174" spans="1:5">
      <c r="A174" s="49"/>
      <c r="B174" s="49" t="s">
        <v>662</v>
      </c>
      <c r="C174" s="49" t="s">
        <v>663</v>
      </c>
      <c r="D174" s="49" t="s">
        <v>678</v>
      </c>
      <c r="E174" s="49" t="s">
        <v>664</v>
      </c>
    </row>
    <row r="175" spans="1:5">
      <c r="A175" s="49"/>
      <c r="B175" s="49" t="s">
        <v>665</v>
      </c>
      <c r="C175" s="49" t="s">
        <v>666</v>
      </c>
      <c r="D175" s="49" t="s">
        <v>667</v>
      </c>
      <c r="E175" s="49" t="s">
        <v>668</v>
      </c>
    </row>
    <row r="176" spans="1:5">
      <c r="A176" s="49"/>
      <c r="B176" s="49" t="s">
        <v>669</v>
      </c>
      <c r="C176" s="49" t="s">
        <v>670</v>
      </c>
      <c r="D176" s="49" t="s">
        <v>672</v>
      </c>
      <c r="E176" s="49" t="s">
        <v>673</v>
      </c>
    </row>
    <row r="177" spans="1:5">
      <c r="A177" s="49"/>
      <c r="B177" s="49" t="s">
        <v>676</v>
      </c>
      <c r="C177" s="49" t="s">
        <v>677</v>
      </c>
      <c r="D177" s="49" t="s">
        <v>678</v>
      </c>
      <c r="E177" s="49" t="s">
        <v>679</v>
      </c>
    </row>
    <row r="178" spans="1:5">
      <c r="A178" s="49"/>
      <c r="B178" s="49" t="s">
        <v>680</v>
      </c>
      <c r="C178" s="63" t="s">
        <v>681</v>
      </c>
      <c r="D178" s="49" t="s">
        <v>3386</v>
      </c>
      <c r="E178" s="49" t="s">
        <v>682</v>
      </c>
    </row>
    <row r="179" spans="1:5">
      <c r="A179" s="49" t="s">
        <v>683</v>
      </c>
      <c r="B179" s="49" t="str">
        <f t="shared" ref="B179:B183" si="4">"SORTTYPE_"&amp;A179</f>
        <v>SORTTYPE_CLASS</v>
      </c>
      <c r="C179" s="49" t="s">
        <v>687</v>
      </c>
      <c r="D179" s="49" t="s">
        <v>688</v>
      </c>
      <c r="E179" s="49" t="s">
        <v>689</v>
      </c>
    </row>
    <row r="180" spans="1:5">
      <c r="A180" s="49" t="s">
        <v>690</v>
      </c>
      <c r="B180" s="49" t="str">
        <f t="shared" si="4"/>
        <v>SORTTYPE_GRADE</v>
      </c>
      <c r="C180" s="49" t="s">
        <v>691</v>
      </c>
      <c r="D180" s="49" t="s">
        <v>692</v>
      </c>
      <c r="E180" s="49" t="s">
        <v>693</v>
      </c>
    </row>
    <row r="181" spans="1:5">
      <c r="A181" s="49" t="s">
        <v>694</v>
      </c>
      <c r="B181" s="49" t="str">
        <f t="shared" si="4"/>
        <v>SORTTYPE_LEVEL</v>
      </c>
      <c r="C181" s="49" t="s">
        <v>697</v>
      </c>
      <c r="D181" s="49" t="s">
        <v>699</v>
      </c>
      <c r="E181" s="49" t="s">
        <v>700</v>
      </c>
    </row>
    <row r="182" spans="1:5">
      <c r="A182" s="49" t="s">
        <v>701</v>
      </c>
      <c r="B182" s="49" t="str">
        <f t="shared" si="4"/>
        <v>SORTTYPE_POWER</v>
      </c>
      <c r="C182" s="49" t="s">
        <v>702</v>
      </c>
      <c r="D182" s="49" t="s">
        <v>703</v>
      </c>
      <c r="E182" s="49" t="s">
        <v>704</v>
      </c>
    </row>
    <row r="183" spans="1:5">
      <c r="A183" s="49" t="s">
        <v>705</v>
      </c>
      <c r="B183" s="49" t="str">
        <f t="shared" si="4"/>
        <v>SORTTYPE_REGION</v>
      </c>
      <c r="C183" s="49" t="s">
        <v>707</v>
      </c>
      <c r="D183" s="49" t="s">
        <v>708</v>
      </c>
      <c r="E183" s="49" t="s">
        <v>709</v>
      </c>
    </row>
    <row r="184" spans="1:5">
      <c r="A184" s="49"/>
      <c r="B184" s="49" t="s">
        <v>712</v>
      </c>
      <c r="C184" s="63" t="s">
        <v>714</v>
      </c>
      <c r="D184" s="49" t="s">
        <v>715</v>
      </c>
      <c r="E184" s="49" t="s">
        <v>716</v>
      </c>
    </row>
    <row r="185" spans="1:5">
      <c r="A185" s="49"/>
      <c r="B185" s="49" t="s">
        <v>717</v>
      </c>
      <c r="C185" s="63" t="s">
        <v>718</v>
      </c>
      <c r="D185" s="49" t="s">
        <v>719</v>
      </c>
      <c r="E185" s="49" t="s">
        <v>720</v>
      </c>
    </row>
    <row r="186" spans="1:5">
      <c r="A186" s="49"/>
      <c r="B186" s="49" t="s">
        <v>721</v>
      </c>
      <c r="C186" s="63" t="s">
        <v>722</v>
      </c>
      <c r="D186" s="49" t="s">
        <v>723</v>
      </c>
      <c r="E186" s="49" t="s">
        <v>724</v>
      </c>
    </row>
    <row r="187" spans="1:5">
      <c r="A187" s="49"/>
      <c r="B187" s="49" t="s">
        <v>725</v>
      </c>
      <c r="C187" s="63" t="s">
        <v>727</v>
      </c>
      <c r="D187" s="49" t="s">
        <v>729</v>
      </c>
      <c r="E187" s="49" t="s">
        <v>731</v>
      </c>
    </row>
    <row r="188" spans="1:5">
      <c r="A188" s="49"/>
      <c r="B188" s="49" t="s">
        <v>732</v>
      </c>
      <c r="C188" s="63" t="s">
        <v>562</v>
      </c>
      <c r="D188" s="49" t="s">
        <v>564</v>
      </c>
      <c r="E188" s="49" t="s">
        <v>566</v>
      </c>
    </row>
    <row r="189" spans="1:5">
      <c r="A189" s="49"/>
      <c r="B189" s="49" t="s">
        <v>733</v>
      </c>
      <c r="C189" s="63" t="s">
        <v>3788</v>
      </c>
      <c r="D189" s="49" t="s">
        <v>734</v>
      </c>
      <c r="E189" s="49" t="s">
        <v>735</v>
      </c>
    </row>
    <row r="190" spans="1:5">
      <c r="A190" s="49"/>
      <c r="B190" s="49" t="s">
        <v>736</v>
      </c>
      <c r="C190" s="63" t="s">
        <v>737</v>
      </c>
      <c r="D190" s="49" t="s">
        <v>738</v>
      </c>
      <c r="E190" s="49" t="s">
        <v>740</v>
      </c>
    </row>
    <row r="191" spans="1:5">
      <c r="A191" s="49"/>
      <c r="B191" s="49" t="s">
        <v>743</v>
      </c>
      <c r="C191" s="49" t="s">
        <v>45</v>
      </c>
      <c r="D191" s="49" t="s">
        <v>47</v>
      </c>
      <c r="E191" s="49" t="s">
        <v>49</v>
      </c>
    </row>
    <row r="192" spans="1:5">
      <c r="A192" s="49"/>
      <c r="B192" s="49" t="s">
        <v>744</v>
      </c>
      <c r="C192" s="63" t="s">
        <v>745</v>
      </c>
      <c r="D192" s="49" t="s">
        <v>746</v>
      </c>
      <c r="E192" s="49" t="s">
        <v>747</v>
      </c>
    </row>
    <row r="193" spans="1:5">
      <c r="A193" s="49"/>
      <c r="B193" s="49" t="s">
        <v>748</v>
      </c>
      <c r="C193" s="63" t="s">
        <v>749</v>
      </c>
      <c r="D193" s="49" t="s">
        <v>750</v>
      </c>
      <c r="E193" s="49" t="s">
        <v>751</v>
      </c>
    </row>
    <row r="194" spans="1:5">
      <c r="A194" s="49"/>
      <c r="B194" s="49" t="s">
        <v>3483</v>
      </c>
      <c r="C194" s="63" t="s">
        <v>749</v>
      </c>
      <c r="D194" s="49" t="s">
        <v>3484</v>
      </c>
      <c r="E194" s="49" t="s">
        <v>751</v>
      </c>
    </row>
    <row r="195" spans="1:5">
      <c r="A195" s="49"/>
      <c r="B195" s="49" t="s">
        <v>752</v>
      </c>
      <c r="C195" s="63" t="s">
        <v>753</v>
      </c>
      <c r="D195" s="49" t="s">
        <v>754</v>
      </c>
      <c r="E195" s="49" t="s">
        <v>755</v>
      </c>
    </row>
    <row r="196" spans="1:5">
      <c r="A196" s="49"/>
      <c r="B196" s="49" t="s">
        <v>758</v>
      </c>
      <c r="C196" s="63" t="s">
        <v>759</v>
      </c>
      <c r="D196" s="49" t="s">
        <v>761</v>
      </c>
      <c r="E196" s="49" t="s">
        <v>762</v>
      </c>
    </row>
    <row r="197" spans="1:5">
      <c r="A197" s="49"/>
      <c r="B197" s="49" t="s">
        <v>763</v>
      </c>
      <c r="C197" s="63" t="s">
        <v>764</v>
      </c>
      <c r="D197" s="49" t="s">
        <v>765</v>
      </c>
      <c r="E197" s="49" t="s">
        <v>766</v>
      </c>
    </row>
    <row r="198" spans="1:5">
      <c r="A198" s="49"/>
      <c r="B198" s="49" t="s">
        <v>3531</v>
      </c>
      <c r="C198" s="63" t="s">
        <v>764</v>
      </c>
      <c r="D198" s="49" t="s">
        <v>3532</v>
      </c>
      <c r="E198" s="49" t="s">
        <v>766</v>
      </c>
    </row>
    <row r="199" spans="1:5">
      <c r="A199" s="49"/>
      <c r="B199" s="49" t="s">
        <v>767</v>
      </c>
      <c r="C199" s="63" t="s">
        <v>768</v>
      </c>
      <c r="D199" s="49" t="s">
        <v>769</v>
      </c>
      <c r="E199" s="49" t="s">
        <v>770</v>
      </c>
    </row>
    <row r="200" spans="1:5">
      <c r="A200" s="49"/>
      <c r="B200" s="49" t="s">
        <v>771</v>
      </c>
      <c r="C200" s="63" t="s">
        <v>772</v>
      </c>
      <c r="D200" s="49" t="s">
        <v>773</v>
      </c>
      <c r="E200" s="49" t="s">
        <v>774</v>
      </c>
    </row>
    <row r="201" spans="1:5">
      <c r="A201" s="49"/>
      <c r="B201" s="49" t="s">
        <v>777</v>
      </c>
      <c r="C201" s="63" t="s">
        <v>779</v>
      </c>
      <c r="D201" s="49" t="s">
        <v>3385</v>
      </c>
      <c r="E201" s="49" t="s">
        <v>780</v>
      </c>
    </row>
    <row r="202" spans="1:5">
      <c r="A202" s="49"/>
      <c r="B202" s="49" t="s">
        <v>781</v>
      </c>
      <c r="C202" s="63" t="s">
        <v>782</v>
      </c>
      <c r="D202" s="49" t="s">
        <v>3384</v>
      </c>
      <c r="E202" s="49" t="s">
        <v>783</v>
      </c>
    </row>
    <row r="203" spans="1:5">
      <c r="A203" s="49"/>
      <c r="B203" s="49" t="s">
        <v>784</v>
      </c>
      <c r="C203" s="63" t="s">
        <v>785</v>
      </c>
      <c r="D203" s="49" t="s">
        <v>3383</v>
      </c>
      <c r="E203" s="49" t="s">
        <v>786</v>
      </c>
    </row>
    <row r="204" spans="1:5">
      <c r="A204" s="49"/>
      <c r="B204" s="49" t="s">
        <v>787</v>
      </c>
      <c r="C204" s="63" t="s">
        <v>788</v>
      </c>
      <c r="D204" s="49" t="s">
        <v>789</v>
      </c>
      <c r="E204" s="49" t="s">
        <v>790</v>
      </c>
    </row>
    <row r="205" spans="1:5">
      <c r="A205" s="49"/>
      <c r="B205" s="49" t="s">
        <v>793</v>
      </c>
      <c r="C205" s="63" t="s">
        <v>795</v>
      </c>
      <c r="D205" s="49" t="s">
        <v>796</v>
      </c>
      <c r="E205" s="49" t="s">
        <v>797</v>
      </c>
    </row>
    <row r="206" spans="1:5">
      <c r="A206" s="49"/>
      <c r="B206" s="49" t="s">
        <v>798</v>
      </c>
      <c r="C206" s="63" t="s">
        <v>3786</v>
      </c>
      <c r="D206" s="49" t="s">
        <v>799</v>
      </c>
      <c r="E206" s="49" t="s">
        <v>554</v>
      </c>
    </row>
    <row r="207" spans="1:5">
      <c r="A207" s="49"/>
      <c r="B207" s="49" t="s">
        <v>800</v>
      </c>
      <c r="C207" s="63" t="s">
        <v>3789</v>
      </c>
      <c r="D207" s="49" t="s">
        <v>801</v>
      </c>
      <c r="E207" s="49" t="s">
        <v>802</v>
      </c>
    </row>
    <row r="208" spans="1:5">
      <c r="A208" s="49"/>
      <c r="B208" s="49" t="s">
        <v>803</v>
      </c>
      <c r="C208" s="63" t="s">
        <v>804</v>
      </c>
      <c r="D208" s="49" t="s">
        <v>805</v>
      </c>
      <c r="E208" s="49" t="s">
        <v>806</v>
      </c>
    </row>
    <row r="209" spans="1:5">
      <c r="A209" s="49"/>
      <c r="B209" s="49" t="s">
        <v>809</v>
      </c>
      <c r="C209" s="63" t="s">
        <v>811</v>
      </c>
      <c r="D209" s="49" t="s">
        <v>812</v>
      </c>
      <c r="E209" s="49" t="s">
        <v>813</v>
      </c>
    </row>
    <row r="210" spans="1:5">
      <c r="A210" s="49"/>
      <c r="B210" s="49" t="s">
        <v>814</v>
      </c>
      <c r="C210" s="63" t="s">
        <v>815</v>
      </c>
      <c r="D210" s="49" t="s">
        <v>816</v>
      </c>
      <c r="E210" s="49" t="s">
        <v>817</v>
      </c>
    </row>
    <row r="211" spans="1:5">
      <c r="A211" s="49"/>
      <c r="B211" s="49" t="s">
        <v>819</v>
      </c>
      <c r="C211" s="63" t="s">
        <v>820</v>
      </c>
      <c r="D211" s="49" t="s">
        <v>3499</v>
      </c>
      <c r="E211" s="49" t="s">
        <v>821</v>
      </c>
    </row>
    <row r="212" spans="1:5">
      <c r="A212" s="49"/>
      <c r="B212" s="49" t="s">
        <v>822</v>
      </c>
      <c r="C212" s="63" t="s">
        <v>823</v>
      </c>
      <c r="D212" s="49" t="s">
        <v>824</v>
      </c>
      <c r="E212" s="49" t="s">
        <v>825</v>
      </c>
    </row>
    <row r="213" spans="1:5">
      <c r="A213" s="49"/>
      <c r="B213" s="49" t="s">
        <v>828</v>
      </c>
      <c r="C213" s="63" t="s">
        <v>829</v>
      </c>
      <c r="D213" s="49" t="s">
        <v>830</v>
      </c>
      <c r="E213" s="49" t="s">
        <v>832</v>
      </c>
    </row>
    <row r="214" spans="1:5">
      <c r="A214" s="49"/>
      <c r="B214" s="49" t="s">
        <v>833</v>
      </c>
      <c r="C214" s="63" t="s">
        <v>834</v>
      </c>
      <c r="D214" s="49" t="s">
        <v>835</v>
      </c>
      <c r="E214" s="49" t="s">
        <v>836</v>
      </c>
    </row>
    <row r="215" spans="1:5">
      <c r="A215" s="49"/>
      <c r="B215" s="49" t="s">
        <v>837</v>
      </c>
      <c r="C215" s="63" t="s">
        <v>838</v>
      </c>
      <c r="D215" s="49" t="s">
        <v>839</v>
      </c>
      <c r="E215" s="49" t="s">
        <v>840</v>
      </c>
    </row>
    <row r="216" spans="1:5">
      <c r="A216" s="49"/>
      <c r="B216" s="49" t="s">
        <v>841</v>
      </c>
      <c r="C216" s="63" t="s">
        <v>842</v>
      </c>
      <c r="D216" s="49" t="s">
        <v>843</v>
      </c>
      <c r="E216" s="49" t="s">
        <v>844</v>
      </c>
    </row>
    <row r="217" spans="1:5">
      <c r="A217" s="49" t="s">
        <v>846</v>
      </c>
      <c r="B217" s="49" t="str">
        <f t="shared" ref="B217:B220" si="5">"UI_FILTER_"&amp;UPPER(A217)</f>
        <v>UI_FILTER_CLASS</v>
      </c>
      <c r="C217" s="63" t="s">
        <v>687</v>
      </c>
      <c r="D217" s="49" t="s">
        <v>688</v>
      </c>
      <c r="E217" s="49" t="s">
        <v>689</v>
      </c>
    </row>
    <row r="218" spans="1:5">
      <c r="A218" s="49" t="s">
        <v>849</v>
      </c>
      <c r="B218" s="49" t="str">
        <f t="shared" si="5"/>
        <v>UI_FILTER_GRADE</v>
      </c>
      <c r="C218" s="63" t="s">
        <v>691</v>
      </c>
      <c r="D218" s="49" t="s">
        <v>692</v>
      </c>
      <c r="E218" s="49" t="s">
        <v>693</v>
      </c>
    </row>
    <row r="219" spans="1:5">
      <c r="A219" s="49" t="s">
        <v>853</v>
      </c>
      <c r="B219" s="49" t="str">
        <f t="shared" si="5"/>
        <v>UI_FILTER_REGION</v>
      </c>
      <c r="C219" s="63" t="s">
        <v>707</v>
      </c>
      <c r="D219" s="49" t="s">
        <v>708</v>
      </c>
      <c r="E219" s="49" t="s">
        <v>709</v>
      </c>
    </row>
    <row r="220" spans="1:5">
      <c r="A220" s="49" t="s">
        <v>854</v>
      </c>
      <c r="B220" s="49" t="str">
        <f t="shared" si="5"/>
        <v>UI_FILTER_SORT</v>
      </c>
      <c r="C220" s="63" t="s">
        <v>855</v>
      </c>
      <c r="D220" s="49" t="s">
        <v>856</v>
      </c>
      <c r="E220" s="49" t="s">
        <v>857</v>
      </c>
    </row>
    <row r="221" spans="1:5">
      <c r="A221" s="49"/>
      <c r="B221" s="49" t="s">
        <v>858</v>
      </c>
      <c r="C221" s="63" t="s">
        <v>859</v>
      </c>
      <c r="D221" s="49" t="s">
        <v>860</v>
      </c>
      <c r="E221" s="49" t="s">
        <v>861</v>
      </c>
    </row>
    <row r="222" spans="1:5">
      <c r="A222" s="49"/>
      <c r="B222" s="49" t="s">
        <v>863</v>
      </c>
      <c r="C222" s="63" t="s">
        <v>571</v>
      </c>
      <c r="D222" s="49" t="s">
        <v>572</v>
      </c>
      <c r="E222" s="49" t="s">
        <v>573</v>
      </c>
    </row>
    <row r="223" spans="1:5">
      <c r="A223" s="49"/>
      <c r="B223" s="49" t="s">
        <v>866</v>
      </c>
      <c r="C223" s="63" t="s">
        <v>691</v>
      </c>
      <c r="D223" s="49" t="s">
        <v>3421</v>
      </c>
      <c r="E223" s="49" t="s">
        <v>693</v>
      </c>
    </row>
    <row r="224" spans="1:5">
      <c r="A224" s="49"/>
      <c r="B224" s="49" t="s">
        <v>867</v>
      </c>
      <c r="C224" s="63" t="s">
        <v>868</v>
      </c>
      <c r="D224" s="49" t="s">
        <v>869</v>
      </c>
      <c r="E224" s="49" t="s">
        <v>870</v>
      </c>
    </row>
    <row r="225" spans="1:5">
      <c r="A225" s="49"/>
      <c r="B225" s="49" t="s">
        <v>871</v>
      </c>
      <c r="C225" s="63" t="s">
        <v>872</v>
      </c>
      <c r="D225" s="49" t="s">
        <v>873</v>
      </c>
      <c r="E225" s="49" t="s">
        <v>874</v>
      </c>
    </row>
    <row r="226" spans="1:5">
      <c r="A226" s="49"/>
      <c r="B226" s="49" t="s">
        <v>875</v>
      </c>
      <c r="C226" s="63" t="s">
        <v>876</v>
      </c>
      <c r="D226" s="49" t="s">
        <v>3380</v>
      </c>
      <c r="E226" s="49" t="s">
        <v>878</v>
      </c>
    </row>
    <row r="227" spans="1:5">
      <c r="A227" s="49"/>
      <c r="B227" s="49" t="s">
        <v>881</v>
      </c>
      <c r="C227" s="63" t="s">
        <v>882</v>
      </c>
      <c r="D227" s="49" t="s">
        <v>883</v>
      </c>
      <c r="E227" s="49" t="s">
        <v>884</v>
      </c>
    </row>
    <row r="228" spans="1:5">
      <c r="A228" s="49"/>
      <c r="B228" s="49" t="s">
        <v>885</v>
      </c>
      <c r="C228" s="63" t="s">
        <v>886</v>
      </c>
      <c r="D228" s="49" t="s">
        <v>887</v>
      </c>
      <c r="E228" s="49" t="s">
        <v>888</v>
      </c>
    </row>
    <row r="229" spans="1:5">
      <c r="A229" s="49"/>
      <c r="B229" s="49" t="s">
        <v>889</v>
      </c>
      <c r="C229" s="63" t="s">
        <v>891</v>
      </c>
      <c r="D229" s="49" t="s">
        <v>893</v>
      </c>
      <c r="E229" s="49" t="s">
        <v>895</v>
      </c>
    </row>
    <row r="230" spans="1:5">
      <c r="A230" s="49"/>
      <c r="B230" s="49" t="s">
        <v>896</v>
      </c>
      <c r="C230" s="63" t="s">
        <v>897</v>
      </c>
      <c r="D230" s="49" t="s">
        <v>898</v>
      </c>
      <c r="E230" s="49" t="s">
        <v>899</v>
      </c>
    </row>
    <row r="231" spans="1:5">
      <c r="A231" s="49"/>
      <c r="B231" s="49" t="s">
        <v>900</v>
      </c>
      <c r="C231" s="63" t="s">
        <v>901</v>
      </c>
      <c r="D231" s="49" t="s">
        <v>3381</v>
      </c>
      <c r="E231" s="49" t="s">
        <v>902</v>
      </c>
    </row>
    <row r="232" spans="1:5">
      <c r="A232" s="49"/>
      <c r="B232" s="49" t="s">
        <v>3768</v>
      </c>
      <c r="C232" s="63" t="s">
        <v>903</v>
      </c>
      <c r="D232" s="49" t="s">
        <v>904</v>
      </c>
      <c r="E232" s="49" t="s">
        <v>905</v>
      </c>
    </row>
    <row r="233" spans="1:5">
      <c r="A233" s="49"/>
      <c r="B233" s="49" t="s">
        <v>906</v>
      </c>
      <c r="C233" s="63" t="s">
        <v>907</v>
      </c>
      <c r="D233" s="49" t="s">
        <v>3382</v>
      </c>
      <c r="E233" s="49" t="s">
        <v>908</v>
      </c>
    </row>
    <row r="234" spans="1:5">
      <c r="A234" s="49"/>
      <c r="B234" s="49" t="s">
        <v>3767</v>
      </c>
      <c r="C234" s="63" t="s">
        <v>912</v>
      </c>
      <c r="D234" s="49" t="s">
        <v>913</v>
      </c>
      <c r="E234" s="49" t="s">
        <v>914</v>
      </c>
    </row>
    <row r="235" spans="1:5">
      <c r="A235" s="49"/>
      <c r="B235" s="49" t="s">
        <v>3766</v>
      </c>
      <c r="C235" s="63" t="s">
        <v>915</v>
      </c>
      <c r="D235" s="49" t="s">
        <v>916</v>
      </c>
      <c r="E235" s="49" t="s">
        <v>917</v>
      </c>
    </row>
    <row r="236" spans="1:5">
      <c r="A236" s="49"/>
      <c r="B236" s="49" t="s">
        <v>919</v>
      </c>
      <c r="C236" s="63" t="s">
        <v>920</v>
      </c>
      <c r="D236" s="49" t="s">
        <v>3378</v>
      </c>
      <c r="E236" s="49" t="s">
        <v>923</v>
      </c>
    </row>
    <row r="237" spans="1:5">
      <c r="A237" s="49"/>
      <c r="B237" s="49" t="s">
        <v>924</v>
      </c>
      <c r="C237" s="63" t="s">
        <v>925</v>
      </c>
      <c r="D237" s="49" t="s">
        <v>3379</v>
      </c>
      <c r="E237" s="49" t="s">
        <v>926</v>
      </c>
    </row>
    <row r="238" spans="1:5">
      <c r="A238" s="49"/>
      <c r="B238" s="49" t="s">
        <v>927</v>
      </c>
      <c r="C238" s="63" t="s">
        <v>928</v>
      </c>
      <c r="D238" s="49" t="s">
        <v>929</v>
      </c>
      <c r="E238" s="49" t="s">
        <v>930</v>
      </c>
    </row>
    <row r="239" spans="1:5">
      <c r="A239" s="49"/>
      <c r="B239" s="49" t="s">
        <v>931</v>
      </c>
      <c r="C239" s="63" t="s">
        <v>932</v>
      </c>
      <c r="D239" s="49" t="s">
        <v>934</v>
      </c>
      <c r="E239" s="49" t="s">
        <v>936</v>
      </c>
    </row>
    <row r="240" spans="1:5">
      <c r="A240" s="49"/>
      <c r="B240" s="49" t="s">
        <v>938</v>
      </c>
      <c r="C240" s="63" t="s">
        <v>939</v>
      </c>
      <c r="D240" s="49" t="s">
        <v>940</v>
      </c>
      <c r="E240" s="49" t="s">
        <v>941</v>
      </c>
    </row>
    <row r="241" spans="1:5">
      <c r="A241" s="49"/>
      <c r="B241" s="49" t="s">
        <v>942</v>
      </c>
      <c r="C241" s="63" t="s">
        <v>943</v>
      </c>
      <c r="D241" s="49" t="s">
        <v>944</v>
      </c>
      <c r="E241" s="49" t="s">
        <v>945</v>
      </c>
    </row>
    <row r="242" spans="1:5">
      <c r="A242" s="49"/>
      <c r="B242" s="49" t="s">
        <v>947</v>
      </c>
      <c r="C242" s="63" t="s">
        <v>949</v>
      </c>
      <c r="D242" s="49" t="s">
        <v>3422</v>
      </c>
      <c r="E242" s="49" t="s">
        <v>951</v>
      </c>
    </row>
    <row r="243" spans="1:5">
      <c r="A243" s="49"/>
      <c r="B243" s="49" t="s">
        <v>952</v>
      </c>
      <c r="C243" s="63" t="s">
        <v>953</v>
      </c>
      <c r="D243" s="49" t="s">
        <v>954</v>
      </c>
      <c r="E243" s="49" t="s">
        <v>955</v>
      </c>
    </row>
    <row r="244" spans="1:5">
      <c r="A244" s="49"/>
      <c r="B244" s="49" t="s">
        <v>956</v>
      </c>
      <c r="C244" s="63" t="s">
        <v>957</v>
      </c>
      <c r="D244" s="49" t="s">
        <v>958</v>
      </c>
      <c r="E244" s="49" t="s">
        <v>959</v>
      </c>
    </row>
    <row r="245" spans="1:5">
      <c r="A245" s="49"/>
      <c r="B245" s="49" t="s">
        <v>961</v>
      </c>
      <c r="C245" s="63" t="s">
        <v>963</v>
      </c>
      <c r="D245" s="49" t="s">
        <v>3480</v>
      </c>
      <c r="E245" s="49" t="s">
        <v>965</v>
      </c>
    </row>
    <row r="246" spans="1:5">
      <c r="A246" s="49"/>
      <c r="B246" s="49" t="s">
        <v>966</v>
      </c>
      <c r="C246" s="63" t="s">
        <v>556</v>
      </c>
      <c r="D246" s="49" t="s">
        <v>557</v>
      </c>
      <c r="E246" s="49" t="s">
        <v>559</v>
      </c>
    </row>
    <row r="247" spans="1:5">
      <c r="A247" s="49"/>
      <c r="B247" s="49" t="s">
        <v>967</v>
      </c>
      <c r="C247" s="63" t="s">
        <v>968</v>
      </c>
      <c r="D247" s="49" t="s">
        <v>969</v>
      </c>
      <c r="E247" s="49" t="s">
        <v>970</v>
      </c>
    </row>
    <row r="248" spans="1:5">
      <c r="A248" s="49"/>
      <c r="B248" s="49" t="s">
        <v>973</v>
      </c>
      <c r="C248" s="63" t="s">
        <v>975</v>
      </c>
      <c r="D248" s="49" t="s">
        <v>976</v>
      </c>
      <c r="E248" s="49" t="s">
        <v>977</v>
      </c>
    </row>
    <row r="249" spans="1:5">
      <c r="A249" s="49"/>
      <c r="B249" s="49" t="s">
        <v>978</v>
      </c>
      <c r="C249" s="63" t="s">
        <v>979</v>
      </c>
      <c r="D249" s="49" t="s">
        <v>980</v>
      </c>
      <c r="E249" s="49" t="s">
        <v>981</v>
      </c>
    </row>
    <row r="250" spans="1:5">
      <c r="A250" s="49"/>
      <c r="B250" s="49" t="s">
        <v>982</v>
      </c>
      <c r="C250" s="63" t="s">
        <v>983</v>
      </c>
      <c r="D250" s="49" t="s">
        <v>984</v>
      </c>
      <c r="E250" s="49" t="s">
        <v>986</v>
      </c>
    </row>
    <row r="251" spans="1:5">
      <c r="A251" s="49"/>
      <c r="B251" s="49" t="s">
        <v>989</v>
      </c>
      <c r="C251" s="63" t="s">
        <v>990</v>
      </c>
      <c r="D251" s="49" t="s">
        <v>991</v>
      </c>
      <c r="E251" s="49" t="s">
        <v>992</v>
      </c>
    </row>
    <row r="252" spans="1:5">
      <c r="A252" s="49"/>
      <c r="B252" s="49" t="s">
        <v>993</v>
      </c>
      <c r="C252" s="63" t="s">
        <v>994</v>
      </c>
      <c r="D252" s="49" t="s">
        <v>995</v>
      </c>
      <c r="E252" s="49" t="s">
        <v>996</v>
      </c>
    </row>
    <row r="253" spans="1:5">
      <c r="A253" s="49"/>
      <c r="B253" s="49" t="s">
        <v>997</v>
      </c>
      <c r="C253" s="63" t="s">
        <v>998</v>
      </c>
      <c r="D253" s="49" t="s">
        <v>1000</v>
      </c>
      <c r="E253" s="49" t="s">
        <v>1002</v>
      </c>
    </row>
    <row r="254" spans="1:5">
      <c r="A254" s="49"/>
      <c r="B254" s="49" t="s">
        <v>1004</v>
      </c>
      <c r="C254" s="63" t="s">
        <v>1005</v>
      </c>
      <c r="D254" s="49" t="s">
        <v>1006</v>
      </c>
      <c r="E254" s="49" t="s">
        <v>1007</v>
      </c>
    </row>
    <row r="255" spans="1:5">
      <c r="A255" s="49"/>
      <c r="B255" s="49" t="s">
        <v>1008</v>
      </c>
      <c r="C255" s="63" t="s">
        <v>136</v>
      </c>
      <c r="D255" s="49" t="s">
        <v>1009</v>
      </c>
      <c r="E255" s="49" t="s">
        <v>140</v>
      </c>
    </row>
    <row r="256" spans="1:5">
      <c r="A256" s="49"/>
      <c r="B256" s="49" t="s">
        <v>1011</v>
      </c>
      <c r="C256" s="63" t="s">
        <v>3790</v>
      </c>
      <c r="D256" s="49" t="s">
        <v>1013</v>
      </c>
      <c r="E256" s="49" t="s">
        <v>1015</v>
      </c>
    </row>
    <row r="257" spans="1:5">
      <c r="A257" s="49"/>
      <c r="B257" s="49" t="s">
        <v>1016</v>
      </c>
      <c r="C257" s="63" t="s">
        <v>488</v>
      </c>
      <c r="D257" s="49" t="s">
        <v>1017</v>
      </c>
      <c r="E257" s="49" t="s">
        <v>489</v>
      </c>
    </row>
    <row r="258" spans="1:5">
      <c r="A258" s="49"/>
      <c r="B258" s="49" t="s">
        <v>1018</v>
      </c>
      <c r="C258" s="63" t="s">
        <v>1019</v>
      </c>
      <c r="D258" s="49" t="s">
        <v>1020</v>
      </c>
      <c r="E258" s="49" t="s">
        <v>1021</v>
      </c>
    </row>
    <row r="259" spans="1:5">
      <c r="A259" s="49"/>
      <c r="B259" s="49" t="s">
        <v>1023</v>
      </c>
      <c r="C259" s="63" t="s">
        <v>1025</v>
      </c>
      <c r="D259" s="49" t="s">
        <v>1027</v>
      </c>
      <c r="E259" s="49" t="s">
        <v>1028</v>
      </c>
    </row>
    <row r="260" spans="1:5">
      <c r="A260" s="49"/>
      <c r="B260" s="49" t="s">
        <v>1029</v>
      </c>
      <c r="C260" s="63" t="s">
        <v>1030</v>
      </c>
      <c r="D260" s="49" t="s">
        <v>1031</v>
      </c>
      <c r="E260" s="49" t="s">
        <v>1032</v>
      </c>
    </row>
    <row r="261" spans="1:5">
      <c r="A261" s="49"/>
      <c r="B261" s="49" t="s">
        <v>1033</v>
      </c>
      <c r="C261" s="63" t="s">
        <v>1034</v>
      </c>
      <c r="D261" s="49" t="s">
        <v>1035</v>
      </c>
      <c r="E261" s="49" t="s">
        <v>1036</v>
      </c>
    </row>
    <row r="262" spans="1:5">
      <c r="A262" s="49"/>
      <c r="B262" s="49" t="s">
        <v>1038</v>
      </c>
      <c r="C262" s="63" t="s">
        <v>1040</v>
      </c>
      <c r="D262" s="49" t="s">
        <v>1041</v>
      </c>
      <c r="E262" s="49" t="s">
        <v>1043</v>
      </c>
    </row>
    <row r="263" spans="1:5">
      <c r="A263" s="49"/>
      <c r="B263" s="49" t="s">
        <v>1044</v>
      </c>
      <c r="C263" s="49" t="s">
        <v>1045</v>
      </c>
      <c r="D263" s="49" t="s">
        <v>1046</v>
      </c>
      <c r="E263" s="49" t="s">
        <v>1047</v>
      </c>
    </row>
    <row r="264" spans="1:5">
      <c r="A264" s="49"/>
      <c r="B264" s="49" t="s">
        <v>1048</v>
      </c>
      <c r="C264" s="49" t="s">
        <v>1049</v>
      </c>
      <c r="D264" s="49" t="s">
        <v>1050</v>
      </c>
      <c r="E264" s="49" t="s">
        <v>1051</v>
      </c>
    </row>
    <row r="265" spans="1:5">
      <c r="A265" s="49"/>
      <c r="B265" s="49" t="s">
        <v>1054</v>
      </c>
      <c r="C265" s="49" t="s">
        <v>3791</v>
      </c>
      <c r="D265" s="49" t="s">
        <v>1056</v>
      </c>
      <c r="E265" s="49" t="s">
        <v>1057</v>
      </c>
    </row>
    <row r="266" spans="1:5">
      <c r="A266" s="49"/>
      <c r="B266" s="49" t="s">
        <v>1058</v>
      </c>
      <c r="C266" s="49" t="s">
        <v>1059</v>
      </c>
      <c r="D266" s="49" t="s">
        <v>1060</v>
      </c>
      <c r="E266" s="49" t="s">
        <v>1061</v>
      </c>
    </row>
    <row r="267" spans="1:5">
      <c r="A267" s="49"/>
      <c r="B267" s="49" t="s">
        <v>1062</v>
      </c>
      <c r="C267" s="49" t="s">
        <v>1063</v>
      </c>
      <c r="D267" s="49" t="s">
        <v>1064</v>
      </c>
      <c r="E267" s="49" t="s">
        <v>1065</v>
      </c>
    </row>
    <row r="268" spans="1:5">
      <c r="A268" s="49"/>
      <c r="B268" s="49" t="s">
        <v>1066</v>
      </c>
      <c r="C268" s="49" t="s">
        <v>3792</v>
      </c>
      <c r="D268" s="49" t="s">
        <v>1067</v>
      </c>
      <c r="E268" s="49" t="s">
        <v>1069</v>
      </c>
    </row>
    <row r="269" spans="1:5">
      <c r="A269" s="49"/>
      <c r="B269" s="49" t="s">
        <v>1071</v>
      </c>
      <c r="C269" s="49" t="s">
        <v>1073</v>
      </c>
      <c r="D269" s="49" t="s">
        <v>1074</v>
      </c>
      <c r="E269" s="49" t="s">
        <v>1075</v>
      </c>
    </row>
    <row r="270" spans="1:5">
      <c r="A270" s="49"/>
      <c r="B270" s="49" t="s">
        <v>1076</v>
      </c>
      <c r="C270" s="49" t="s">
        <v>1077</v>
      </c>
      <c r="D270" s="49" t="s">
        <v>1078</v>
      </c>
      <c r="E270" s="49" t="s">
        <v>1079</v>
      </c>
    </row>
    <row r="271" spans="1:5">
      <c r="A271" s="49"/>
      <c r="B271" s="49" t="s">
        <v>1080</v>
      </c>
      <c r="C271" s="49" t="s">
        <v>1081</v>
      </c>
      <c r="D271" s="49" t="s">
        <v>1082</v>
      </c>
      <c r="E271" s="49" t="s">
        <v>1083</v>
      </c>
    </row>
    <row r="272" spans="1:5">
      <c r="A272" s="49"/>
      <c r="B272" s="49" t="s">
        <v>1084</v>
      </c>
      <c r="C272" s="49" t="s">
        <v>1085</v>
      </c>
      <c r="D272" s="49" t="s">
        <v>1086</v>
      </c>
      <c r="E272" s="49" t="s">
        <v>1087</v>
      </c>
    </row>
    <row r="273" spans="1:5">
      <c r="A273" s="49"/>
      <c r="B273" s="49" t="s">
        <v>1089</v>
      </c>
      <c r="C273" s="49" t="s">
        <v>1091</v>
      </c>
      <c r="D273" s="49" t="s">
        <v>1092</v>
      </c>
      <c r="E273" s="49" t="s">
        <v>1094</v>
      </c>
    </row>
    <row r="274" spans="1:5">
      <c r="A274" s="49"/>
      <c r="B274" s="49" t="s">
        <v>1095</v>
      </c>
      <c r="C274" s="49" t="s">
        <v>1096</v>
      </c>
      <c r="D274" s="49" t="s">
        <v>1097</v>
      </c>
      <c r="E274" s="49" t="s">
        <v>1098</v>
      </c>
    </row>
    <row r="275" spans="1:5">
      <c r="A275" s="49"/>
      <c r="B275" s="49" t="s">
        <v>1099</v>
      </c>
      <c r="C275" s="49" t="s">
        <v>1100</v>
      </c>
      <c r="D275" s="49" t="s">
        <v>1101</v>
      </c>
      <c r="E275" s="49" t="s">
        <v>1102</v>
      </c>
    </row>
    <row r="276" spans="1:5">
      <c r="A276" s="49"/>
      <c r="B276" s="49" t="s">
        <v>1104</v>
      </c>
      <c r="C276" s="49" t="s">
        <v>1106</v>
      </c>
      <c r="D276" s="49" t="s">
        <v>1108</v>
      </c>
      <c r="E276" s="49" t="s">
        <v>1109</v>
      </c>
    </row>
    <row r="277" spans="1:5">
      <c r="A277" s="49"/>
      <c r="B277" s="49" t="s">
        <v>1111</v>
      </c>
      <c r="C277" s="49" t="s">
        <v>1112</v>
      </c>
      <c r="D277" s="49" t="s">
        <v>1113</v>
      </c>
      <c r="E277" s="49" t="s">
        <v>1114</v>
      </c>
    </row>
    <row r="278" spans="1:5">
      <c r="A278" s="49" t="s">
        <v>1115</v>
      </c>
      <c r="B278" s="49" t="str">
        <f t="shared" ref="B278:B280" si="6">"UI_TOURNAMENT_"&amp;UPPER(A278)</f>
        <v>UI_TOURNAMENT_TITLE</v>
      </c>
      <c r="C278" s="63" t="s">
        <v>1120</v>
      </c>
      <c r="D278" s="49" t="s">
        <v>1121</v>
      </c>
      <c r="E278" s="49" t="s">
        <v>1122</v>
      </c>
    </row>
    <row r="279" spans="1:5">
      <c r="A279" s="49" t="s">
        <v>3481</v>
      </c>
      <c r="B279" s="49" t="str">
        <f t="shared" ref="B279" si="7">"UI_TOURNAMENT_"&amp;UPPER(A279)</f>
        <v>UI_TOURNAMENT_TITLE_S</v>
      </c>
      <c r="C279" s="63" t="s">
        <v>1120</v>
      </c>
      <c r="D279" s="49" t="s">
        <v>3482</v>
      </c>
      <c r="E279" s="49" t="s">
        <v>1122</v>
      </c>
    </row>
    <row r="280" spans="1:5">
      <c r="A280" s="49" t="s">
        <v>1123</v>
      </c>
      <c r="B280" s="49" t="str">
        <f t="shared" si="6"/>
        <v>UI_TOURNAMENT_RANK_NOW</v>
      </c>
      <c r="C280" s="49" t="s">
        <v>1124</v>
      </c>
      <c r="D280" s="49" t="s">
        <v>1125</v>
      </c>
      <c r="E280" s="49" t="s">
        <v>1128</v>
      </c>
    </row>
    <row r="281" spans="1:5">
      <c r="A281" s="49"/>
      <c r="B281" s="49" t="s">
        <v>1131</v>
      </c>
      <c r="C281" s="49" t="s">
        <v>1132</v>
      </c>
      <c r="D281" s="49" t="s">
        <v>1133</v>
      </c>
      <c r="E281" s="49" t="s">
        <v>1134</v>
      </c>
    </row>
    <row r="282" spans="1:5">
      <c r="A282" s="49" t="s">
        <v>1135</v>
      </c>
      <c r="B282" s="49" t="str">
        <f>"UI_"&amp;UPPER(A282)</f>
        <v>UI_CHALLENGE</v>
      </c>
      <c r="C282" s="49" t="s">
        <v>1144</v>
      </c>
      <c r="D282" s="49" t="s">
        <v>1145</v>
      </c>
      <c r="E282" s="49" t="s">
        <v>1146</v>
      </c>
    </row>
    <row r="283" spans="1:5">
      <c r="A283" s="49"/>
      <c r="B283" s="49" t="s">
        <v>1147</v>
      </c>
      <c r="C283" s="49" t="s">
        <v>1148</v>
      </c>
      <c r="D283" s="49" t="s">
        <v>1149</v>
      </c>
      <c r="E283" s="49" t="s">
        <v>1150</v>
      </c>
    </row>
    <row r="284" spans="1:5">
      <c r="A284" s="49"/>
      <c r="B284" s="49" t="s">
        <v>1154</v>
      </c>
      <c r="C284" s="49" t="s">
        <v>1155</v>
      </c>
      <c r="D284" s="49" t="s">
        <v>1157</v>
      </c>
      <c r="E284" s="49" t="s">
        <v>1158</v>
      </c>
    </row>
    <row r="285" spans="1:5">
      <c r="A285" s="49" t="s">
        <v>1159</v>
      </c>
      <c r="B285" s="49" t="str">
        <f t="shared" ref="B285:B289" si="8">"UI_TOURNAMENT_"&amp;UPPER(A285)</f>
        <v>UI_TOURNAMENT_HISTORY</v>
      </c>
      <c r="C285" s="49" t="s">
        <v>1164</v>
      </c>
      <c r="D285" s="49" t="s">
        <v>1165</v>
      </c>
      <c r="E285" s="49" t="s">
        <v>1166</v>
      </c>
    </row>
    <row r="286" spans="1:5">
      <c r="A286" s="49" t="s">
        <v>1167</v>
      </c>
      <c r="B286" s="49" t="str">
        <f t="shared" si="8"/>
        <v>UI_TOURNAMENT_INFO_REWARD</v>
      </c>
      <c r="C286" s="49" t="s">
        <v>1169</v>
      </c>
      <c r="D286" s="49" t="s">
        <v>1171</v>
      </c>
      <c r="E286" s="49" t="s">
        <v>1173</v>
      </c>
    </row>
    <row r="287" spans="1:5">
      <c r="A287" s="49" t="s">
        <v>1175</v>
      </c>
      <c r="B287" s="49" t="str">
        <f t="shared" si="8"/>
        <v>UI_TOURNAMENT_POINT</v>
      </c>
      <c r="C287" s="49" t="s">
        <v>1176</v>
      </c>
      <c r="D287" s="49" t="s">
        <v>1177</v>
      </c>
      <c r="E287" s="49" t="s">
        <v>1178</v>
      </c>
    </row>
    <row r="288" spans="1:5">
      <c r="A288" s="49" t="s">
        <v>1179</v>
      </c>
      <c r="B288" s="49" t="str">
        <f t="shared" si="8"/>
        <v>UI_TOURNAMENT_WIN</v>
      </c>
      <c r="C288" s="49" t="s">
        <v>1182</v>
      </c>
      <c r="D288" s="49" t="s">
        <v>1183</v>
      </c>
      <c r="E288" s="49" t="s">
        <v>1185</v>
      </c>
    </row>
    <row r="289" spans="1:5">
      <c r="A289" s="49" t="s">
        <v>1187</v>
      </c>
      <c r="B289" s="49" t="str">
        <f t="shared" si="8"/>
        <v>UI_TOURNAMENT_WINNING</v>
      </c>
      <c r="C289" s="49" t="s">
        <v>1188</v>
      </c>
      <c r="D289" s="49" t="s">
        <v>1189</v>
      </c>
      <c r="E289" s="49" t="s">
        <v>1190</v>
      </c>
    </row>
    <row r="290" spans="1:5">
      <c r="A290" s="49"/>
      <c r="B290" s="49" t="s">
        <v>1191</v>
      </c>
      <c r="C290" s="49" t="s">
        <v>1194</v>
      </c>
      <c r="D290" s="49" t="s">
        <v>1194</v>
      </c>
      <c r="E290" s="49" t="s">
        <v>1194</v>
      </c>
    </row>
    <row r="291" spans="1:5">
      <c r="A291" s="49"/>
      <c r="B291" s="49" t="s">
        <v>1197</v>
      </c>
      <c r="C291" s="49" t="s">
        <v>1198</v>
      </c>
      <c r="D291" s="49" t="s">
        <v>1199</v>
      </c>
      <c r="E291" s="49" t="s">
        <v>1200</v>
      </c>
    </row>
    <row r="292" spans="1:5">
      <c r="A292" s="49"/>
      <c r="B292" s="49" t="s">
        <v>1201</v>
      </c>
      <c r="C292" s="49" t="s">
        <v>1188</v>
      </c>
      <c r="D292" s="49" t="s">
        <v>1203</v>
      </c>
      <c r="E292" s="49" t="s">
        <v>1190</v>
      </c>
    </row>
    <row r="293" spans="1:5">
      <c r="A293" s="49"/>
      <c r="B293" s="49" t="s">
        <v>1207</v>
      </c>
      <c r="C293" s="49" t="s">
        <v>670</v>
      </c>
      <c r="D293" s="49" t="s">
        <v>1208</v>
      </c>
      <c r="E293" s="49" t="s">
        <v>1209</v>
      </c>
    </row>
    <row r="294" spans="1:5">
      <c r="A294" s="49"/>
      <c r="B294" s="49" t="s">
        <v>1210</v>
      </c>
      <c r="C294" s="49" t="s">
        <v>1211</v>
      </c>
      <c r="D294" s="49" t="s">
        <v>1212</v>
      </c>
      <c r="E294" s="49" t="s">
        <v>1213</v>
      </c>
    </row>
    <row r="295" spans="1:5">
      <c r="A295" s="49"/>
      <c r="B295" s="49" t="s">
        <v>1217</v>
      </c>
      <c r="C295" s="49" t="s">
        <v>1219</v>
      </c>
      <c r="D295" s="49" t="s">
        <v>1220</v>
      </c>
      <c r="E295" s="49" t="s">
        <v>1221</v>
      </c>
    </row>
    <row r="296" spans="1:5">
      <c r="A296" s="49" t="s">
        <v>1222</v>
      </c>
      <c r="B296" s="49" t="str">
        <f t="shared" ref="B296:B297" si="9">"UI_TOURNAMENT_"&amp;UPPER(A296)</f>
        <v>UI_TOURNAMENT_BATCH</v>
      </c>
      <c r="C296" s="49" t="s">
        <v>1224</v>
      </c>
      <c r="D296" s="49" t="s">
        <v>1225</v>
      </c>
      <c r="E296" s="49" t="s">
        <v>1226</v>
      </c>
    </row>
    <row r="297" spans="1:5">
      <c r="A297" s="49" t="s">
        <v>1227</v>
      </c>
      <c r="B297" s="49" t="str">
        <f t="shared" si="9"/>
        <v>UI_TOURNAMENT_AFTER_ADD_REFRESH_COUNT</v>
      </c>
      <c r="C297" s="49" t="s">
        <v>1228</v>
      </c>
      <c r="D297" s="49" t="s">
        <v>1229</v>
      </c>
      <c r="E297" s="49" t="s">
        <v>1230</v>
      </c>
    </row>
    <row r="298" spans="1:5">
      <c r="A298" s="49"/>
      <c r="B298" s="49" t="s">
        <v>1233</v>
      </c>
      <c r="C298" s="49" t="s">
        <v>1234</v>
      </c>
      <c r="D298" s="49" t="s">
        <v>1235</v>
      </c>
      <c r="E298" s="49" t="s">
        <v>1236</v>
      </c>
    </row>
    <row r="299" spans="1:5">
      <c r="A299" s="49"/>
      <c r="B299" s="49" t="s">
        <v>1237</v>
      </c>
      <c r="C299" s="49" t="s">
        <v>1238</v>
      </c>
      <c r="D299" s="49" t="s">
        <v>1239</v>
      </c>
      <c r="E299" s="49" t="s">
        <v>1240</v>
      </c>
    </row>
    <row r="300" spans="1:5">
      <c r="A300" s="49" t="s">
        <v>1241</v>
      </c>
      <c r="B300" s="49" t="str">
        <f t="shared" ref="B300:B302" si="10">"UI_TOURNAMENT_"&amp;UPPER(A300)</f>
        <v>UI_TOURNAMENT_BATCH_TITLE</v>
      </c>
      <c r="C300" s="49" t="s">
        <v>3793</v>
      </c>
      <c r="D300" s="49" t="s">
        <v>1244</v>
      </c>
      <c r="E300" s="49" t="s">
        <v>1245</v>
      </c>
    </row>
    <row r="301" spans="1:5">
      <c r="A301" s="49" t="s">
        <v>1246</v>
      </c>
      <c r="B301" s="49" t="str">
        <f t="shared" si="10"/>
        <v>UI_TOURNAMENT_AUTO_BATCH</v>
      </c>
      <c r="C301" s="49" t="s">
        <v>1248</v>
      </c>
      <c r="D301" s="49" t="s">
        <v>1250</v>
      </c>
      <c r="E301" s="49" t="s">
        <v>1251</v>
      </c>
    </row>
    <row r="302" spans="1:5">
      <c r="A302" s="49" t="s">
        <v>1252</v>
      </c>
      <c r="B302" s="49" t="str">
        <f t="shared" si="10"/>
        <v>UI_TOURNAMENT_BATCH_FINISH</v>
      </c>
      <c r="C302" s="49" t="s">
        <v>1253</v>
      </c>
      <c r="D302" s="49" t="s">
        <v>1254</v>
      </c>
      <c r="E302" s="49" t="s">
        <v>1255</v>
      </c>
    </row>
    <row r="303" spans="1:5">
      <c r="A303" s="49"/>
      <c r="B303" s="49" t="s">
        <v>1256</v>
      </c>
      <c r="C303" s="49" t="s">
        <v>1257</v>
      </c>
      <c r="D303" s="49" t="s">
        <v>1258</v>
      </c>
      <c r="E303" s="49" t="s">
        <v>1260</v>
      </c>
    </row>
    <row r="304" spans="1:5">
      <c r="A304" s="49"/>
      <c r="B304" s="49" t="s">
        <v>1262</v>
      </c>
      <c r="C304" s="49" t="s">
        <v>1263</v>
      </c>
      <c r="D304" s="49" t="s">
        <v>1264</v>
      </c>
      <c r="E304" s="49" t="s">
        <v>1265</v>
      </c>
    </row>
    <row r="305" spans="1:5">
      <c r="A305" s="49"/>
      <c r="B305" s="49" t="s">
        <v>1266</v>
      </c>
      <c r="C305" s="49" t="s">
        <v>1267</v>
      </c>
      <c r="D305" s="49" t="s">
        <v>1268</v>
      </c>
      <c r="E305" s="49" t="s">
        <v>1269</v>
      </c>
    </row>
    <row r="306" spans="1:5">
      <c r="A306" s="49"/>
      <c r="B306" s="49" t="s">
        <v>1270</v>
      </c>
      <c r="C306" s="49" t="s">
        <v>1271</v>
      </c>
      <c r="D306" s="49" t="s">
        <v>1272</v>
      </c>
      <c r="E306" s="49" t="s">
        <v>1275</v>
      </c>
    </row>
    <row r="307" spans="1:5">
      <c r="A307" s="49"/>
      <c r="B307" s="49" t="s">
        <v>1276</v>
      </c>
      <c r="C307" s="49" t="s">
        <v>1277</v>
      </c>
      <c r="D307" s="49" t="s">
        <v>1278</v>
      </c>
      <c r="E307" s="49" t="s">
        <v>1279</v>
      </c>
    </row>
    <row r="308" spans="1:5">
      <c r="A308" s="49"/>
      <c r="B308" s="49" t="s">
        <v>1280</v>
      </c>
      <c r="C308" s="49" t="s">
        <v>1281</v>
      </c>
      <c r="D308" s="49" t="s">
        <v>1282</v>
      </c>
      <c r="E308" s="49" t="s">
        <v>1283</v>
      </c>
    </row>
    <row r="309" spans="1:5">
      <c r="A309" s="49"/>
      <c r="B309" s="49" t="s">
        <v>1284</v>
      </c>
      <c r="C309" s="49" t="s">
        <v>1286</v>
      </c>
      <c r="D309" s="49" t="s">
        <v>1288</v>
      </c>
      <c r="E309" s="49" t="s">
        <v>1289</v>
      </c>
    </row>
    <row r="310" spans="1:5">
      <c r="A310" s="49"/>
      <c r="B310" s="49" t="s">
        <v>1290</v>
      </c>
      <c r="C310" s="49" t="s">
        <v>1291</v>
      </c>
      <c r="D310" s="49" t="s">
        <v>1292</v>
      </c>
      <c r="E310" s="49" t="s">
        <v>1293</v>
      </c>
    </row>
    <row r="311" spans="1:5">
      <c r="A311" s="49"/>
      <c r="B311" s="49" t="s">
        <v>1294</v>
      </c>
      <c r="C311" s="49" t="s">
        <v>1295</v>
      </c>
      <c r="D311" s="49" t="s">
        <v>1145</v>
      </c>
      <c r="E311" s="49" t="s">
        <v>1296</v>
      </c>
    </row>
    <row r="312" spans="1:5">
      <c r="A312" s="49"/>
      <c r="B312" s="49" t="s">
        <v>1297</v>
      </c>
      <c r="C312" s="49" t="s">
        <v>1299</v>
      </c>
      <c r="D312" s="49" t="s">
        <v>1301</v>
      </c>
      <c r="E312" s="49" t="s">
        <v>1302</v>
      </c>
    </row>
    <row r="313" spans="1:5">
      <c r="A313" s="49"/>
      <c r="B313" s="49" t="s">
        <v>1303</v>
      </c>
      <c r="C313" s="49" t="s">
        <v>1304</v>
      </c>
      <c r="D313" s="49" t="s">
        <v>1305</v>
      </c>
      <c r="E313" s="49" t="s">
        <v>1306</v>
      </c>
    </row>
    <row r="314" spans="1:5">
      <c r="A314" s="49"/>
      <c r="B314" s="49" t="s">
        <v>1307</v>
      </c>
      <c r="C314" s="49" t="s">
        <v>1308</v>
      </c>
      <c r="D314" s="49" t="s">
        <v>1309</v>
      </c>
      <c r="E314" s="49" t="s">
        <v>1310</v>
      </c>
    </row>
    <row r="315" spans="1:5">
      <c r="A315" s="49"/>
      <c r="B315" s="49" t="s">
        <v>1313</v>
      </c>
      <c r="C315" s="49" t="s">
        <v>1314</v>
      </c>
      <c r="D315" s="49" t="s">
        <v>1315</v>
      </c>
      <c r="E315" s="49" t="s">
        <v>1316</v>
      </c>
    </row>
    <row r="316" spans="1:5">
      <c r="A316" s="49"/>
      <c r="B316" s="49" t="s">
        <v>1317</v>
      </c>
      <c r="C316" s="49" t="s">
        <v>1318</v>
      </c>
      <c r="D316" s="49" t="s">
        <v>1319</v>
      </c>
      <c r="E316" s="49" t="s">
        <v>1320</v>
      </c>
    </row>
    <row r="317" spans="1:5">
      <c r="A317" s="49"/>
      <c r="B317" s="49" t="s">
        <v>1321</v>
      </c>
      <c r="C317" s="49" t="s">
        <v>1322</v>
      </c>
      <c r="D317" s="49" t="s">
        <v>1323</v>
      </c>
      <c r="E317" s="49" t="s">
        <v>1324</v>
      </c>
    </row>
    <row r="318" spans="1:5">
      <c r="A318" s="49"/>
      <c r="B318" s="49" t="s">
        <v>1327</v>
      </c>
      <c r="C318" s="49" t="s">
        <v>1328</v>
      </c>
      <c r="D318" s="49" t="s">
        <v>1329</v>
      </c>
      <c r="E318" s="49" t="s">
        <v>1330</v>
      </c>
    </row>
    <row r="319" spans="1:5">
      <c r="A319" s="49"/>
      <c r="B319" s="49" t="s">
        <v>1331</v>
      </c>
      <c r="C319" s="49" t="s">
        <v>1332</v>
      </c>
      <c r="D319" s="49" t="s">
        <v>1333</v>
      </c>
      <c r="E319" s="49" t="s">
        <v>1334</v>
      </c>
    </row>
    <row r="320" spans="1:5">
      <c r="A320" s="49"/>
      <c r="B320" s="49" t="s">
        <v>1335</v>
      </c>
      <c r="C320" s="49" t="s">
        <v>1336</v>
      </c>
      <c r="D320" s="49" t="s">
        <v>1337</v>
      </c>
      <c r="E320" s="49" t="s">
        <v>1338</v>
      </c>
    </row>
    <row r="321" spans="1:5">
      <c r="A321" s="49"/>
      <c r="B321" s="49" t="s">
        <v>1341</v>
      </c>
      <c r="C321" s="49" t="s">
        <v>1342</v>
      </c>
      <c r="D321" s="49" t="s">
        <v>1343</v>
      </c>
      <c r="E321" s="49" t="s">
        <v>1344</v>
      </c>
    </row>
    <row r="322" spans="1:5">
      <c r="A322" s="49"/>
      <c r="B322" s="49" t="s">
        <v>1345</v>
      </c>
      <c r="C322" s="49" t="s">
        <v>1346</v>
      </c>
      <c r="D322" s="49" t="s">
        <v>1347</v>
      </c>
      <c r="E322" s="49" t="s">
        <v>1348</v>
      </c>
    </row>
    <row r="323" spans="1:5">
      <c r="A323" s="49"/>
      <c r="B323" s="49" t="s">
        <v>1349</v>
      </c>
      <c r="C323" s="49" t="s">
        <v>1350</v>
      </c>
      <c r="D323" s="49" t="s">
        <v>1351</v>
      </c>
      <c r="E323" s="49" t="s">
        <v>1352</v>
      </c>
    </row>
    <row r="324" spans="1:5">
      <c r="A324" s="49"/>
      <c r="B324" s="49" t="s">
        <v>1353</v>
      </c>
      <c r="C324" s="49" t="s">
        <v>1354</v>
      </c>
      <c r="D324" s="49" t="s">
        <v>1355</v>
      </c>
      <c r="E324" s="49" t="s">
        <v>1357</v>
      </c>
    </row>
    <row r="325" spans="1:5">
      <c r="A325" s="49"/>
      <c r="B325" s="49" t="s">
        <v>1359</v>
      </c>
      <c r="C325" s="49" t="s">
        <v>1360</v>
      </c>
      <c r="D325" s="49" t="s">
        <v>1361</v>
      </c>
      <c r="E325" s="49" t="s">
        <v>1362</v>
      </c>
    </row>
    <row r="326" spans="1:5">
      <c r="A326" s="49"/>
      <c r="B326" s="49" t="s">
        <v>1363</v>
      </c>
      <c r="C326" s="49" t="s">
        <v>1364</v>
      </c>
      <c r="D326" s="49" t="s">
        <v>1365</v>
      </c>
      <c r="E326" s="49" t="s">
        <v>1367</v>
      </c>
    </row>
    <row r="327" spans="1:5">
      <c r="A327" s="49"/>
      <c r="B327" s="49" t="s">
        <v>1369</v>
      </c>
      <c r="C327" s="49" t="s">
        <v>1370</v>
      </c>
      <c r="D327" s="49" t="s">
        <v>1000</v>
      </c>
      <c r="E327" s="49" t="s">
        <v>1002</v>
      </c>
    </row>
    <row r="328" spans="1:5">
      <c r="A328" s="49"/>
      <c r="B328" s="49" t="s">
        <v>1371</v>
      </c>
      <c r="C328" s="49" t="s">
        <v>1372</v>
      </c>
      <c r="D328" s="49" t="s">
        <v>1373</v>
      </c>
      <c r="E328" s="49" t="s">
        <v>1374</v>
      </c>
    </row>
    <row r="329" spans="1:5">
      <c r="A329" s="49"/>
      <c r="B329" s="49" t="s">
        <v>1375</v>
      </c>
      <c r="C329" s="49" t="s">
        <v>1376</v>
      </c>
      <c r="D329" s="49" t="s">
        <v>1377</v>
      </c>
      <c r="E329" s="49" t="s">
        <v>1379</v>
      </c>
    </row>
    <row r="330" spans="1:5">
      <c r="A330" s="49"/>
      <c r="B330" s="49" t="s">
        <v>1381</v>
      </c>
      <c r="C330" s="49" t="s">
        <v>591</v>
      </c>
      <c r="D330" s="49" t="s">
        <v>592</v>
      </c>
      <c r="E330" s="49" t="s">
        <v>593</v>
      </c>
    </row>
    <row r="331" spans="1:5">
      <c r="A331" s="49"/>
      <c r="B331" s="49" t="s">
        <v>1382</v>
      </c>
      <c r="C331" s="49" t="s">
        <v>1383</v>
      </c>
      <c r="D331" s="49" t="s">
        <v>1384</v>
      </c>
      <c r="E331" s="49" t="s">
        <v>1385</v>
      </c>
    </row>
    <row r="332" spans="1:5">
      <c r="A332" s="49"/>
      <c r="B332" s="49" t="s">
        <v>1387</v>
      </c>
      <c r="C332" s="49" t="s">
        <v>604</v>
      </c>
      <c r="D332" s="49" t="s">
        <v>605</v>
      </c>
      <c r="E332" s="49" t="s">
        <v>606</v>
      </c>
    </row>
    <row r="333" spans="1:5">
      <c r="A333" s="49"/>
      <c r="B333" s="49" t="s">
        <v>3593</v>
      </c>
      <c r="C333" s="49" t="s">
        <v>1389</v>
      </c>
      <c r="D333" s="49" t="s">
        <v>1390</v>
      </c>
      <c r="E333" s="49" t="s">
        <v>1391</v>
      </c>
    </row>
    <row r="334" spans="1:5">
      <c r="A334" s="49"/>
      <c r="B334" s="49" t="s">
        <v>1392</v>
      </c>
      <c r="C334" s="49" t="s">
        <v>1393</v>
      </c>
      <c r="D334" s="49" t="s">
        <v>1394</v>
      </c>
      <c r="E334" s="49" t="s">
        <v>1395</v>
      </c>
    </row>
    <row r="335" spans="1:5">
      <c r="A335" s="49"/>
      <c r="B335" s="49" t="s">
        <v>1397</v>
      </c>
      <c r="C335" s="49" t="s">
        <v>1399</v>
      </c>
      <c r="D335" s="49" t="s">
        <v>1400</v>
      </c>
      <c r="E335" s="49" t="s">
        <v>1401</v>
      </c>
    </row>
    <row r="336" spans="1:5">
      <c r="A336" s="49"/>
      <c r="B336" s="49" t="s">
        <v>1402</v>
      </c>
      <c r="C336" s="49" t="s">
        <v>1403</v>
      </c>
      <c r="D336" s="49" t="s">
        <v>1404</v>
      </c>
      <c r="E336" s="49" t="s">
        <v>1405</v>
      </c>
    </row>
    <row r="337" spans="1:5">
      <c r="A337" s="49"/>
      <c r="B337" s="49" t="s">
        <v>1406</v>
      </c>
      <c r="C337" s="49" t="s">
        <v>1407</v>
      </c>
      <c r="D337" s="49" t="s">
        <v>1408</v>
      </c>
      <c r="E337" s="49" t="s">
        <v>1409</v>
      </c>
    </row>
    <row r="338" spans="1:5">
      <c r="A338" s="49"/>
      <c r="B338" s="49" t="s">
        <v>1411</v>
      </c>
      <c r="C338" s="49" t="s">
        <v>1413</v>
      </c>
      <c r="D338" s="49" t="s">
        <v>1414</v>
      </c>
      <c r="E338" s="49" t="s">
        <v>1415</v>
      </c>
    </row>
    <row r="339" spans="1:5">
      <c r="A339" s="49"/>
      <c r="B339" s="49" t="s">
        <v>1416</v>
      </c>
      <c r="C339" s="49" t="s">
        <v>609</v>
      </c>
      <c r="D339" s="49" t="s">
        <v>610</v>
      </c>
      <c r="E339" s="49" t="s">
        <v>612</v>
      </c>
    </row>
    <row r="340" spans="1:5">
      <c r="A340" s="49"/>
      <c r="B340" s="49" t="s">
        <v>1417</v>
      </c>
      <c r="C340" s="49" t="s">
        <v>615</v>
      </c>
      <c r="D340" s="49" t="s">
        <v>616</v>
      </c>
      <c r="E340" s="49" t="s">
        <v>617</v>
      </c>
    </row>
    <row r="341" spans="1:5">
      <c r="A341" s="49"/>
      <c r="B341" s="49" t="s">
        <v>1419</v>
      </c>
      <c r="C341" s="49" t="s">
        <v>1421</v>
      </c>
      <c r="D341" s="49" t="s">
        <v>3602</v>
      </c>
      <c r="E341" s="49" t="s">
        <v>1422</v>
      </c>
    </row>
    <row r="342" spans="1:5">
      <c r="A342" s="49"/>
      <c r="B342" s="49" t="s">
        <v>1423</v>
      </c>
      <c r="C342" s="49" t="s">
        <v>1424</v>
      </c>
      <c r="D342" s="49" t="s">
        <v>3603</v>
      </c>
      <c r="E342" s="49" t="s">
        <v>1425</v>
      </c>
    </row>
    <row r="343" spans="1:5">
      <c r="A343" s="49"/>
      <c r="B343" s="49" t="s">
        <v>1426</v>
      </c>
      <c r="C343" s="49" t="s">
        <v>1427</v>
      </c>
      <c r="D343" s="49" t="s">
        <v>3604</v>
      </c>
      <c r="E343" s="49" t="s">
        <v>1428</v>
      </c>
    </row>
    <row r="344" spans="1:5">
      <c r="A344" s="49"/>
      <c r="B344" s="49" t="s">
        <v>1431</v>
      </c>
      <c r="C344" s="49" t="s">
        <v>1432</v>
      </c>
      <c r="D344" s="49" t="s">
        <v>3605</v>
      </c>
      <c r="E344" s="49" t="s">
        <v>1433</v>
      </c>
    </row>
    <row r="345" spans="1:5">
      <c r="A345" s="49"/>
      <c r="B345" s="49" t="s">
        <v>1434</v>
      </c>
      <c r="C345" s="49" t="s">
        <v>1435</v>
      </c>
      <c r="D345" s="49" t="s">
        <v>1436</v>
      </c>
      <c r="E345" s="49" t="s">
        <v>1437</v>
      </c>
    </row>
    <row r="346" spans="1:5">
      <c r="A346" s="49"/>
      <c r="B346" s="49" t="s">
        <v>1438</v>
      </c>
      <c r="C346" s="49" t="s">
        <v>1439</v>
      </c>
      <c r="D346" s="49" t="s">
        <v>3577</v>
      </c>
      <c r="E346" s="49" t="s">
        <v>1440</v>
      </c>
    </row>
    <row r="347" spans="1:5">
      <c r="A347" s="49"/>
      <c r="B347" s="49" t="s">
        <v>1441</v>
      </c>
      <c r="C347" s="49" t="s">
        <v>1442</v>
      </c>
      <c r="D347" s="49" t="s">
        <v>1443</v>
      </c>
      <c r="E347" s="49" t="s">
        <v>1444</v>
      </c>
    </row>
    <row r="348" spans="1:5">
      <c r="A348" s="49"/>
      <c r="B348" s="49" t="s">
        <v>1445</v>
      </c>
      <c r="C348" s="49" t="s">
        <v>1446</v>
      </c>
      <c r="D348" s="49" t="s">
        <v>1447</v>
      </c>
      <c r="E348" s="49" t="s">
        <v>1448</v>
      </c>
    </row>
    <row r="349" spans="1:5">
      <c r="A349" s="49"/>
      <c r="B349" s="49" t="s">
        <v>1449</v>
      </c>
      <c r="C349" s="49" t="s">
        <v>1450</v>
      </c>
      <c r="D349" s="49" t="s">
        <v>1451</v>
      </c>
      <c r="E349" s="49" t="s">
        <v>1452</v>
      </c>
    </row>
    <row r="350" spans="1:5">
      <c r="A350" s="49"/>
      <c r="B350" s="49" t="s">
        <v>1453</v>
      </c>
      <c r="C350" s="49" t="s">
        <v>1454</v>
      </c>
      <c r="D350" s="49" t="s">
        <v>1455</v>
      </c>
      <c r="E350" s="49" t="s">
        <v>1456</v>
      </c>
    </row>
    <row r="351" spans="1:5">
      <c r="A351" s="49"/>
      <c r="B351" s="49" t="s">
        <v>1459</v>
      </c>
      <c r="C351" s="49" t="s">
        <v>1460</v>
      </c>
      <c r="D351" s="49" t="s">
        <v>1461</v>
      </c>
      <c r="E351" s="49" t="s">
        <v>1462</v>
      </c>
    </row>
    <row r="352" spans="1:5">
      <c r="A352" s="49"/>
      <c r="B352" s="49" t="s">
        <v>1463</v>
      </c>
      <c r="C352" s="49" t="s">
        <v>1464</v>
      </c>
      <c r="D352" s="49" t="s">
        <v>1465</v>
      </c>
      <c r="E352" s="49" t="s">
        <v>1466</v>
      </c>
    </row>
    <row r="353" spans="1:5">
      <c r="A353" s="49"/>
      <c r="B353" s="49" t="s">
        <v>1467</v>
      </c>
      <c r="C353" s="49" t="s">
        <v>1468</v>
      </c>
      <c r="D353" s="49" t="s">
        <v>1469</v>
      </c>
      <c r="E353" s="49" t="s">
        <v>1471</v>
      </c>
    </row>
    <row r="354" spans="1:5">
      <c r="A354" s="49"/>
      <c r="B354" s="49" t="s">
        <v>1473</v>
      </c>
      <c r="C354" s="49" t="s">
        <v>600</v>
      </c>
      <c r="D354" s="49" t="s">
        <v>3459</v>
      </c>
      <c r="E354" s="49" t="s">
        <v>602</v>
      </c>
    </row>
    <row r="355" spans="1:5">
      <c r="A355" s="49"/>
      <c r="B355" s="49" t="s">
        <v>1476</v>
      </c>
      <c r="C355" s="49" t="s">
        <v>1478</v>
      </c>
      <c r="D355" s="49" t="s">
        <v>1480</v>
      </c>
      <c r="E355" s="49" t="s">
        <v>1481</v>
      </c>
    </row>
    <row r="356" spans="1:5">
      <c r="A356" s="49"/>
      <c r="B356" s="49" t="s">
        <v>1482</v>
      </c>
      <c r="C356" s="49" t="s">
        <v>1483</v>
      </c>
      <c r="D356" s="49" t="s">
        <v>3479</v>
      </c>
      <c r="E356" s="49" t="s">
        <v>1484</v>
      </c>
    </row>
    <row r="357" spans="1:5">
      <c r="A357" s="49"/>
      <c r="B357" s="49" t="s">
        <v>1485</v>
      </c>
      <c r="C357" s="49" t="s">
        <v>1487</v>
      </c>
      <c r="D357" s="49" t="s">
        <v>3478</v>
      </c>
      <c r="E357" s="49" t="s">
        <v>1489</v>
      </c>
    </row>
    <row r="358" spans="1:5">
      <c r="A358" s="49"/>
      <c r="B358" s="49" t="s">
        <v>1492</v>
      </c>
      <c r="C358" s="49" t="s">
        <v>1493</v>
      </c>
      <c r="D358" s="49" t="s">
        <v>1494</v>
      </c>
      <c r="E358" s="49" t="s">
        <v>1495</v>
      </c>
    </row>
    <row r="359" spans="1:5">
      <c r="A359" s="49"/>
      <c r="B359" s="49" t="s">
        <v>1496</v>
      </c>
      <c r="C359" s="49" t="s">
        <v>609</v>
      </c>
      <c r="D359" s="49" t="s">
        <v>610</v>
      </c>
      <c r="E359" s="49" t="s">
        <v>612</v>
      </c>
    </row>
    <row r="360" spans="1:5">
      <c r="A360" s="49"/>
      <c r="B360" s="49" t="s">
        <v>1499</v>
      </c>
      <c r="C360" s="49" t="s">
        <v>619</v>
      </c>
      <c r="D360" s="49" t="s">
        <v>620</v>
      </c>
      <c r="E360" s="49" t="s">
        <v>621</v>
      </c>
    </row>
    <row r="361" spans="1:5">
      <c r="A361" s="49"/>
      <c r="B361" s="49" t="s">
        <v>1502</v>
      </c>
      <c r="C361" s="49" t="s">
        <v>1503</v>
      </c>
      <c r="D361" s="49" t="s">
        <v>1504</v>
      </c>
      <c r="E361" s="49" t="s">
        <v>1505</v>
      </c>
    </row>
    <row r="362" spans="1:5">
      <c r="A362" s="49"/>
      <c r="B362" s="49" t="s">
        <v>1506</v>
      </c>
      <c r="C362" s="49" t="s">
        <v>1508</v>
      </c>
      <c r="D362" s="49" t="s">
        <v>1511</v>
      </c>
      <c r="E362" s="49" t="s">
        <v>1512</v>
      </c>
    </row>
    <row r="363" spans="1:5">
      <c r="A363" s="49"/>
      <c r="B363" s="49" t="s">
        <v>1514</v>
      </c>
      <c r="C363" s="49" t="s">
        <v>1515</v>
      </c>
      <c r="D363" s="49" t="s">
        <v>1516</v>
      </c>
      <c r="E363" s="49" t="s">
        <v>1517</v>
      </c>
    </row>
    <row r="364" spans="1:5">
      <c r="A364" s="49"/>
      <c r="B364" s="49" t="s">
        <v>1518</v>
      </c>
      <c r="C364" s="49" t="s">
        <v>1519</v>
      </c>
      <c r="D364" s="49" t="s">
        <v>1521</v>
      </c>
      <c r="E364" s="49" t="s">
        <v>1523</v>
      </c>
    </row>
    <row r="365" spans="1:5">
      <c r="A365" s="49"/>
      <c r="B365" s="49" t="s">
        <v>1526</v>
      </c>
      <c r="C365" s="49" t="s">
        <v>1527</v>
      </c>
      <c r="D365" s="49" t="s">
        <v>1528</v>
      </c>
      <c r="E365" s="49" t="s">
        <v>1529</v>
      </c>
    </row>
    <row r="366" spans="1:5">
      <c r="A366" s="49"/>
      <c r="B366" s="49" t="s">
        <v>1530</v>
      </c>
      <c r="C366" s="49" t="s">
        <v>1531</v>
      </c>
      <c r="D366" s="49" t="s">
        <v>1532</v>
      </c>
      <c r="E366" s="49" t="s">
        <v>1533</v>
      </c>
    </row>
    <row r="367" spans="1:5">
      <c r="A367" s="49"/>
      <c r="B367" s="49" t="s">
        <v>1536</v>
      </c>
      <c r="C367" s="49" t="s">
        <v>1539</v>
      </c>
      <c r="D367" s="49" t="s">
        <v>1540</v>
      </c>
      <c r="E367" s="49" t="s">
        <v>1541</v>
      </c>
    </row>
    <row r="368" spans="1:5">
      <c r="A368" s="49"/>
      <c r="B368" s="49" t="s">
        <v>1542</v>
      </c>
      <c r="C368" s="49" t="s">
        <v>1543</v>
      </c>
      <c r="D368" s="49" t="s">
        <v>1544</v>
      </c>
      <c r="E368" s="49" t="s">
        <v>1545</v>
      </c>
    </row>
    <row r="369" spans="1:5">
      <c r="A369" s="49"/>
      <c r="B369" s="49" t="s">
        <v>1546</v>
      </c>
      <c r="C369" s="49" t="s">
        <v>1547</v>
      </c>
      <c r="D369" s="49" t="s">
        <v>1548</v>
      </c>
      <c r="E369" s="49" t="s">
        <v>1549</v>
      </c>
    </row>
    <row r="370" spans="1:5">
      <c r="A370" s="49"/>
      <c r="B370" s="49" t="s">
        <v>1550</v>
      </c>
      <c r="C370" s="49" t="s">
        <v>1551</v>
      </c>
      <c r="D370" s="49" t="s">
        <v>1552</v>
      </c>
      <c r="E370" s="49" t="s">
        <v>1553</v>
      </c>
    </row>
    <row r="371" spans="1:5">
      <c r="A371" s="49"/>
      <c r="B371" s="49" t="s">
        <v>1554</v>
      </c>
      <c r="C371" s="49" t="s">
        <v>1555</v>
      </c>
      <c r="D371" s="49" t="s">
        <v>1556</v>
      </c>
      <c r="E371" s="49" t="s">
        <v>1557</v>
      </c>
    </row>
    <row r="372" spans="1:5">
      <c r="A372" s="49"/>
      <c r="B372" s="49" t="s">
        <v>1558</v>
      </c>
      <c r="C372" s="49" t="s">
        <v>1559</v>
      </c>
      <c r="D372" s="49" t="s">
        <v>1560</v>
      </c>
      <c r="E372" s="49" t="s">
        <v>1561</v>
      </c>
    </row>
    <row r="373" spans="1:5">
      <c r="A373" s="49"/>
      <c r="B373" s="49" t="s">
        <v>1562</v>
      </c>
      <c r="C373" s="49" t="s">
        <v>1563</v>
      </c>
      <c r="D373" s="49" t="s">
        <v>1564</v>
      </c>
      <c r="E373" s="49" t="s">
        <v>1565</v>
      </c>
    </row>
    <row r="374" spans="1:5" ht="15" customHeight="1">
      <c r="A374" s="49"/>
      <c r="B374" s="49" t="s">
        <v>1566</v>
      </c>
      <c r="C374" s="49" t="s">
        <v>1567</v>
      </c>
      <c r="D374" s="49" t="s">
        <v>1568</v>
      </c>
      <c r="E374" s="49" t="s">
        <v>1569</v>
      </c>
    </row>
    <row r="375" spans="1:5" ht="15" customHeight="1">
      <c r="A375" s="67"/>
      <c r="B375" s="67" t="s">
        <v>1572</v>
      </c>
      <c r="C375" s="67" t="s">
        <v>1573</v>
      </c>
      <c r="D375" s="67" t="s">
        <v>1574</v>
      </c>
      <c r="E375" s="67" t="s">
        <v>1576</v>
      </c>
    </row>
    <row r="376" spans="1:5" ht="15" customHeight="1">
      <c r="A376" s="67"/>
      <c r="B376" s="67" t="s">
        <v>3519</v>
      </c>
      <c r="C376" s="67" t="s">
        <v>3520</v>
      </c>
      <c r="D376" s="67" t="s">
        <v>3521</v>
      </c>
      <c r="E376" s="52" t="s">
        <v>3522</v>
      </c>
    </row>
    <row r="377" spans="1:5" ht="15" customHeight="1">
      <c r="A377" s="52"/>
      <c r="B377" s="52" t="s">
        <v>3527</v>
      </c>
      <c r="C377" s="68" t="s">
        <v>3528</v>
      </c>
      <c r="D377" s="68" t="s">
        <v>3529</v>
      </c>
      <c r="E377" s="52" t="s">
        <v>3530</v>
      </c>
    </row>
    <row r="378" spans="1:5" ht="15" customHeight="1">
      <c r="A378" s="52"/>
      <c r="B378" s="52" t="s">
        <v>3533</v>
      </c>
      <c r="C378" s="68" t="s">
        <v>3534</v>
      </c>
      <c r="D378" s="52" t="s">
        <v>3535</v>
      </c>
      <c r="E378" s="52" t="s">
        <v>3536</v>
      </c>
    </row>
    <row r="379" spans="1:5" ht="15" customHeight="1">
      <c r="A379" s="52"/>
      <c r="B379" s="52" t="s">
        <v>3537</v>
      </c>
      <c r="C379" s="68" t="s">
        <v>3538</v>
      </c>
      <c r="D379" s="52" t="s">
        <v>3539</v>
      </c>
      <c r="E379" s="52" t="s">
        <v>1150</v>
      </c>
    </row>
    <row r="380" spans="1:5" ht="15" customHeight="1">
      <c r="A380" s="52"/>
      <c r="B380" s="52" t="s">
        <v>3540</v>
      </c>
      <c r="C380" s="69" t="s">
        <v>3653</v>
      </c>
      <c r="D380" s="52" t="s">
        <v>3541</v>
      </c>
      <c r="E380" s="52" t="s">
        <v>3542</v>
      </c>
    </row>
    <row r="381" spans="1:5" ht="15" customHeight="1">
      <c r="A381" s="52"/>
      <c r="B381" s="52" t="s">
        <v>3543</v>
      </c>
      <c r="C381" s="68" t="s">
        <v>3545</v>
      </c>
      <c r="D381" s="52" t="s">
        <v>3547</v>
      </c>
      <c r="E381" s="52" t="s">
        <v>3548</v>
      </c>
    </row>
    <row r="382" spans="1:5" ht="15" customHeight="1">
      <c r="A382" s="52"/>
      <c r="B382" s="52" t="s">
        <v>3544</v>
      </c>
      <c r="C382" s="68" t="s">
        <v>3546</v>
      </c>
      <c r="D382" s="52" t="s">
        <v>3549</v>
      </c>
      <c r="E382" s="52" t="s">
        <v>3550</v>
      </c>
    </row>
    <row r="383" spans="1:5" ht="15" customHeight="1">
      <c r="A383" s="52"/>
      <c r="B383" s="52" t="s">
        <v>3551</v>
      </c>
      <c r="C383" s="68" t="s">
        <v>3552</v>
      </c>
      <c r="D383" s="52" t="s">
        <v>3553</v>
      </c>
      <c r="E383" s="70" t="s">
        <v>3654</v>
      </c>
    </row>
    <row r="384" spans="1:5" ht="15" customHeight="1">
      <c r="A384" s="52"/>
      <c r="B384" s="52" t="s">
        <v>3555</v>
      </c>
      <c r="C384" s="52" t="s">
        <v>3554</v>
      </c>
      <c r="D384" s="52" t="s">
        <v>3556</v>
      </c>
      <c r="E384" s="52" t="s">
        <v>1462</v>
      </c>
    </row>
    <row r="385" spans="1:5" ht="15" customHeight="1">
      <c r="A385" s="52"/>
      <c r="B385" s="52" t="s">
        <v>3557</v>
      </c>
      <c r="C385" s="52" t="s">
        <v>3655</v>
      </c>
      <c r="D385" s="52" t="s">
        <v>3558</v>
      </c>
      <c r="E385" s="52" t="s">
        <v>3656</v>
      </c>
    </row>
    <row r="386" spans="1:5" ht="15" customHeight="1">
      <c r="A386" s="52"/>
      <c r="B386" s="52" t="s">
        <v>3559</v>
      </c>
      <c r="C386" s="71" t="s">
        <v>3561</v>
      </c>
      <c r="D386" s="52" t="s">
        <v>3560</v>
      </c>
      <c r="E386" s="72" t="s">
        <v>3657</v>
      </c>
    </row>
    <row r="387" spans="1:5" ht="15" customHeight="1">
      <c r="A387" s="52"/>
      <c r="B387" s="52" t="s">
        <v>3562</v>
      </c>
      <c r="C387" s="52" t="s">
        <v>3658</v>
      </c>
      <c r="D387" s="52" t="s">
        <v>3570</v>
      </c>
      <c r="E387" s="52" t="s">
        <v>3571</v>
      </c>
    </row>
    <row r="388" spans="1:5" ht="15" customHeight="1">
      <c r="A388" s="52"/>
      <c r="B388" s="52" t="s">
        <v>3563</v>
      </c>
      <c r="C388" s="71" t="s">
        <v>3564</v>
      </c>
      <c r="D388" s="52" t="s">
        <v>3569</v>
      </c>
      <c r="E388" s="52" t="s">
        <v>3572</v>
      </c>
    </row>
    <row r="389" spans="1:5" ht="15" customHeight="1">
      <c r="A389" s="52"/>
      <c r="B389" s="52" t="s">
        <v>3565</v>
      </c>
      <c r="C389" s="71" t="s">
        <v>3566</v>
      </c>
      <c r="D389" s="52" t="s">
        <v>3573</v>
      </c>
      <c r="E389" s="52" t="s">
        <v>3576</v>
      </c>
    </row>
    <row r="390" spans="1:5" ht="15" customHeight="1">
      <c r="A390" s="52"/>
      <c r="B390" s="52" t="s">
        <v>3567</v>
      </c>
      <c r="C390" s="71" t="s">
        <v>3568</v>
      </c>
      <c r="D390" s="52" t="s">
        <v>3574</v>
      </c>
      <c r="E390" s="52" t="s">
        <v>3575</v>
      </c>
    </row>
    <row r="391" spans="1:5" ht="15" customHeight="1">
      <c r="A391" s="52"/>
      <c r="B391" s="52" t="s">
        <v>3578</v>
      </c>
      <c r="C391" s="52" t="s">
        <v>3659</v>
      </c>
      <c r="D391" s="52" t="s">
        <v>3588</v>
      </c>
      <c r="E391" s="52" t="s">
        <v>3589</v>
      </c>
    </row>
    <row r="392" spans="1:5" ht="15" customHeight="1">
      <c r="A392" s="52"/>
      <c r="B392" s="52" t="s">
        <v>3579</v>
      </c>
      <c r="C392" s="71" t="s">
        <v>3580</v>
      </c>
      <c r="D392" s="52" t="s">
        <v>3581</v>
      </c>
      <c r="E392" s="73" t="s">
        <v>3590</v>
      </c>
    </row>
    <row r="393" spans="1:5" ht="15" customHeight="1">
      <c r="A393" s="52"/>
      <c r="B393" s="52" t="s">
        <v>3582</v>
      </c>
      <c r="C393" s="71" t="s">
        <v>3583</v>
      </c>
      <c r="D393" s="52" t="s">
        <v>3591</v>
      </c>
      <c r="E393" s="74" t="s">
        <v>3592</v>
      </c>
    </row>
    <row r="394" spans="1:5" ht="15" customHeight="1">
      <c r="A394" s="52"/>
      <c r="B394" s="52" t="s">
        <v>3584</v>
      </c>
      <c r="C394" s="71" t="s">
        <v>3585</v>
      </c>
      <c r="D394" s="75" t="s">
        <v>3586</v>
      </c>
      <c r="E394" s="52" t="s">
        <v>3587</v>
      </c>
    </row>
    <row r="395" spans="1:5" ht="15" customHeight="1">
      <c r="A395" s="52"/>
      <c r="B395" s="52" t="s">
        <v>3594</v>
      </c>
      <c r="C395" s="68" t="s">
        <v>3595</v>
      </c>
      <c r="D395" s="52" t="s">
        <v>3596</v>
      </c>
      <c r="E395" s="52" t="s">
        <v>3597</v>
      </c>
    </row>
    <row r="396" spans="1:5" ht="15" customHeight="1">
      <c r="A396" s="52"/>
      <c r="B396" s="52" t="s">
        <v>3598</v>
      </c>
      <c r="C396" s="68" t="s">
        <v>3599</v>
      </c>
      <c r="D396" s="52" t="s">
        <v>3600</v>
      </c>
      <c r="E396" s="52" t="s">
        <v>3601</v>
      </c>
    </row>
    <row r="397" spans="1:5" ht="15" customHeight="1">
      <c r="A397" s="52"/>
      <c r="B397" s="52" t="s">
        <v>3610</v>
      </c>
      <c r="C397" s="68" t="s">
        <v>3611</v>
      </c>
      <c r="D397" s="52"/>
      <c r="E397" s="52"/>
    </row>
    <row r="398" spans="1:5" ht="15" customHeight="1">
      <c r="A398" s="52"/>
      <c r="B398" s="52" t="s">
        <v>3612</v>
      </c>
      <c r="C398" s="68" t="s">
        <v>3613</v>
      </c>
      <c r="D398" s="52"/>
      <c r="E398" s="52"/>
    </row>
    <row r="399" spans="1:5" ht="15" customHeight="1">
      <c r="A399" s="52"/>
      <c r="B399" s="52" t="s">
        <v>3614</v>
      </c>
      <c r="C399" s="68" t="s">
        <v>3617</v>
      </c>
      <c r="D399" s="52"/>
      <c r="E399" s="52"/>
    </row>
    <row r="400" spans="1:5" ht="15" customHeight="1">
      <c r="A400" s="52"/>
      <c r="B400" s="52" t="s">
        <v>3616</v>
      </c>
      <c r="C400" s="68" t="s">
        <v>3615</v>
      </c>
      <c r="D400" s="52"/>
      <c r="E400" s="52"/>
    </row>
    <row r="401" spans="1:5" ht="15" customHeight="1">
      <c r="A401" s="52"/>
      <c r="B401" s="52" t="s">
        <v>3636</v>
      </c>
      <c r="C401" s="52" t="s">
        <v>3637</v>
      </c>
      <c r="D401" s="52"/>
      <c r="E401" s="52"/>
    </row>
    <row r="402" spans="1:5" ht="15" customHeight="1">
      <c r="A402" s="52"/>
      <c r="B402" s="52" t="s">
        <v>3726</v>
      </c>
      <c r="C402" s="68" t="s">
        <v>3727</v>
      </c>
      <c r="D402" s="52"/>
      <c r="E402" s="52"/>
    </row>
    <row r="403" spans="1:5" ht="15" customHeight="1">
      <c r="A403" s="52"/>
      <c r="B403" s="52" t="s">
        <v>3740</v>
      </c>
      <c r="C403" s="68" t="s">
        <v>3741</v>
      </c>
      <c r="D403" s="52"/>
      <c r="E403" s="52"/>
    </row>
    <row r="404" spans="1:5" ht="15" customHeight="1">
      <c r="A404" s="52"/>
      <c r="B404" s="52" t="s">
        <v>3769</v>
      </c>
      <c r="C404" s="68" t="s">
        <v>3770</v>
      </c>
      <c r="D404" s="52"/>
      <c r="E404" s="52"/>
    </row>
  </sheetData>
  <phoneticPr fontId="13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5"/>
  <sheetViews>
    <sheetView workbookViewId="0">
      <selection activeCell="D17" sqref="D17"/>
    </sheetView>
  </sheetViews>
  <sheetFormatPr defaultColWidth="14.42578125" defaultRowHeight="15" customHeight="1"/>
  <cols>
    <col min="1" max="1" width="31" customWidth="1"/>
    <col min="2" max="2" width="43.28515625" customWidth="1"/>
    <col min="3" max="26" width="37.85546875" customWidth="1"/>
  </cols>
  <sheetData>
    <row r="1" spans="1:5">
      <c r="A1" s="58" t="s">
        <v>0</v>
      </c>
      <c r="B1" s="58" t="s">
        <v>3</v>
      </c>
      <c r="C1" s="59" t="s">
        <v>4</v>
      </c>
      <c r="D1" s="59" t="s">
        <v>6</v>
      </c>
      <c r="E1" s="59" t="s">
        <v>9</v>
      </c>
    </row>
    <row r="2" spans="1:5">
      <c r="A2" s="58" t="s">
        <v>11</v>
      </c>
      <c r="B2" s="58" t="s">
        <v>11</v>
      </c>
      <c r="C2" s="59" t="s">
        <v>11</v>
      </c>
      <c r="D2" s="59" t="s">
        <v>11</v>
      </c>
      <c r="E2" s="59" t="s">
        <v>11</v>
      </c>
    </row>
    <row r="3" spans="1:5">
      <c r="A3" s="51" t="s">
        <v>15</v>
      </c>
      <c r="B3" s="51" t="str">
        <f t="shared" ref="B3:B12" si="0">"CATEGORY_"&amp;UPPER(A3)</f>
        <v>CATEGORY_NONE</v>
      </c>
      <c r="C3" s="56" t="s">
        <v>45</v>
      </c>
      <c r="D3" s="51" t="s">
        <v>47</v>
      </c>
      <c r="E3" s="51" t="s">
        <v>49</v>
      </c>
    </row>
    <row r="4" spans="1:5">
      <c r="A4" s="51" t="s">
        <v>54</v>
      </c>
      <c r="B4" s="51" t="str">
        <f t="shared" si="0"/>
        <v>CATEGORY_CURRENCY</v>
      </c>
      <c r="C4" s="56" t="s">
        <v>61</v>
      </c>
      <c r="D4" s="51" t="s">
        <v>54</v>
      </c>
      <c r="E4" s="51" t="s">
        <v>64</v>
      </c>
    </row>
    <row r="5" spans="1:5">
      <c r="A5" s="51" t="s">
        <v>67</v>
      </c>
      <c r="B5" s="51" t="str">
        <f t="shared" si="0"/>
        <v>CATEGORY_SOUL_STONE</v>
      </c>
      <c r="C5" s="56" t="s">
        <v>73</v>
      </c>
      <c r="D5" s="51" t="s">
        <v>75</v>
      </c>
      <c r="E5" s="51" t="s">
        <v>77</v>
      </c>
    </row>
    <row r="6" spans="1:5">
      <c r="A6" s="51" t="s">
        <v>82</v>
      </c>
      <c r="B6" s="51" t="str">
        <f t="shared" si="0"/>
        <v>CATEGORY_BUNDLE</v>
      </c>
      <c r="C6" s="56" t="s">
        <v>86</v>
      </c>
      <c r="D6" s="51" t="s">
        <v>82</v>
      </c>
      <c r="E6" s="51" t="s">
        <v>90</v>
      </c>
    </row>
    <row r="7" spans="1:5">
      <c r="A7" s="51" t="s">
        <v>94</v>
      </c>
      <c r="B7" s="51" t="str">
        <f t="shared" si="0"/>
        <v>CATEGORY_ITEM</v>
      </c>
      <c r="C7" s="56" t="s">
        <v>98</v>
      </c>
      <c r="D7" s="51" t="s">
        <v>94</v>
      </c>
      <c r="E7" s="51" t="s">
        <v>102</v>
      </c>
    </row>
    <row r="8" spans="1:5">
      <c r="A8" s="51" t="s">
        <v>107</v>
      </c>
      <c r="B8" s="51" t="str">
        <f t="shared" si="0"/>
        <v>CATEGORY_TREASUREPIECE</v>
      </c>
      <c r="C8" s="56" t="s">
        <v>112</v>
      </c>
      <c r="D8" s="51" t="s">
        <v>115</v>
      </c>
      <c r="E8" s="51" t="s">
        <v>117</v>
      </c>
    </row>
    <row r="9" spans="1:5">
      <c r="A9" s="51" t="s">
        <v>3744</v>
      </c>
      <c r="B9" s="51" t="str">
        <f t="shared" si="0"/>
        <v>CATEGORY_TICKET_GACHA</v>
      </c>
      <c r="C9" s="56" t="s">
        <v>124</v>
      </c>
      <c r="D9" s="51" t="s">
        <v>125</v>
      </c>
      <c r="E9" s="51" t="s">
        <v>128</v>
      </c>
    </row>
    <row r="10" spans="1:5">
      <c r="A10" s="51" t="s">
        <v>132</v>
      </c>
      <c r="B10" s="51" t="str">
        <f t="shared" si="0"/>
        <v>CATEGORY_TREASURE</v>
      </c>
      <c r="C10" s="56" t="s">
        <v>136</v>
      </c>
      <c r="D10" s="51" t="s">
        <v>132</v>
      </c>
      <c r="E10" s="51" t="s">
        <v>140</v>
      </c>
    </row>
    <row r="11" spans="1:5">
      <c r="A11" s="51" t="s">
        <v>144</v>
      </c>
      <c r="B11" s="51" t="str">
        <f t="shared" si="0"/>
        <v>CATEGORY_CONTENTSTICKET</v>
      </c>
      <c r="C11" s="56" t="s">
        <v>148</v>
      </c>
      <c r="D11" s="51" t="s">
        <v>149</v>
      </c>
      <c r="E11" s="51" t="s">
        <v>151</v>
      </c>
    </row>
    <row r="12" spans="1:5">
      <c r="A12" s="51" t="s">
        <v>156</v>
      </c>
      <c r="B12" s="51" t="str">
        <f t="shared" si="0"/>
        <v>CATEGORY_MAX</v>
      </c>
      <c r="C12" s="51" t="s">
        <v>159</v>
      </c>
      <c r="D12" s="51" t="s">
        <v>162</v>
      </c>
      <c r="E12" s="51" t="s">
        <v>165</v>
      </c>
    </row>
    <row r="13" spans="1:5">
      <c r="A13" s="51" t="s">
        <v>67</v>
      </c>
      <c r="B13" s="51" t="str">
        <f t="shared" ref="B13" si="1">"NAME_"&amp;UPPER(A13)</f>
        <v>NAME_SOUL_STONE</v>
      </c>
      <c r="C13" s="51" t="s">
        <v>186</v>
      </c>
      <c r="D13" s="51" t="s">
        <v>188</v>
      </c>
      <c r="E13" s="51" t="s">
        <v>190</v>
      </c>
    </row>
    <row r="14" spans="1:5">
      <c r="A14" s="55" t="s">
        <v>3663</v>
      </c>
      <c r="B14" s="51" t="str">
        <f t="shared" ref="B14:B35" si="2">"NAME_"&amp;UPPER(A14)</f>
        <v>NAME_RICE</v>
      </c>
      <c r="C14" s="56" t="s">
        <v>208</v>
      </c>
      <c r="D14" s="51" t="s">
        <v>209</v>
      </c>
      <c r="E14" s="51" t="s">
        <v>210</v>
      </c>
    </row>
    <row r="15" spans="1:5">
      <c r="A15" s="55" t="s">
        <v>3664</v>
      </c>
      <c r="B15" s="51" t="str">
        <f t="shared" si="2"/>
        <v>NAME_GOLD</v>
      </c>
      <c r="C15" s="56" t="s">
        <v>195</v>
      </c>
      <c r="D15" s="51" t="s">
        <v>196</v>
      </c>
      <c r="E15" s="51" t="s">
        <v>200</v>
      </c>
    </row>
    <row r="16" spans="1:5">
      <c r="A16" s="55" t="s">
        <v>3724</v>
      </c>
      <c r="B16" s="51" t="str">
        <f t="shared" si="2"/>
        <v>NAME_GOLDFREE</v>
      </c>
      <c r="C16" s="56" t="s">
        <v>195</v>
      </c>
      <c r="D16" s="51" t="s">
        <v>196</v>
      </c>
      <c r="E16" s="51" t="s">
        <v>200</v>
      </c>
    </row>
    <row r="17" spans="1:5">
      <c r="A17" s="55" t="s">
        <v>3725</v>
      </c>
      <c r="B17" s="51" t="str">
        <f t="shared" si="2"/>
        <v>NAME_GOLDPAID</v>
      </c>
      <c r="C17" s="83" t="s">
        <v>3772</v>
      </c>
      <c r="D17" s="83" t="s">
        <v>3772</v>
      </c>
      <c r="E17" s="83" t="s">
        <v>3772</v>
      </c>
    </row>
    <row r="18" spans="1:5">
      <c r="A18" s="55" t="s">
        <v>3665</v>
      </c>
      <c r="B18" s="51" t="str">
        <f t="shared" si="2"/>
        <v>NAME_TIMESTONE</v>
      </c>
      <c r="C18" s="51" t="s">
        <v>217</v>
      </c>
      <c r="D18" s="51" t="s">
        <v>219</v>
      </c>
      <c r="E18" s="51" t="s">
        <v>221</v>
      </c>
    </row>
    <row r="19" spans="1:5">
      <c r="A19" s="55" t="s">
        <v>3666</v>
      </c>
      <c r="B19" s="51" t="str">
        <f t="shared" si="2"/>
        <v>NAME_POCKETRICE</v>
      </c>
      <c r="C19" s="51" t="s">
        <v>3623</v>
      </c>
      <c r="D19" s="52"/>
      <c r="E19" s="52"/>
    </row>
    <row r="20" spans="1:5">
      <c r="A20" s="55" t="s">
        <v>3667</v>
      </c>
      <c r="B20" s="51" t="str">
        <f t="shared" si="2"/>
        <v>NAME_POCKETGOLD</v>
      </c>
      <c r="C20" s="51" t="s">
        <v>3624</v>
      </c>
      <c r="D20" s="52"/>
      <c r="E20" s="52"/>
    </row>
    <row r="21" spans="1:5">
      <c r="A21" s="55" t="s">
        <v>3668</v>
      </c>
      <c r="B21" s="51" t="str">
        <f t="shared" si="2"/>
        <v>NAME_POCKETTIMESTONE</v>
      </c>
      <c r="C21" s="57" t="s">
        <v>3625</v>
      </c>
      <c r="D21" s="52"/>
      <c r="E21" s="52"/>
    </row>
    <row r="22" spans="1:5">
      <c r="A22" s="55" t="s">
        <v>3669</v>
      </c>
      <c r="B22" s="51" t="str">
        <f t="shared" si="2"/>
        <v>NAME_RANDOMBOXSOULSTONECLASS</v>
      </c>
      <c r="C22" s="57" t="s">
        <v>3626</v>
      </c>
      <c r="D22" s="52"/>
      <c r="E22" s="52"/>
    </row>
    <row r="23" spans="1:5">
      <c r="A23" s="55" t="s">
        <v>3670</v>
      </c>
      <c r="B23" s="51" t="str">
        <f t="shared" si="2"/>
        <v>NAME_RANDOMBOXSOULSTONEDEDICATED</v>
      </c>
      <c r="C23" s="57" t="s">
        <v>3627</v>
      </c>
      <c r="D23" s="52"/>
      <c r="E23" s="52"/>
    </row>
    <row r="24" spans="1:5">
      <c r="A24" s="55" t="s">
        <v>3671</v>
      </c>
      <c r="B24" s="51" t="str">
        <f t="shared" si="2"/>
        <v>NAME_RANDOMBOXTREASUREPIECE</v>
      </c>
      <c r="C24" s="57" t="s">
        <v>3628</v>
      </c>
      <c r="D24" s="52"/>
      <c r="E24" s="52"/>
    </row>
    <row r="25" spans="1:5">
      <c r="A25" s="55" t="s">
        <v>3672</v>
      </c>
      <c r="B25" s="51" t="str">
        <f t="shared" si="2"/>
        <v>NAME_TICKETGACHANORMAL</v>
      </c>
      <c r="C25" s="57" t="s">
        <v>3629</v>
      </c>
      <c r="D25" s="52"/>
      <c r="E25" s="52"/>
    </row>
    <row r="26" spans="1:5">
      <c r="A26" s="55" t="s">
        <v>3673</v>
      </c>
      <c r="B26" s="51" t="str">
        <f t="shared" si="2"/>
        <v>NAME_TICKETGACHAPREMIUM</v>
      </c>
      <c r="C26" s="57" t="s">
        <v>3630</v>
      </c>
      <c r="D26" s="52"/>
      <c r="E26" s="52"/>
    </row>
    <row r="27" spans="1:5">
      <c r="A27" s="55" t="s">
        <v>3674</v>
      </c>
      <c r="B27" s="51" t="str">
        <f t="shared" si="2"/>
        <v>NAME_POINTRAID</v>
      </c>
      <c r="C27" s="57" t="s">
        <v>308</v>
      </c>
      <c r="D27" s="52"/>
      <c r="E27" s="52"/>
    </row>
    <row r="28" spans="1:5">
      <c r="A28" s="55" t="s">
        <v>3675</v>
      </c>
      <c r="B28" s="51" t="str">
        <f t="shared" si="2"/>
        <v>NAME_POINTTOURNAMENT</v>
      </c>
      <c r="C28" s="57" t="s">
        <v>3631</v>
      </c>
      <c r="D28" s="52"/>
      <c r="E28" s="52"/>
    </row>
    <row r="29" spans="1:5">
      <c r="A29" s="55" t="s">
        <v>3676</v>
      </c>
      <c r="B29" s="51" t="str">
        <f t="shared" si="2"/>
        <v>NAME_SOULSTONEPUBLIC</v>
      </c>
      <c r="C29" s="57" t="s">
        <v>3632</v>
      </c>
      <c r="D29" s="52"/>
      <c r="E29" s="52"/>
    </row>
    <row r="30" spans="1:5">
      <c r="A30" s="55" t="s">
        <v>3677</v>
      </c>
      <c r="B30" s="51" t="str">
        <f t="shared" si="2"/>
        <v>NAME_SOULSTONEDEDICATED</v>
      </c>
      <c r="C30" s="57" t="s">
        <v>260</v>
      </c>
      <c r="D30" s="52"/>
      <c r="E30" s="52"/>
    </row>
    <row r="31" spans="1:5">
      <c r="A31" s="55" t="s">
        <v>3678</v>
      </c>
      <c r="B31" s="51" t="str">
        <f t="shared" si="2"/>
        <v>NAME_SOULSTONECLASS</v>
      </c>
      <c r="C31" s="57" t="s">
        <v>3633</v>
      </c>
      <c r="D31" s="52"/>
      <c r="E31" s="52"/>
    </row>
    <row r="32" spans="1:5">
      <c r="A32" s="55" t="s">
        <v>3679</v>
      </c>
      <c r="B32" s="51" t="str">
        <f t="shared" si="2"/>
        <v>NAME_TREASUREMILEAGE</v>
      </c>
      <c r="C32" s="57" t="s">
        <v>3634</v>
      </c>
      <c r="D32" s="52"/>
      <c r="E32" s="52"/>
    </row>
    <row r="33" spans="1:5">
      <c r="A33" s="55" t="s">
        <v>107</v>
      </c>
      <c r="B33" s="51" t="str">
        <f t="shared" si="2"/>
        <v>NAME_TREASUREPIECE</v>
      </c>
      <c r="C33" s="57" t="s">
        <v>279</v>
      </c>
      <c r="D33" s="52"/>
      <c r="E33" s="52"/>
    </row>
    <row r="34" spans="1:5">
      <c r="A34" s="55" t="s">
        <v>132</v>
      </c>
      <c r="B34" s="51" t="str">
        <f t="shared" si="2"/>
        <v>NAME_TREASURE</v>
      </c>
      <c r="C34" s="57" t="s">
        <v>136</v>
      </c>
      <c r="D34" s="52"/>
      <c r="E34" s="52"/>
    </row>
    <row r="35" spans="1:5">
      <c r="A35" s="55" t="s">
        <v>3680</v>
      </c>
      <c r="B35" s="51" t="str">
        <f t="shared" si="2"/>
        <v>NAME_TICKETTOURNAMENT</v>
      </c>
      <c r="C35" s="57" t="s">
        <v>3635</v>
      </c>
      <c r="D35" s="52"/>
      <c r="E35" s="52"/>
    </row>
    <row r="36" spans="1:5">
      <c r="A36" s="55" t="s">
        <v>3681</v>
      </c>
      <c r="B36" s="51" t="str">
        <f t="shared" ref="B36" si="3">"NAME_"&amp;UPPER(A36)</f>
        <v>NAME_PASS</v>
      </c>
      <c r="C36" s="81" t="s">
        <v>3732</v>
      </c>
      <c r="D36" s="52"/>
      <c r="E36" s="52"/>
    </row>
    <row r="37" spans="1:5">
      <c r="A37" s="55" t="s">
        <v>3663</v>
      </c>
      <c r="B37" s="51" t="str">
        <f t="shared" ref="B37:B57" si="4">"DESC_"&amp;UPPER(A37)</f>
        <v>DESC_RICE</v>
      </c>
      <c r="C37" s="51"/>
      <c r="D37" s="52"/>
      <c r="E37" s="52"/>
    </row>
    <row r="38" spans="1:5">
      <c r="A38" s="55" t="s">
        <v>3664</v>
      </c>
      <c r="B38" s="51" t="str">
        <f t="shared" si="4"/>
        <v>DESC_GOLD</v>
      </c>
      <c r="C38" s="56"/>
      <c r="D38" s="51"/>
      <c r="E38" s="51"/>
    </row>
    <row r="39" spans="1:5">
      <c r="A39" s="55" t="s">
        <v>3662</v>
      </c>
      <c r="B39" s="51" t="str">
        <f t="shared" si="4"/>
        <v>DESC_GOLD_FREE</v>
      </c>
      <c r="C39" s="56"/>
      <c r="D39" s="51"/>
      <c r="E39" s="51"/>
    </row>
    <row r="40" spans="1:5">
      <c r="A40" s="55" t="s">
        <v>3661</v>
      </c>
      <c r="B40" s="51" t="str">
        <f t="shared" si="4"/>
        <v>DESC_GOLD_PAID</v>
      </c>
      <c r="C40" s="51"/>
      <c r="D40" s="52"/>
      <c r="E40" s="52"/>
    </row>
    <row r="41" spans="1:5">
      <c r="A41" s="55" t="s">
        <v>3665</v>
      </c>
      <c r="B41" s="51" t="str">
        <f t="shared" si="4"/>
        <v>DESC_TIMESTONE</v>
      </c>
      <c r="C41" s="51"/>
      <c r="D41" s="52"/>
      <c r="E41" s="52"/>
    </row>
    <row r="42" spans="1:5">
      <c r="A42" s="55" t="s">
        <v>3666</v>
      </c>
      <c r="B42" s="51" t="str">
        <f t="shared" si="4"/>
        <v>DESC_POCKETRICE</v>
      </c>
      <c r="C42" s="51"/>
      <c r="D42" s="52"/>
      <c r="E42" s="52"/>
    </row>
    <row r="43" spans="1:5">
      <c r="A43" s="55" t="s">
        <v>3667</v>
      </c>
      <c r="B43" s="51" t="str">
        <f t="shared" si="4"/>
        <v>DESC_POCKETGOLD</v>
      </c>
      <c r="C43" s="51"/>
      <c r="D43" s="52"/>
      <c r="E43" s="52"/>
    </row>
    <row r="44" spans="1:5">
      <c r="A44" s="55" t="s">
        <v>3668</v>
      </c>
      <c r="B44" s="51" t="str">
        <f t="shared" si="4"/>
        <v>DESC_POCKETTIMESTONE</v>
      </c>
      <c r="C44" s="51"/>
      <c r="D44" s="52"/>
      <c r="E44" s="52"/>
    </row>
    <row r="45" spans="1:5">
      <c r="A45" s="55" t="s">
        <v>3669</v>
      </c>
      <c r="B45" s="51" t="str">
        <f t="shared" si="4"/>
        <v>DESC_RANDOMBOXSOULSTONECLASS</v>
      </c>
      <c r="C45" s="51"/>
      <c r="D45" s="52"/>
      <c r="E45" s="52"/>
    </row>
    <row r="46" spans="1:5">
      <c r="A46" s="55" t="s">
        <v>3670</v>
      </c>
      <c r="B46" s="51" t="str">
        <f t="shared" si="4"/>
        <v>DESC_RANDOMBOXSOULSTONEDEDICATED</v>
      </c>
      <c r="C46" s="51"/>
      <c r="D46" s="52"/>
      <c r="E46" s="52"/>
    </row>
    <row r="47" spans="1:5">
      <c r="A47" s="55" t="s">
        <v>3671</v>
      </c>
      <c r="B47" s="51" t="str">
        <f t="shared" si="4"/>
        <v>DESC_RANDOMBOXTREASUREPIECE</v>
      </c>
      <c r="C47" s="51"/>
      <c r="D47" s="52"/>
      <c r="E47" s="52"/>
    </row>
    <row r="48" spans="1:5">
      <c r="A48" s="55" t="s">
        <v>3672</v>
      </c>
      <c r="B48" s="51" t="str">
        <f t="shared" si="4"/>
        <v>DESC_TICKETGACHANORMAL</v>
      </c>
      <c r="C48" s="51"/>
      <c r="D48" s="52"/>
      <c r="E48" s="52"/>
    </row>
    <row r="49" spans="1:5">
      <c r="A49" s="55" t="s">
        <v>3673</v>
      </c>
      <c r="B49" s="51" t="str">
        <f t="shared" si="4"/>
        <v>DESC_TICKETGACHAPREMIUM</v>
      </c>
      <c r="C49" s="51"/>
      <c r="D49" s="52"/>
      <c r="E49" s="52"/>
    </row>
    <row r="50" spans="1:5">
      <c r="A50" s="55" t="s">
        <v>3674</v>
      </c>
      <c r="B50" s="51" t="str">
        <f t="shared" si="4"/>
        <v>DESC_POINTRAID</v>
      </c>
      <c r="C50" s="51"/>
      <c r="D50" s="52"/>
      <c r="E50" s="52"/>
    </row>
    <row r="51" spans="1:5">
      <c r="A51" s="55" t="s">
        <v>3675</v>
      </c>
      <c r="B51" s="51" t="str">
        <f t="shared" si="4"/>
        <v>DESC_POINTTOURNAMENT</v>
      </c>
      <c r="C51" s="51"/>
      <c r="D51" s="52"/>
      <c r="E51" s="52"/>
    </row>
    <row r="52" spans="1:5">
      <c r="A52" s="55" t="s">
        <v>3676</v>
      </c>
      <c r="B52" s="51" t="str">
        <f t="shared" si="4"/>
        <v>DESC_SOULSTONEPUBLIC</v>
      </c>
      <c r="C52" s="51"/>
      <c r="D52" s="52"/>
      <c r="E52" s="52"/>
    </row>
    <row r="53" spans="1:5">
      <c r="A53" s="55" t="s">
        <v>3677</v>
      </c>
      <c r="B53" s="51" t="str">
        <f t="shared" si="4"/>
        <v>DESC_SOULSTONEDEDICATED</v>
      </c>
      <c r="C53" s="51"/>
      <c r="D53" s="52"/>
      <c r="E53" s="52"/>
    </row>
    <row r="54" spans="1:5">
      <c r="A54" s="55" t="s">
        <v>3678</v>
      </c>
      <c r="B54" s="51" t="str">
        <f t="shared" si="4"/>
        <v>DESC_SOULSTONECLASS</v>
      </c>
      <c r="C54" s="51"/>
      <c r="D54" s="52"/>
      <c r="E54" s="52"/>
    </row>
    <row r="55" spans="1:5">
      <c r="A55" s="55" t="s">
        <v>3679</v>
      </c>
      <c r="B55" s="51" t="str">
        <f t="shared" si="4"/>
        <v>DESC_TREASUREMILEAGE</v>
      </c>
      <c r="C55" s="51"/>
      <c r="D55" s="52"/>
      <c r="E55" s="52"/>
    </row>
    <row r="56" spans="1:5">
      <c r="A56" s="55" t="s">
        <v>107</v>
      </c>
      <c r="B56" s="51" t="str">
        <f t="shared" si="4"/>
        <v>DESC_TREASUREPIECE</v>
      </c>
      <c r="C56" s="51"/>
      <c r="D56" s="52"/>
      <c r="E56" s="52"/>
    </row>
    <row r="57" spans="1:5">
      <c r="A57" s="55" t="s">
        <v>132</v>
      </c>
      <c r="B57" s="51" t="str">
        <f t="shared" si="4"/>
        <v>DESC_TREASURE</v>
      </c>
      <c r="C57" s="51"/>
      <c r="D57" s="52"/>
      <c r="E57" s="52"/>
    </row>
    <row r="58" spans="1:5">
      <c r="A58" s="55" t="s">
        <v>3680</v>
      </c>
      <c r="B58" s="51" t="str">
        <f>"DESC_"&amp;UPPER(A58)</f>
        <v>DESC_TICKETTOURNAMENT</v>
      </c>
      <c r="C58" s="51"/>
      <c r="D58" s="52"/>
      <c r="E58" s="52"/>
    </row>
    <row r="59" spans="1:5">
      <c r="A59" s="55" t="s">
        <v>3681</v>
      </c>
      <c r="B59" s="51" t="str">
        <f>"DESC_"&amp;UPPER(A59)</f>
        <v>DESC_PASS</v>
      </c>
      <c r="C59" s="51"/>
      <c r="D59" s="52"/>
      <c r="E59" s="52"/>
    </row>
    <row r="60" spans="1:5" ht="16.5">
      <c r="A60" s="14"/>
      <c r="B60" s="14"/>
      <c r="C60" s="14"/>
    </row>
    <row r="61" spans="1:5" ht="16.5">
      <c r="A61" s="14"/>
      <c r="B61" s="14"/>
      <c r="C61" s="14"/>
    </row>
    <row r="62" spans="1:5" ht="16.5">
      <c r="A62" s="14"/>
      <c r="B62" s="14"/>
      <c r="C62" s="14"/>
    </row>
    <row r="63" spans="1:5" ht="16.5">
      <c r="A63" s="14"/>
      <c r="B63" s="14"/>
      <c r="C63" s="14"/>
    </row>
    <row r="64" spans="1:5" ht="16.5">
      <c r="A64" s="14"/>
      <c r="B64" s="14"/>
      <c r="C64" s="14"/>
    </row>
    <row r="65" spans="1:3" ht="16.5">
      <c r="A65" s="14"/>
      <c r="B65" s="14"/>
      <c r="C65" s="14"/>
    </row>
    <row r="66" spans="1:3" ht="16.5">
      <c r="A66" s="14"/>
      <c r="B66" s="14"/>
      <c r="C66" s="14"/>
    </row>
    <row r="67" spans="1:3" ht="16.5">
      <c r="A67" s="14"/>
      <c r="B67" s="14"/>
      <c r="C67" s="14"/>
    </row>
    <row r="68" spans="1:3" ht="16.5">
      <c r="A68" s="14"/>
      <c r="B68" s="14"/>
      <c r="C68" s="14"/>
    </row>
    <row r="69" spans="1:3" ht="16.5">
      <c r="A69" s="14"/>
      <c r="B69" s="14"/>
      <c r="C69" s="14"/>
    </row>
    <row r="70" spans="1:3" ht="16.5">
      <c r="A70" s="14"/>
      <c r="B70" s="14"/>
      <c r="C70" s="14"/>
    </row>
    <row r="71" spans="1:3" ht="16.5">
      <c r="A71" s="14"/>
      <c r="B71" s="14"/>
      <c r="C71" s="14"/>
    </row>
    <row r="72" spans="1:3" ht="16.5">
      <c r="A72" s="14"/>
      <c r="B72" s="14"/>
      <c r="C72" s="14"/>
    </row>
    <row r="73" spans="1:3" ht="16.5">
      <c r="A73" s="14"/>
      <c r="B73" s="14"/>
      <c r="C73" s="14"/>
    </row>
    <row r="74" spans="1:3" ht="16.5">
      <c r="A74" s="14"/>
      <c r="B74" s="14"/>
      <c r="C74" s="14"/>
    </row>
    <row r="75" spans="1:3" ht="16.5">
      <c r="A75" s="14"/>
      <c r="B75" s="14"/>
      <c r="C75" s="14"/>
    </row>
    <row r="76" spans="1:3" ht="16.5">
      <c r="A76" s="14"/>
      <c r="B76" s="14"/>
      <c r="C76" s="14"/>
    </row>
    <row r="77" spans="1:3" ht="16.5">
      <c r="A77" s="14"/>
      <c r="B77" s="14"/>
      <c r="C77" s="14"/>
    </row>
    <row r="78" spans="1:3" ht="16.5">
      <c r="A78" s="14"/>
      <c r="B78" s="14"/>
      <c r="C78" s="14"/>
    </row>
    <row r="79" spans="1:3" ht="16.5">
      <c r="A79" s="14"/>
      <c r="B79" s="14"/>
      <c r="C79" s="14"/>
    </row>
    <row r="80" spans="1:3" ht="16.5">
      <c r="A80" s="14"/>
      <c r="B80" s="14"/>
      <c r="C80" s="14"/>
    </row>
    <row r="81" spans="1:3" ht="16.5">
      <c r="A81" s="14"/>
      <c r="B81" s="14"/>
      <c r="C81" s="14"/>
    </row>
    <row r="82" spans="1:3" ht="16.5">
      <c r="A82" s="14"/>
      <c r="B82" s="14"/>
      <c r="C82" s="14"/>
    </row>
    <row r="83" spans="1:3" ht="16.5">
      <c r="A83" s="14"/>
      <c r="B83" s="14"/>
      <c r="C83" s="14"/>
    </row>
    <row r="84" spans="1:3" ht="16.5">
      <c r="A84" s="14"/>
      <c r="B84" s="14"/>
      <c r="C84" s="14"/>
    </row>
    <row r="85" spans="1:3" ht="16.5">
      <c r="A85" s="14"/>
      <c r="B85" s="14"/>
      <c r="C85" s="14"/>
    </row>
    <row r="86" spans="1:3" ht="16.5">
      <c r="A86" s="14"/>
      <c r="B86" s="14"/>
      <c r="C86" s="14"/>
    </row>
    <row r="87" spans="1:3" ht="16.5">
      <c r="A87" s="14"/>
      <c r="B87" s="14"/>
      <c r="C87" s="14"/>
    </row>
    <row r="88" spans="1:3" ht="16.5">
      <c r="A88" s="14"/>
      <c r="B88" s="14"/>
      <c r="C88" s="14"/>
    </row>
    <row r="89" spans="1:3" ht="16.5">
      <c r="A89" s="14"/>
      <c r="B89" s="14"/>
      <c r="C89" s="14"/>
    </row>
    <row r="90" spans="1:3" ht="16.5">
      <c r="A90" s="14"/>
      <c r="B90" s="14"/>
      <c r="C90" s="14"/>
    </row>
    <row r="91" spans="1:3" ht="16.5">
      <c r="A91" s="14"/>
      <c r="B91" s="14"/>
      <c r="C91" s="14"/>
    </row>
    <row r="92" spans="1:3" ht="16.5">
      <c r="A92" s="14"/>
      <c r="B92" s="14"/>
      <c r="C92" s="14"/>
    </row>
    <row r="93" spans="1:3" ht="16.5">
      <c r="A93" s="14"/>
      <c r="B93" s="14"/>
      <c r="C93" s="14"/>
    </row>
    <row r="94" spans="1:3" ht="16.5">
      <c r="A94" s="14"/>
      <c r="B94" s="14"/>
      <c r="C94" s="14"/>
    </row>
    <row r="95" spans="1:3" ht="16.5">
      <c r="A95" s="14"/>
      <c r="B95" s="14"/>
      <c r="C95" s="14"/>
    </row>
    <row r="96" spans="1:3" ht="16.5">
      <c r="A96" s="14"/>
      <c r="B96" s="14"/>
      <c r="C96" s="14"/>
    </row>
    <row r="97" spans="1:3" ht="16.5">
      <c r="A97" s="14"/>
      <c r="B97" s="14"/>
      <c r="C97" s="14"/>
    </row>
    <row r="98" spans="1:3" ht="16.5">
      <c r="A98" s="14"/>
      <c r="B98" s="14"/>
      <c r="C98" s="14"/>
    </row>
    <row r="99" spans="1:3" ht="16.5">
      <c r="A99" s="14"/>
      <c r="B99" s="14"/>
      <c r="C99" s="14"/>
    </row>
    <row r="100" spans="1:3" ht="16.5">
      <c r="A100" s="14"/>
      <c r="B100" s="14"/>
      <c r="C100" s="14"/>
    </row>
    <row r="101" spans="1:3" ht="16.5">
      <c r="A101" s="14"/>
      <c r="B101" s="14"/>
      <c r="C101" s="14"/>
    </row>
    <row r="102" spans="1:3" ht="16.5">
      <c r="A102" s="14"/>
      <c r="B102" s="14"/>
      <c r="C102" s="14"/>
    </row>
    <row r="103" spans="1:3" ht="16.5">
      <c r="A103" s="14"/>
      <c r="B103" s="14"/>
      <c r="C103" s="14"/>
    </row>
    <row r="104" spans="1:3" ht="16.5">
      <c r="A104" s="14"/>
      <c r="B104" s="14"/>
      <c r="C104" s="14"/>
    </row>
    <row r="105" spans="1:3" ht="16.5">
      <c r="A105" s="14"/>
      <c r="B105" s="14"/>
      <c r="C105" s="14"/>
    </row>
    <row r="106" spans="1:3" ht="16.5">
      <c r="A106" s="14"/>
      <c r="B106" s="14"/>
      <c r="C106" s="14"/>
    </row>
    <row r="107" spans="1:3" ht="16.5">
      <c r="A107" s="14"/>
      <c r="B107" s="14"/>
      <c r="C107" s="14"/>
    </row>
    <row r="108" spans="1:3" ht="16.5">
      <c r="A108" s="14"/>
      <c r="B108" s="14"/>
      <c r="C108" s="14"/>
    </row>
    <row r="109" spans="1:3" ht="16.5">
      <c r="A109" s="14"/>
      <c r="B109" s="14"/>
      <c r="C109" s="14"/>
    </row>
    <row r="110" spans="1:3" ht="16.5">
      <c r="A110" s="14"/>
      <c r="B110" s="14"/>
      <c r="C110" s="14"/>
    </row>
    <row r="111" spans="1:3" ht="16.5">
      <c r="A111" s="14"/>
      <c r="B111" s="14"/>
      <c r="C111" s="14"/>
    </row>
    <row r="112" spans="1:3" ht="16.5">
      <c r="A112" s="14"/>
      <c r="B112" s="14"/>
      <c r="C112" s="14"/>
    </row>
    <row r="113" spans="1:3" ht="16.5">
      <c r="A113" s="14"/>
      <c r="B113" s="14"/>
      <c r="C113" s="14"/>
    </row>
    <row r="114" spans="1:3" ht="16.5">
      <c r="A114" s="14"/>
      <c r="B114" s="14"/>
      <c r="C114" s="14"/>
    </row>
    <row r="115" spans="1:3" ht="16.5">
      <c r="A115" s="14"/>
      <c r="B115" s="14"/>
      <c r="C115" s="14"/>
    </row>
    <row r="116" spans="1:3" ht="16.5">
      <c r="A116" s="14"/>
      <c r="B116" s="14"/>
      <c r="C116" s="14"/>
    </row>
    <row r="117" spans="1:3" ht="16.5">
      <c r="A117" s="14"/>
      <c r="B117" s="14"/>
      <c r="C117" s="14"/>
    </row>
    <row r="118" spans="1:3" ht="16.5">
      <c r="A118" s="14"/>
      <c r="B118" s="14"/>
      <c r="C118" s="14"/>
    </row>
    <row r="119" spans="1:3" ht="16.5">
      <c r="A119" s="14"/>
      <c r="B119" s="14"/>
      <c r="C119" s="14"/>
    </row>
    <row r="120" spans="1:3" ht="16.5">
      <c r="A120" s="14"/>
      <c r="B120" s="14"/>
      <c r="C120" s="14"/>
    </row>
    <row r="121" spans="1:3" ht="16.5">
      <c r="A121" s="14"/>
      <c r="B121" s="14"/>
      <c r="C121" s="14"/>
    </row>
    <row r="122" spans="1:3" ht="16.5">
      <c r="A122" s="14"/>
      <c r="B122" s="14"/>
      <c r="C122" s="14"/>
    </row>
    <row r="123" spans="1:3" ht="16.5">
      <c r="A123" s="14"/>
      <c r="B123" s="14"/>
      <c r="C123" s="14"/>
    </row>
    <row r="124" spans="1:3" ht="16.5">
      <c r="A124" s="14"/>
      <c r="B124" s="14"/>
      <c r="C124" s="14"/>
    </row>
    <row r="125" spans="1:3" ht="16.5">
      <c r="A125" s="14"/>
      <c r="B125" s="14"/>
      <c r="C125" s="14"/>
    </row>
    <row r="126" spans="1:3" ht="16.5">
      <c r="A126" s="14"/>
      <c r="B126" s="14"/>
      <c r="C126" s="14"/>
    </row>
    <row r="127" spans="1:3" ht="16.5">
      <c r="A127" s="14"/>
      <c r="B127" s="14"/>
      <c r="C127" s="14"/>
    </row>
    <row r="128" spans="1:3" ht="16.5">
      <c r="A128" s="14"/>
      <c r="B128" s="14"/>
      <c r="C128" s="14"/>
    </row>
    <row r="129" spans="1:3" ht="16.5">
      <c r="A129" s="14"/>
      <c r="B129" s="14"/>
      <c r="C129" s="14"/>
    </row>
    <row r="130" spans="1:3" ht="16.5">
      <c r="A130" s="14"/>
      <c r="B130" s="14"/>
      <c r="C130" s="14"/>
    </row>
    <row r="131" spans="1:3" ht="16.5">
      <c r="A131" s="14"/>
      <c r="B131" s="14"/>
      <c r="C131" s="14"/>
    </row>
    <row r="132" spans="1:3" ht="16.5">
      <c r="A132" s="14"/>
      <c r="B132" s="14"/>
      <c r="C132" s="14"/>
    </row>
    <row r="133" spans="1:3" ht="16.5">
      <c r="A133" s="14"/>
      <c r="B133" s="14"/>
      <c r="C133" s="14"/>
    </row>
    <row r="134" spans="1:3" ht="16.5">
      <c r="A134" s="14"/>
      <c r="B134" s="14"/>
      <c r="C134" s="14"/>
    </row>
    <row r="135" spans="1:3" ht="16.5">
      <c r="A135" s="14"/>
      <c r="B135" s="14"/>
      <c r="C135" s="14"/>
    </row>
    <row r="136" spans="1:3" ht="16.5">
      <c r="A136" s="14"/>
      <c r="B136" s="14"/>
      <c r="C136" s="14"/>
    </row>
    <row r="137" spans="1:3" ht="16.5">
      <c r="A137" s="14"/>
      <c r="B137" s="14"/>
      <c r="C137" s="14"/>
    </row>
    <row r="138" spans="1:3" ht="16.5">
      <c r="A138" s="14"/>
      <c r="B138" s="14"/>
      <c r="C138" s="14"/>
    </row>
    <row r="139" spans="1:3" ht="16.5">
      <c r="A139" s="14"/>
      <c r="B139" s="14"/>
      <c r="C139" s="14"/>
    </row>
    <row r="140" spans="1:3" ht="16.5">
      <c r="A140" s="14"/>
      <c r="B140" s="14"/>
      <c r="C140" s="14"/>
    </row>
    <row r="141" spans="1:3" ht="16.5">
      <c r="A141" s="14"/>
      <c r="B141" s="14"/>
      <c r="C141" s="14"/>
    </row>
    <row r="142" spans="1:3" ht="16.5">
      <c r="A142" s="14"/>
      <c r="B142" s="14"/>
      <c r="C142" s="14"/>
    </row>
    <row r="143" spans="1:3" ht="16.5">
      <c r="A143" s="14"/>
      <c r="B143" s="14"/>
      <c r="C143" s="14"/>
    </row>
    <row r="144" spans="1:3" ht="16.5">
      <c r="A144" s="14"/>
      <c r="B144" s="14"/>
      <c r="C144" s="14"/>
    </row>
    <row r="145" spans="1:3" ht="16.5">
      <c r="A145" s="14"/>
      <c r="B145" s="14"/>
      <c r="C145" s="14"/>
    </row>
    <row r="146" spans="1:3" ht="16.5">
      <c r="A146" s="14"/>
      <c r="B146" s="14"/>
      <c r="C146" s="14"/>
    </row>
    <row r="147" spans="1:3" ht="16.5">
      <c r="A147" s="14"/>
      <c r="B147" s="14"/>
      <c r="C147" s="14"/>
    </row>
    <row r="148" spans="1:3" ht="16.5">
      <c r="A148" s="14"/>
      <c r="B148" s="14"/>
      <c r="C148" s="14"/>
    </row>
    <row r="149" spans="1:3" ht="16.5">
      <c r="A149" s="14"/>
      <c r="B149" s="14"/>
      <c r="C149" s="14"/>
    </row>
    <row r="150" spans="1:3" ht="16.5">
      <c r="A150" s="14"/>
      <c r="B150" s="14"/>
      <c r="C150" s="14"/>
    </row>
    <row r="151" spans="1:3" ht="16.5">
      <c r="A151" s="14"/>
      <c r="B151" s="14"/>
      <c r="C151" s="14"/>
    </row>
    <row r="152" spans="1:3" ht="16.5">
      <c r="A152" s="14"/>
      <c r="B152" s="14"/>
      <c r="C152" s="14"/>
    </row>
    <row r="153" spans="1:3" ht="16.5">
      <c r="A153" s="14"/>
      <c r="B153" s="14"/>
      <c r="C153" s="14"/>
    </row>
    <row r="154" spans="1:3" ht="16.5">
      <c r="A154" s="14"/>
      <c r="B154" s="14"/>
      <c r="C154" s="14"/>
    </row>
    <row r="155" spans="1:3" ht="16.5">
      <c r="A155" s="14"/>
      <c r="B155" s="14"/>
      <c r="C155" s="14"/>
    </row>
    <row r="156" spans="1:3" ht="16.5">
      <c r="A156" s="14"/>
      <c r="B156" s="14"/>
      <c r="C156" s="14"/>
    </row>
    <row r="157" spans="1:3" ht="16.5">
      <c r="A157" s="14"/>
      <c r="B157" s="14"/>
      <c r="C157" s="14"/>
    </row>
    <row r="158" spans="1:3" ht="16.5">
      <c r="A158" s="14"/>
      <c r="B158" s="14"/>
      <c r="C158" s="14"/>
    </row>
    <row r="159" spans="1:3" ht="16.5">
      <c r="A159" s="14"/>
      <c r="B159" s="14"/>
      <c r="C159" s="14"/>
    </row>
    <row r="160" spans="1:3" ht="16.5">
      <c r="A160" s="14"/>
      <c r="B160" s="14"/>
      <c r="C160" s="14"/>
    </row>
    <row r="161" spans="1:3" ht="16.5">
      <c r="A161" s="14"/>
      <c r="B161" s="14"/>
      <c r="C161" s="14"/>
    </row>
    <row r="162" spans="1:3" ht="16.5">
      <c r="A162" s="14"/>
      <c r="B162" s="14"/>
      <c r="C162" s="14"/>
    </row>
    <row r="163" spans="1:3" ht="16.5">
      <c r="A163" s="14"/>
      <c r="B163" s="14"/>
      <c r="C163" s="14"/>
    </row>
    <row r="164" spans="1:3" ht="16.5">
      <c r="A164" s="14"/>
      <c r="B164" s="14"/>
      <c r="C164" s="14"/>
    </row>
    <row r="165" spans="1:3" ht="16.5">
      <c r="A165" s="14"/>
      <c r="B165" s="14"/>
      <c r="C165" s="14"/>
    </row>
    <row r="166" spans="1:3" ht="16.5">
      <c r="A166" s="14"/>
      <c r="B166" s="14"/>
      <c r="C166" s="14"/>
    </row>
    <row r="167" spans="1:3" ht="16.5">
      <c r="A167" s="14"/>
      <c r="B167" s="14"/>
      <c r="C167" s="14"/>
    </row>
    <row r="168" spans="1:3" ht="16.5">
      <c r="A168" s="14"/>
      <c r="B168" s="14"/>
      <c r="C168" s="14"/>
    </row>
    <row r="169" spans="1:3" ht="16.5">
      <c r="A169" s="14"/>
      <c r="B169" s="14"/>
      <c r="C169" s="14"/>
    </row>
    <row r="170" spans="1:3" ht="16.5">
      <c r="A170" s="14"/>
      <c r="B170" s="14"/>
      <c r="C170" s="14"/>
    </row>
    <row r="171" spans="1:3" ht="16.5">
      <c r="A171" s="14"/>
      <c r="B171" s="14"/>
      <c r="C171" s="14"/>
    </row>
    <row r="172" spans="1:3" ht="16.5">
      <c r="A172" s="14"/>
      <c r="B172" s="14"/>
      <c r="C172" s="14"/>
    </row>
    <row r="173" spans="1:3" ht="16.5">
      <c r="A173" s="14"/>
      <c r="B173" s="14"/>
      <c r="C173" s="14"/>
    </row>
    <row r="174" spans="1:3" ht="16.5">
      <c r="A174" s="14"/>
      <c r="B174" s="14"/>
      <c r="C174" s="14"/>
    </row>
    <row r="175" spans="1:3" ht="16.5">
      <c r="A175" s="14"/>
      <c r="B175" s="14"/>
      <c r="C175" s="14"/>
    </row>
    <row r="176" spans="1:3" ht="16.5">
      <c r="A176" s="14"/>
      <c r="B176" s="14"/>
      <c r="C176" s="14"/>
    </row>
    <row r="177" spans="1:3" ht="16.5">
      <c r="A177" s="14"/>
      <c r="B177" s="14"/>
      <c r="C177" s="14"/>
    </row>
    <row r="178" spans="1:3" ht="16.5">
      <c r="A178" s="14"/>
      <c r="B178" s="14"/>
      <c r="C178" s="14"/>
    </row>
    <row r="179" spans="1:3" ht="16.5">
      <c r="A179" s="14"/>
      <c r="B179" s="14"/>
      <c r="C179" s="14"/>
    </row>
    <row r="180" spans="1:3" ht="16.5">
      <c r="A180" s="14"/>
      <c r="B180" s="14"/>
      <c r="C180" s="14"/>
    </row>
    <row r="181" spans="1:3" ht="16.5">
      <c r="A181" s="14"/>
      <c r="B181" s="14"/>
      <c r="C181" s="14"/>
    </row>
    <row r="182" spans="1:3" ht="16.5">
      <c r="A182" s="14"/>
      <c r="B182" s="14"/>
      <c r="C182" s="14"/>
    </row>
    <row r="183" spans="1:3" ht="16.5">
      <c r="A183" s="14"/>
      <c r="B183" s="14"/>
      <c r="C183" s="14"/>
    </row>
    <row r="184" spans="1:3" ht="16.5">
      <c r="A184" s="14"/>
      <c r="B184" s="14"/>
      <c r="C184" s="14"/>
    </row>
    <row r="185" spans="1:3" ht="16.5">
      <c r="A185" s="14"/>
      <c r="B185" s="14"/>
      <c r="C185" s="14"/>
    </row>
    <row r="186" spans="1:3" ht="16.5">
      <c r="A186" s="14"/>
      <c r="B186" s="14"/>
      <c r="C186" s="14"/>
    </row>
    <row r="187" spans="1:3" ht="16.5">
      <c r="A187" s="14"/>
      <c r="B187" s="14"/>
      <c r="C187" s="14"/>
    </row>
    <row r="188" spans="1:3" ht="16.5">
      <c r="A188" s="14"/>
      <c r="B188" s="14"/>
      <c r="C188" s="14"/>
    </row>
    <row r="189" spans="1:3" ht="16.5">
      <c r="A189" s="14"/>
      <c r="B189" s="14"/>
      <c r="C189" s="14"/>
    </row>
    <row r="190" spans="1:3" ht="16.5">
      <c r="A190" s="14"/>
      <c r="B190" s="14"/>
      <c r="C190" s="14"/>
    </row>
    <row r="191" spans="1:3" ht="16.5">
      <c r="A191" s="14"/>
      <c r="B191" s="14"/>
      <c r="C191" s="14"/>
    </row>
    <row r="192" spans="1:3" ht="16.5">
      <c r="A192" s="14"/>
      <c r="B192" s="14"/>
      <c r="C192" s="14"/>
    </row>
    <row r="193" spans="1:3" ht="16.5">
      <c r="A193" s="14"/>
      <c r="B193" s="14"/>
      <c r="C193" s="14"/>
    </row>
    <row r="194" spans="1:3" ht="16.5">
      <c r="A194" s="14"/>
      <c r="B194" s="14"/>
      <c r="C194" s="14"/>
    </row>
    <row r="195" spans="1:3" ht="16.5">
      <c r="A195" s="14"/>
      <c r="B195" s="14"/>
      <c r="C195" s="14"/>
    </row>
    <row r="196" spans="1:3" ht="16.5">
      <c r="A196" s="14"/>
      <c r="B196" s="14"/>
      <c r="C196" s="14"/>
    </row>
    <row r="197" spans="1:3" ht="16.5">
      <c r="A197" s="14"/>
      <c r="B197" s="14"/>
      <c r="C197" s="14"/>
    </row>
    <row r="198" spans="1:3" ht="16.5">
      <c r="A198" s="14"/>
      <c r="B198" s="14"/>
      <c r="C198" s="14"/>
    </row>
    <row r="199" spans="1:3" ht="16.5">
      <c r="A199" s="14"/>
      <c r="B199" s="14"/>
      <c r="C199" s="14"/>
    </row>
    <row r="200" spans="1:3" ht="16.5">
      <c r="A200" s="14"/>
      <c r="B200" s="14"/>
      <c r="C200" s="14"/>
    </row>
    <row r="201" spans="1:3" ht="16.5">
      <c r="A201" s="14"/>
      <c r="B201" s="14"/>
      <c r="C201" s="14"/>
    </row>
    <row r="202" spans="1:3" ht="16.5">
      <c r="A202" s="14"/>
      <c r="B202" s="14"/>
      <c r="C202" s="14"/>
    </row>
    <row r="203" spans="1:3" ht="16.5">
      <c r="A203" s="14"/>
      <c r="B203" s="14"/>
      <c r="C203" s="14"/>
    </row>
    <row r="204" spans="1:3" ht="16.5">
      <c r="A204" s="14"/>
      <c r="B204" s="14"/>
      <c r="C204" s="14"/>
    </row>
    <row r="205" spans="1:3" ht="16.5">
      <c r="A205" s="14"/>
      <c r="B205" s="14"/>
      <c r="C205" s="14"/>
    </row>
    <row r="206" spans="1:3" ht="16.5">
      <c r="A206" s="14"/>
      <c r="B206" s="14"/>
      <c r="C206" s="14"/>
    </row>
    <row r="207" spans="1:3" ht="16.5">
      <c r="A207" s="14"/>
      <c r="B207" s="14"/>
      <c r="C207" s="14"/>
    </row>
    <row r="208" spans="1:3" ht="16.5">
      <c r="A208" s="14"/>
      <c r="B208" s="14"/>
      <c r="C208" s="14"/>
    </row>
    <row r="209" spans="1:3" ht="16.5">
      <c r="A209" s="14"/>
      <c r="B209" s="14"/>
      <c r="C209" s="14"/>
    </row>
    <row r="210" spans="1:3" ht="16.5">
      <c r="A210" s="14"/>
      <c r="B210" s="14"/>
      <c r="C210" s="14"/>
    </row>
    <row r="211" spans="1:3" ht="16.5">
      <c r="A211" s="14"/>
      <c r="B211" s="14"/>
      <c r="C211" s="14"/>
    </row>
    <row r="212" spans="1:3" ht="16.5">
      <c r="A212" s="14"/>
      <c r="B212" s="14"/>
      <c r="C212" s="14"/>
    </row>
    <row r="213" spans="1:3" ht="16.5">
      <c r="A213" s="14"/>
      <c r="B213" s="14"/>
      <c r="C213" s="14"/>
    </row>
    <row r="214" spans="1:3" ht="16.5">
      <c r="A214" s="14"/>
      <c r="B214" s="14"/>
      <c r="C214" s="14"/>
    </row>
    <row r="215" spans="1:3" ht="16.5">
      <c r="A215" s="14"/>
      <c r="B215" s="14"/>
      <c r="C215" s="14"/>
    </row>
    <row r="216" spans="1:3" ht="16.5">
      <c r="A216" s="14"/>
      <c r="B216" s="14"/>
      <c r="C216" s="14"/>
    </row>
    <row r="217" spans="1:3" ht="16.5">
      <c r="A217" s="14"/>
      <c r="B217" s="14"/>
      <c r="C217" s="14"/>
    </row>
    <row r="218" spans="1:3" ht="16.5">
      <c r="A218" s="14"/>
      <c r="B218" s="14"/>
      <c r="C218" s="14"/>
    </row>
    <row r="219" spans="1:3" ht="16.5">
      <c r="A219" s="14"/>
      <c r="B219" s="14"/>
      <c r="C219" s="14"/>
    </row>
    <row r="220" spans="1:3" ht="16.5">
      <c r="A220" s="14"/>
      <c r="B220" s="14"/>
      <c r="C220" s="14"/>
    </row>
    <row r="221" spans="1:3" ht="16.5">
      <c r="A221" s="14"/>
      <c r="B221" s="14"/>
      <c r="C221" s="14"/>
    </row>
    <row r="222" spans="1:3" ht="16.5">
      <c r="A222" s="14"/>
      <c r="B222" s="14"/>
      <c r="C222" s="14"/>
    </row>
    <row r="223" spans="1:3" ht="16.5">
      <c r="A223" s="14"/>
      <c r="B223" s="14"/>
      <c r="C223" s="14"/>
    </row>
    <row r="224" spans="1:3" ht="16.5">
      <c r="A224" s="14"/>
      <c r="B224" s="14"/>
      <c r="C224" s="14"/>
    </row>
    <row r="225" spans="1:3" ht="16.5">
      <c r="A225" s="14"/>
      <c r="B225" s="14"/>
      <c r="C225" s="14"/>
    </row>
    <row r="226" spans="1:3" ht="16.5">
      <c r="A226" s="14"/>
      <c r="B226" s="14"/>
      <c r="C226" s="14"/>
    </row>
    <row r="227" spans="1:3" ht="16.5">
      <c r="A227" s="14"/>
      <c r="B227" s="14"/>
      <c r="C227" s="14"/>
    </row>
    <row r="228" spans="1:3" ht="16.5">
      <c r="A228" s="14"/>
      <c r="B228" s="14"/>
      <c r="C228" s="14"/>
    </row>
    <row r="229" spans="1:3" ht="16.5">
      <c r="A229" s="14"/>
      <c r="B229" s="14"/>
      <c r="C229" s="14"/>
    </row>
    <row r="230" spans="1:3" ht="16.5">
      <c r="A230" s="14"/>
      <c r="B230" s="14"/>
      <c r="C230" s="14"/>
    </row>
    <row r="231" spans="1:3" ht="16.5">
      <c r="A231" s="14"/>
      <c r="B231" s="14"/>
      <c r="C231" s="14"/>
    </row>
    <row r="232" spans="1:3" ht="16.5">
      <c r="A232" s="14"/>
      <c r="B232" s="14"/>
      <c r="C232" s="14"/>
    </row>
    <row r="233" spans="1:3" ht="16.5">
      <c r="A233" s="14"/>
      <c r="B233" s="14"/>
      <c r="C233" s="14"/>
    </row>
    <row r="234" spans="1:3" ht="16.5">
      <c r="A234" s="14"/>
      <c r="B234" s="14"/>
      <c r="C234" s="14"/>
    </row>
    <row r="235" spans="1:3" ht="16.5">
      <c r="A235" s="14"/>
      <c r="B235" s="14"/>
      <c r="C235" s="14"/>
    </row>
    <row r="236" spans="1:3" ht="16.5">
      <c r="A236" s="14"/>
      <c r="B236" s="14"/>
      <c r="C236" s="14"/>
    </row>
    <row r="237" spans="1:3" ht="16.5">
      <c r="A237" s="14"/>
      <c r="B237" s="14"/>
      <c r="C237" s="14"/>
    </row>
    <row r="238" spans="1:3" ht="16.5">
      <c r="A238" s="14"/>
      <c r="B238" s="14"/>
      <c r="C238" s="14"/>
    </row>
    <row r="239" spans="1:3" ht="16.5">
      <c r="A239" s="14"/>
      <c r="B239" s="14"/>
      <c r="C239" s="14"/>
    </row>
    <row r="240" spans="1:3" ht="16.5">
      <c r="A240" s="14"/>
      <c r="B240" s="14"/>
      <c r="C240" s="14"/>
    </row>
    <row r="241" spans="1:3" ht="16.5">
      <c r="A241" s="14"/>
      <c r="B241" s="14"/>
      <c r="C241" s="14"/>
    </row>
    <row r="242" spans="1:3" ht="16.5">
      <c r="A242" s="14"/>
      <c r="B242" s="14"/>
      <c r="C242" s="14"/>
    </row>
    <row r="243" spans="1:3" ht="16.5">
      <c r="A243" s="14"/>
      <c r="B243" s="14"/>
      <c r="C243" s="14"/>
    </row>
    <row r="244" spans="1:3" ht="16.5">
      <c r="A244" s="14"/>
      <c r="B244" s="14"/>
      <c r="C244" s="14"/>
    </row>
    <row r="245" spans="1:3" ht="16.5">
      <c r="A245" s="14"/>
      <c r="B245" s="14"/>
      <c r="C245" s="14"/>
    </row>
    <row r="246" spans="1:3" ht="16.5">
      <c r="A246" s="14"/>
      <c r="B246" s="14"/>
      <c r="C246" s="14"/>
    </row>
    <row r="247" spans="1:3" ht="16.5">
      <c r="A247" s="14"/>
      <c r="B247" s="14"/>
      <c r="C247" s="14"/>
    </row>
    <row r="248" spans="1:3" ht="16.5">
      <c r="A248" s="14"/>
      <c r="B248" s="14"/>
      <c r="C248" s="14"/>
    </row>
    <row r="249" spans="1:3" ht="16.5">
      <c r="A249" s="14"/>
      <c r="B249" s="14"/>
      <c r="C249" s="14"/>
    </row>
    <row r="250" spans="1:3" ht="16.5">
      <c r="A250" s="14"/>
      <c r="B250" s="14"/>
      <c r="C250" s="14"/>
    </row>
    <row r="251" spans="1:3" ht="16.5">
      <c r="A251" s="14"/>
      <c r="B251" s="14"/>
      <c r="C251" s="14"/>
    </row>
    <row r="252" spans="1:3" ht="16.5">
      <c r="A252" s="14"/>
      <c r="B252" s="14"/>
      <c r="C252" s="14"/>
    </row>
    <row r="253" spans="1:3" ht="16.5">
      <c r="A253" s="14"/>
      <c r="B253" s="14"/>
      <c r="C253" s="14"/>
    </row>
    <row r="254" spans="1:3" ht="16.5">
      <c r="A254" s="14"/>
      <c r="B254" s="14"/>
      <c r="C254" s="14"/>
    </row>
    <row r="255" spans="1:3" ht="16.5">
      <c r="A255" s="14"/>
      <c r="B255" s="14"/>
      <c r="C255" s="14"/>
    </row>
    <row r="256" spans="1:3" ht="16.5">
      <c r="A256" s="14"/>
      <c r="B256" s="14"/>
      <c r="C256" s="14"/>
    </row>
    <row r="257" spans="1:3" ht="16.5">
      <c r="A257" s="14"/>
      <c r="B257" s="14"/>
      <c r="C257" s="14"/>
    </row>
    <row r="258" spans="1:3" ht="16.5">
      <c r="A258" s="14"/>
      <c r="B258" s="14"/>
      <c r="C258" s="14"/>
    </row>
    <row r="259" spans="1:3" ht="16.5">
      <c r="A259" s="14"/>
      <c r="B259" s="14"/>
      <c r="C259" s="14"/>
    </row>
    <row r="260" spans="1:3" ht="16.5">
      <c r="A260" s="14"/>
      <c r="B260" s="14"/>
      <c r="C260" s="14"/>
    </row>
    <row r="261" spans="1:3" ht="16.5">
      <c r="A261" s="14"/>
      <c r="B261" s="14"/>
      <c r="C261" s="14"/>
    </row>
    <row r="262" spans="1:3" ht="16.5">
      <c r="A262" s="14"/>
      <c r="B262" s="14"/>
      <c r="C262" s="14"/>
    </row>
    <row r="263" spans="1:3" ht="16.5">
      <c r="A263" s="14"/>
      <c r="B263" s="14"/>
      <c r="C263" s="14"/>
    </row>
    <row r="264" spans="1:3" ht="16.5">
      <c r="A264" s="14"/>
      <c r="B264" s="14"/>
      <c r="C264" s="14"/>
    </row>
    <row r="265" spans="1:3" ht="16.5">
      <c r="A265" s="14"/>
      <c r="B265" s="14"/>
      <c r="C265" s="14"/>
    </row>
    <row r="266" spans="1:3" ht="16.5">
      <c r="A266" s="14"/>
      <c r="B266" s="14"/>
      <c r="C266" s="14"/>
    </row>
    <row r="267" spans="1:3" ht="16.5">
      <c r="A267" s="14"/>
      <c r="B267" s="14"/>
      <c r="C267" s="14"/>
    </row>
    <row r="268" spans="1:3" ht="16.5">
      <c r="A268" s="14"/>
      <c r="B268" s="14"/>
      <c r="C268" s="14"/>
    </row>
    <row r="269" spans="1:3" ht="16.5">
      <c r="A269" s="14"/>
      <c r="B269" s="14"/>
      <c r="C269" s="14"/>
    </row>
    <row r="270" spans="1:3" ht="16.5">
      <c r="A270" s="14"/>
      <c r="B270" s="14"/>
      <c r="C270" s="14"/>
    </row>
    <row r="271" spans="1:3" ht="16.5">
      <c r="A271" s="14"/>
      <c r="B271" s="14"/>
      <c r="C271" s="14"/>
    </row>
    <row r="272" spans="1:3" ht="16.5">
      <c r="A272" s="14"/>
      <c r="B272" s="14"/>
      <c r="C272" s="14"/>
    </row>
    <row r="273" spans="1:3" ht="16.5">
      <c r="A273" s="14"/>
      <c r="B273" s="14"/>
      <c r="C273" s="14"/>
    </row>
    <row r="274" spans="1:3" ht="16.5">
      <c r="A274" s="14"/>
      <c r="B274" s="14"/>
      <c r="C274" s="14"/>
    </row>
    <row r="275" spans="1:3" ht="16.5">
      <c r="A275" s="14"/>
      <c r="B275" s="14"/>
      <c r="C275" s="14"/>
    </row>
    <row r="276" spans="1:3" ht="16.5">
      <c r="A276" s="14"/>
      <c r="B276" s="14"/>
      <c r="C276" s="14"/>
    </row>
    <row r="277" spans="1:3" ht="16.5">
      <c r="A277" s="14"/>
      <c r="B277" s="14"/>
      <c r="C277" s="14"/>
    </row>
    <row r="278" spans="1:3" ht="16.5">
      <c r="A278" s="14"/>
      <c r="B278" s="14"/>
      <c r="C278" s="14"/>
    </row>
    <row r="279" spans="1:3" ht="16.5">
      <c r="A279" s="14"/>
      <c r="B279" s="14"/>
      <c r="C279" s="14"/>
    </row>
    <row r="280" spans="1:3" ht="16.5">
      <c r="A280" s="14"/>
      <c r="B280" s="14"/>
      <c r="C280" s="14"/>
    </row>
    <row r="281" spans="1:3" ht="16.5">
      <c r="A281" s="14"/>
      <c r="B281" s="14"/>
      <c r="C281" s="14"/>
    </row>
    <row r="282" spans="1:3" ht="16.5">
      <c r="A282" s="14"/>
      <c r="B282" s="14"/>
      <c r="C282" s="14"/>
    </row>
    <row r="283" spans="1:3" ht="16.5">
      <c r="A283" s="14"/>
      <c r="B283" s="14"/>
      <c r="C283" s="14"/>
    </row>
    <row r="284" spans="1:3" ht="16.5">
      <c r="A284" s="14"/>
      <c r="B284" s="14"/>
      <c r="C284" s="14"/>
    </row>
    <row r="285" spans="1:3" ht="16.5">
      <c r="A285" s="14"/>
      <c r="B285" s="14"/>
      <c r="C285" s="14"/>
    </row>
    <row r="286" spans="1:3" ht="16.5">
      <c r="A286" s="14"/>
      <c r="B286" s="14"/>
      <c r="C286" s="14"/>
    </row>
    <row r="287" spans="1:3" ht="16.5">
      <c r="A287" s="14"/>
      <c r="B287" s="14"/>
      <c r="C287" s="14"/>
    </row>
    <row r="288" spans="1:3" ht="16.5">
      <c r="A288" s="14"/>
      <c r="B288" s="14"/>
      <c r="C288" s="14"/>
    </row>
    <row r="289" spans="1:3" ht="16.5">
      <c r="A289" s="14"/>
      <c r="B289" s="14"/>
      <c r="C289" s="14"/>
    </row>
    <row r="290" spans="1:3" ht="16.5">
      <c r="A290" s="14"/>
      <c r="B290" s="14"/>
      <c r="C290" s="14"/>
    </row>
    <row r="291" spans="1:3" ht="16.5">
      <c r="A291" s="14"/>
      <c r="B291" s="14"/>
      <c r="C291" s="14"/>
    </row>
    <row r="292" spans="1:3" ht="16.5">
      <c r="A292" s="14"/>
      <c r="B292" s="14"/>
      <c r="C292" s="14"/>
    </row>
    <row r="293" spans="1:3" ht="16.5">
      <c r="A293" s="14"/>
      <c r="B293" s="14"/>
      <c r="C293" s="14"/>
    </row>
    <row r="294" spans="1:3" ht="16.5">
      <c r="A294" s="14"/>
      <c r="B294" s="14"/>
      <c r="C294" s="14"/>
    </row>
    <row r="295" spans="1:3" ht="16.5">
      <c r="A295" s="14"/>
      <c r="B295" s="14"/>
      <c r="C295" s="14"/>
    </row>
    <row r="296" spans="1:3" ht="16.5">
      <c r="A296" s="14"/>
      <c r="B296" s="14"/>
      <c r="C296" s="14"/>
    </row>
    <row r="297" spans="1:3" ht="16.5">
      <c r="A297" s="14"/>
      <c r="B297" s="14"/>
      <c r="C297" s="14"/>
    </row>
    <row r="298" spans="1:3" ht="16.5">
      <c r="A298" s="14"/>
      <c r="B298" s="14"/>
      <c r="C298" s="14"/>
    </row>
    <row r="299" spans="1:3" ht="16.5">
      <c r="A299" s="14"/>
      <c r="B299" s="14"/>
      <c r="C299" s="14"/>
    </row>
    <row r="300" spans="1:3" ht="16.5">
      <c r="A300" s="14"/>
      <c r="B300" s="14"/>
      <c r="C300" s="14"/>
    </row>
    <row r="301" spans="1:3" ht="16.5">
      <c r="A301" s="14"/>
      <c r="B301" s="14"/>
      <c r="C301" s="14"/>
    </row>
    <row r="302" spans="1:3" ht="16.5">
      <c r="A302" s="14"/>
      <c r="B302" s="14"/>
      <c r="C302" s="14"/>
    </row>
    <row r="303" spans="1:3" ht="16.5">
      <c r="A303" s="14"/>
      <c r="B303" s="14"/>
      <c r="C303" s="14"/>
    </row>
    <row r="304" spans="1:3" ht="16.5">
      <c r="A304" s="14"/>
      <c r="B304" s="14"/>
      <c r="C304" s="14"/>
    </row>
    <row r="305" spans="1:3" ht="16.5">
      <c r="A305" s="14"/>
      <c r="B305" s="14"/>
      <c r="C305" s="14"/>
    </row>
    <row r="306" spans="1:3" ht="16.5">
      <c r="A306" s="14"/>
      <c r="B306" s="14"/>
      <c r="C306" s="14"/>
    </row>
    <row r="307" spans="1:3" ht="16.5">
      <c r="A307" s="14"/>
      <c r="B307" s="14"/>
      <c r="C307" s="14"/>
    </row>
    <row r="308" spans="1:3" ht="16.5">
      <c r="A308" s="14"/>
      <c r="B308" s="14"/>
      <c r="C308" s="14"/>
    </row>
    <row r="309" spans="1:3" ht="16.5">
      <c r="A309" s="14"/>
      <c r="B309" s="14"/>
      <c r="C309" s="14"/>
    </row>
    <row r="310" spans="1:3" ht="16.5">
      <c r="A310" s="14"/>
      <c r="B310" s="14"/>
      <c r="C310" s="14"/>
    </row>
    <row r="311" spans="1:3" ht="16.5">
      <c r="A311" s="14"/>
      <c r="B311" s="14"/>
      <c r="C311" s="14"/>
    </row>
    <row r="312" spans="1:3" ht="16.5">
      <c r="A312" s="14"/>
      <c r="B312" s="14"/>
      <c r="C312" s="14"/>
    </row>
    <row r="313" spans="1:3" ht="16.5">
      <c r="A313" s="14"/>
      <c r="B313" s="14"/>
      <c r="C313" s="14"/>
    </row>
    <row r="314" spans="1:3" ht="16.5">
      <c r="A314" s="14"/>
      <c r="B314" s="14"/>
      <c r="C314" s="14"/>
    </row>
    <row r="315" spans="1:3" ht="16.5">
      <c r="A315" s="14"/>
      <c r="B315" s="14"/>
      <c r="C315" s="14"/>
    </row>
    <row r="316" spans="1:3" ht="16.5">
      <c r="A316" s="14"/>
      <c r="B316" s="14"/>
      <c r="C316" s="14"/>
    </row>
    <row r="317" spans="1:3" ht="16.5">
      <c r="A317" s="14"/>
      <c r="B317" s="14"/>
      <c r="C317" s="14"/>
    </row>
    <row r="318" spans="1:3" ht="16.5">
      <c r="A318" s="14"/>
      <c r="B318" s="14"/>
      <c r="C318" s="14"/>
    </row>
    <row r="319" spans="1:3" ht="16.5">
      <c r="A319" s="14"/>
      <c r="B319" s="14"/>
      <c r="C319" s="14"/>
    </row>
    <row r="320" spans="1:3" ht="16.5">
      <c r="A320" s="14"/>
      <c r="B320" s="14"/>
      <c r="C320" s="14"/>
    </row>
    <row r="321" spans="1:3" ht="16.5">
      <c r="A321" s="14"/>
      <c r="B321" s="14"/>
      <c r="C321" s="14"/>
    </row>
    <row r="322" spans="1:3" ht="16.5">
      <c r="A322" s="14"/>
      <c r="B322" s="14"/>
      <c r="C322" s="14"/>
    </row>
    <row r="323" spans="1:3" ht="16.5">
      <c r="A323" s="14"/>
      <c r="B323" s="14"/>
      <c r="C323" s="14"/>
    </row>
    <row r="324" spans="1:3" ht="16.5">
      <c r="A324" s="14"/>
      <c r="B324" s="14"/>
      <c r="C324" s="14"/>
    </row>
    <row r="325" spans="1:3" ht="16.5">
      <c r="A325" s="14"/>
      <c r="B325" s="14"/>
      <c r="C325" s="14"/>
    </row>
    <row r="326" spans="1:3" ht="16.5">
      <c r="A326" s="14"/>
      <c r="B326" s="14"/>
      <c r="C326" s="14"/>
    </row>
    <row r="327" spans="1:3" ht="16.5">
      <c r="A327" s="14"/>
      <c r="B327" s="14"/>
      <c r="C327" s="14"/>
    </row>
    <row r="328" spans="1:3" ht="16.5">
      <c r="A328" s="14"/>
      <c r="B328" s="14"/>
      <c r="C328" s="14"/>
    </row>
    <row r="329" spans="1:3" ht="16.5">
      <c r="A329" s="14"/>
      <c r="B329" s="14"/>
      <c r="C329" s="14"/>
    </row>
    <row r="330" spans="1:3" ht="16.5">
      <c r="A330" s="14"/>
      <c r="B330" s="14"/>
      <c r="C330" s="14"/>
    </row>
    <row r="331" spans="1:3" ht="16.5">
      <c r="A331" s="14"/>
      <c r="B331" s="14"/>
      <c r="C331" s="14"/>
    </row>
    <row r="332" spans="1:3" ht="16.5">
      <c r="A332" s="14"/>
      <c r="B332" s="14"/>
      <c r="C332" s="14"/>
    </row>
    <row r="333" spans="1:3" ht="16.5">
      <c r="A333" s="14"/>
      <c r="B333" s="14"/>
      <c r="C333" s="14"/>
    </row>
    <row r="334" spans="1:3" ht="16.5">
      <c r="A334" s="14"/>
      <c r="B334" s="14"/>
      <c r="C334" s="14"/>
    </row>
    <row r="335" spans="1:3" ht="16.5">
      <c r="A335" s="14"/>
      <c r="B335" s="14"/>
      <c r="C335" s="14"/>
    </row>
    <row r="336" spans="1:3" ht="16.5">
      <c r="A336" s="14"/>
      <c r="B336" s="14"/>
      <c r="C336" s="14"/>
    </row>
    <row r="337" spans="1:3" ht="16.5">
      <c r="A337" s="14"/>
      <c r="B337" s="14"/>
      <c r="C337" s="14"/>
    </row>
    <row r="338" spans="1:3" ht="16.5">
      <c r="A338" s="14"/>
      <c r="B338" s="14"/>
      <c r="C338" s="14"/>
    </row>
    <row r="339" spans="1:3" ht="16.5">
      <c r="A339" s="14"/>
      <c r="B339" s="14"/>
      <c r="C339" s="14"/>
    </row>
    <row r="340" spans="1:3" ht="16.5">
      <c r="A340" s="14"/>
      <c r="B340" s="14"/>
      <c r="C340" s="14"/>
    </row>
    <row r="341" spans="1:3" ht="16.5">
      <c r="A341" s="14"/>
      <c r="B341" s="14"/>
      <c r="C341" s="14"/>
    </row>
    <row r="342" spans="1:3" ht="16.5">
      <c r="A342" s="14"/>
      <c r="B342" s="14"/>
      <c r="C342" s="14"/>
    </row>
    <row r="343" spans="1:3" ht="16.5">
      <c r="A343" s="14"/>
      <c r="B343" s="14"/>
      <c r="C343" s="14"/>
    </row>
    <row r="344" spans="1:3" ht="16.5">
      <c r="A344" s="14"/>
      <c r="B344" s="14"/>
      <c r="C344" s="14"/>
    </row>
    <row r="345" spans="1:3" ht="16.5">
      <c r="A345" s="14"/>
      <c r="B345" s="14"/>
      <c r="C345" s="14"/>
    </row>
    <row r="346" spans="1:3" ht="16.5">
      <c r="A346" s="14"/>
      <c r="B346" s="14"/>
      <c r="C346" s="14"/>
    </row>
    <row r="347" spans="1:3" ht="16.5">
      <c r="A347" s="14"/>
      <c r="B347" s="14"/>
      <c r="C347" s="14"/>
    </row>
    <row r="348" spans="1:3" ht="16.5">
      <c r="A348" s="14"/>
      <c r="B348" s="14"/>
      <c r="C348" s="14"/>
    </row>
    <row r="349" spans="1:3" ht="16.5">
      <c r="A349" s="14"/>
      <c r="B349" s="14"/>
      <c r="C349" s="14"/>
    </row>
    <row r="350" spans="1:3" ht="16.5">
      <c r="A350" s="14"/>
      <c r="B350" s="14"/>
      <c r="C350" s="14"/>
    </row>
    <row r="351" spans="1:3" ht="16.5">
      <c r="A351" s="14"/>
      <c r="B351" s="14"/>
      <c r="C351" s="14"/>
    </row>
    <row r="352" spans="1:3" ht="16.5">
      <c r="A352" s="14"/>
      <c r="B352" s="14"/>
      <c r="C352" s="14"/>
    </row>
    <row r="353" spans="1:3" ht="16.5">
      <c r="A353" s="14"/>
      <c r="B353" s="14"/>
      <c r="C353" s="14"/>
    </row>
    <row r="354" spans="1:3" ht="16.5">
      <c r="A354" s="14"/>
      <c r="B354" s="14"/>
      <c r="C354" s="14"/>
    </row>
    <row r="355" spans="1:3" ht="16.5">
      <c r="A355" s="14"/>
      <c r="B355" s="14"/>
      <c r="C355" s="14"/>
    </row>
    <row r="356" spans="1:3" ht="16.5">
      <c r="A356" s="14"/>
      <c r="B356" s="14"/>
      <c r="C356" s="14"/>
    </row>
    <row r="357" spans="1:3" ht="16.5">
      <c r="A357" s="14"/>
      <c r="B357" s="14"/>
      <c r="C357" s="14"/>
    </row>
    <row r="358" spans="1:3" ht="16.5">
      <c r="A358" s="14"/>
      <c r="B358" s="14"/>
      <c r="C358" s="14"/>
    </row>
    <row r="359" spans="1:3" ht="16.5">
      <c r="A359" s="14"/>
      <c r="B359" s="14"/>
      <c r="C359" s="14"/>
    </row>
    <row r="360" spans="1:3" ht="16.5">
      <c r="A360" s="14"/>
      <c r="B360" s="14"/>
      <c r="C360" s="14"/>
    </row>
    <row r="361" spans="1:3" ht="16.5">
      <c r="A361" s="14"/>
      <c r="B361" s="14"/>
      <c r="C361" s="14"/>
    </row>
    <row r="362" spans="1:3" ht="16.5">
      <c r="A362" s="14"/>
      <c r="B362" s="14"/>
      <c r="C362" s="14"/>
    </row>
    <row r="363" spans="1:3" ht="16.5">
      <c r="A363" s="14"/>
      <c r="B363" s="14"/>
      <c r="C363" s="14"/>
    </row>
    <row r="364" spans="1:3" ht="16.5">
      <c r="A364" s="14"/>
      <c r="B364" s="14"/>
      <c r="C364" s="14"/>
    </row>
    <row r="365" spans="1:3" ht="16.5">
      <c r="A365" s="14"/>
      <c r="B365" s="14"/>
      <c r="C365" s="14"/>
    </row>
    <row r="366" spans="1:3" ht="16.5">
      <c r="A366" s="14"/>
      <c r="B366" s="14"/>
      <c r="C366" s="14"/>
    </row>
    <row r="367" spans="1:3" ht="16.5">
      <c r="A367" s="14"/>
      <c r="B367" s="14"/>
      <c r="C367" s="14"/>
    </row>
    <row r="368" spans="1:3" ht="16.5">
      <c r="A368" s="14"/>
      <c r="B368" s="14"/>
      <c r="C368" s="14"/>
    </row>
    <row r="369" spans="1:3" ht="16.5">
      <c r="A369" s="14"/>
      <c r="B369" s="14"/>
      <c r="C369" s="14"/>
    </row>
    <row r="370" spans="1:3" ht="16.5">
      <c r="A370" s="14"/>
      <c r="B370" s="14"/>
      <c r="C370" s="14"/>
    </row>
    <row r="371" spans="1:3" ht="16.5">
      <c r="A371" s="14"/>
      <c r="B371" s="14"/>
      <c r="C371" s="14"/>
    </row>
    <row r="372" spans="1:3" ht="16.5">
      <c r="A372" s="14"/>
      <c r="B372" s="14"/>
      <c r="C372" s="14"/>
    </row>
    <row r="373" spans="1:3" ht="16.5">
      <c r="A373" s="14"/>
      <c r="B373" s="14"/>
      <c r="C373" s="14"/>
    </row>
    <row r="374" spans="1:3" ht="16.5">
      <c r="A374" s="14"/>
      <c r="B374" s="14"/>
      <c r="C374" s="14"/>
    </row>
    <row r="375" spans="1:3" ht="16.5">
      <c r="A375" s="14"/>
      <c r="B375" s="14"/>
      <c r="C375" s="14"/>
    </row>
    <row r="376" spans="1:3" ht="16.5">
      <c r="A376" s="14"/>
      <c r="B376" s="14"/>
      <c r="C376" s="14"/>
    </row>
    <row r="377" spans="1:3" ht="16.5">
      <c r="A377" s="14"/>
      <c r="B377" s="14"/>
      <c r="C377" s="14"/>
    </row>
    <row r="378" spans="1:3" ht="16.5">
      <c r="A378" s="14"/>
      <c r="B378" s="14"/>
      <c r="C378" s="14"/>
    </row>
    <row r="379" spans="1:3" ht="16.5">
      <c r="A379" s="14"/>
      <c r="B379" s="14"/>
      <c r="C379" s="14"/>
    </row>
    <row r="380" spans="1:3" ht="16.5">
      <c r="A380" s="14"/>
      <c r="B380" s="14"/>
      <c r="C380" s="14"/>
    </row>
    <row r="381" spans="1:3" ht="16.5">
      <c r="A381" s="14"/>
      <c r="B381" s="14"/>
      <c r="C381" s="14"/>
    </row>
    <row r="382" spans="1:3" ht="16.5">
      <c r="A382" s="14"/>
      <c r="B382" s="14"/>
      <c r="C382" s="14"/>
    </row>
    <row r="383" spans="1:3" ht="16.5">
      <c r="A383" s="14"/>
      <c r="B383" s="14"/>
      <c r="C383" s="14"/>
    </row>
    <row r="384" spans="1:3" ht="16.5">
      <c r="A384" s="14"/>
      <c r="B384" s="14"/>
      <c r="C384" s="14"/>
    </row>
    <row r="385" spans="1:3" ht="16.5">
      <c r="A385" s="14"/>
      <c r="B385" s="14"/>
      <c r="C385" s="14"/>
    </row>
    <row r="386" spans="1:3" ht="16.5">
      <c r="A386" s="14"/>
      <c r="B386" s="14"/>
      <c r="C386" s="14"/>
    </row>
    <row r="387" spans="1:3" ht="16.5">
      <c r="A387" s="14"/>
      <c r="B387" s="14"/>
      <c r="C387" s="14"/>
    </row>
    <row r="388" spans="1:3" ht="16.5">
      <c r="A388" s="14"/>
      <c r="B388" s="14"/>
      <c r="C388" s="14"/>
    </row>
    <row r="389" spans="1:3" ht="16.5">
      <c r="A389" s="14"/>
      <c r="B389" s="14"/>
      <c r="C389" s="14"/>
    </row>
    <row r="390" spans="1:3" ht="16.5">
      <c r="A390" s="14"/>
      <c r="B390" s="14"/>
      <c r="C390" s="14"/>
    </row>
    <row r="391" spans="1:3" ht="16.5">
      <c r="A391" s="14"/>
      <c r="B391" s="14"/>
      <c r="C391" s="14"/>
    </row>
    <row r="392" spans="1:3" ht="16.5">
      <c r="A392" s="14"/>
      <c r="B392" s="14"/>
      <c r="C392" s="14"/>
    </row>
    <row r="393" spans="1:3" ht="16.5">
      <c r="A393" s="14"/>
      <c r="B393" s="14"/>
      <c r="C393" s="14"/>
    </row>
    <row r="394" spans="1:3" ht="16.5">
      <c r="A394" s="14"/>
      <c r="B394" s="14"/>
      <c r="C394" s="14"/>
    </row>
    <row r="395" spans="1:3" ht="16.5">
      <c r="A395" s="14"/>
      <c r="B395" s="14"/>
      <c r="C395" s="14"/>
    </row>
    <row r="396" spans="1:3" ht="16.5">
      <c r="A396" s="14"/>
      <c r="B396" s="14"/>
      <c r="C396" s="14"/>
    </row>
    <row r="397" spans="1:3" ht="16.5">
      <c r="A397" s="14"/>
      <c r="B397" s="14"/>
      <c r="C397" s="14"/>
    </row>
    <row r="398" spans="1:3" ht="16.5">
      <c r="A398" s="14"/>
      <c r="B398" s="14"/>
      <c r="C398" s="14"/>
    </row>
    <row r="399" spans="1:3" ht="16.5">
      <c r="A399" s="14"/>
      <c r="B399" s="14"/>
      <c r="C399" s="14"/>
    </row>
    <row r="400" spans="1:3" ht="16.5">
      <c r="A400" s="14"/>
      <c r="B400" s="14"/>
      <c r="C400" s="14"/>
    </row>
    <row r="401" spans="1:3" ht="16.5">
      <c r="A401" s="14"/>
      <c r="B401" s="14"/>
      <c r="C401" s="14"/>
    </row>
    <row r="402" spans="1:3" ht="16.5">
      <c r="A402" s="14"/>
      <c r="B402" s="14"/>
      <c r="C402" s="14"/>
    </row>
    <row r="403" spans="1:3" ht="16.5">
      <c r="A403" s="14"/>
      <c r="B403" s="14"/>
      <c r="C403" s="14"/>
    </row>
    <row r="404" spans="1:3" ht="16.5">
      <c r="A404" s="14"/>
      <c r="B404" s="14"/>
      <c r="C404" s="14"/>
    </row>
    <row r="405" spans="1:3" ht="16.5">
      <c r="A405" s="14"/>
      <c r="B405" s="14"/>
      <c r="C405" s="14"/>
    </row>
    <row r="406" spans="1:3" ht="16.5">
      <c r="A406" s="14"/>
      <c r="B406" s="14"/>
      <c r="C406" s="14"/>
    </row>
    <row r="407" spans="1:3" ht="16.5">
      <c r="A407" s="14"/>
      <c r="B407" s="14"/>
      <c r="C407" s="14"/>
    </row>
    <row r="408" spans="1:3" ht="16.5">
      <c r="A408" s="14"/>
      <c r="B408" s="14"/>
      <c r="C408" s="14"/>
    </row>
    <row r="409" spans="1:3" ht="16.5">
      <c r="A409" s="14"/>
      <c r="B409" s="14"/>
      <c r="C409" s="14"/>
    </row>
    <row r="410" spans="1:3" ht="16.5">
      <c r="A410" s="14"/>
      <c r="B410" s="14"/>
      <c r="C410" s="14"/>
    </row>
    <row r="411" spans="1:3" ht="16.5">
      <c r="A411" s="14"/>
      <c r="B411" s="14"/>
      <c r="C411" s="14"/>
    </row>
    <row r="412" spans="1:3" ht="16.5">
      <c r="A412" s="14"/>
      <c r="B412" s="14"/>
      <c r="C412" s="14"/>
    </row>
    <row r="413" spans="1:3" ht="16.5">
      <c r="A413" s="14"/>
      <c r="B413" s="14"/>
      <c r="C413" s="14"/>
    </row>
    <row r="414" spans="1:3" ht="16.5">
      <c r="A414" s="14"/>
      <c r="B414" s="14"/>
      <c r="C414" s="14"/>
    </row>
    <row r="415" spans="1:3" ht="16.5">
      <c r="A415" s="14"/>
      <c r="B415" s="14"/>
      <c r="C415" s="14"/>
    </row>
    <row r="416" spans="1:3" ht="16.5">
      <c r="A416" s="14"/>
      <c r="B416" s="14"/>
      <c r="C416" s="14"/>
    </row>
    <row r="417" spans="1:3" ht="16.5">
      <c r="A417" s="14"/>
      <c r="B417" s="14"/>
      <c r="C417" s="14"/>
    </row>
    <row r="418" spans="1:3" ht="16.5">
      <c r="A418" s="14"/>
      <c r="B418" s="14"/>
      <c r="C418" s="14"/>
    </row>
    <row r="419" spans="1:3" ht="16.5">
      <c r="A419" s="14"/>
      <c r="B419" s="14"/>
      <c r="C419" s="14"/>
    </row>
    <row r="420" spans="1:3" ht="16.5">
      <c r="A420" s="14"/>
      <c r="B420" s="14"/>
      <c r="C420" s="14"/>
    </row>
    <row r="421" spans="1:3" ht="16.5">
      <c r="A421" s="14"/>
      <c r="B421" s="14"/>
      <c r="C421" s="14"/>
    </row>
    <row r="422" spans="1:3" ht="16.5">
      <c r="A422" s="14"/>
      <c r="B422" s="14"/>
      <c r="C422" s="14"/>
    </row>
    <row r="423" spans="1:3" ht="16.5">
      <c r="A423" s="14"/>
      <c r="B423" s="14"/>
      <c r="C423" s="14"/>
    </row>
    <row r="424" spans="1:3" ht="16.5">
      <c r="A424" s="14"/>
      <c r="B424" s="14"/>
      <c r="C424" s="14"/>
    </row>
    <row r="425" spans="1:3" ht="16.5">
      <c r="A425" s="14"/>
      <c r="B425" s="14"/>
      <c r="C425" s="14"/>
    </row>
    <row r="426" spans="1:3" ht="16.5">
      <c r="A426" s="14"/>
      <c r="B426" s="14"/>
      <c r="C426" s="14"/>
    </row>
    <row r="427" spans="1:3" ht="16.5">
      <c r="A427" s="14"/>
      <c r="B427" s="14"/>
      <c r="C427" s="14"/>
    </row>
    <row r="428" spans="1:3" ht="16.5">
      <c r="A428" s="14"/>
      <c r="B428" s="14"/>
      <c r="C428" s="14"/>
    </row>
    <row r="429" spans="1:3" ht="16.5">
      <c r="A429" s="14"/>
      <c r="B429" s="14"/>
      <c r="C429" s="14"/>
    </row>
    <row r="430" spans="1:3" ht="16.5">
      <c r="A430" s="14"/>
      <c r="B430" s="14"/>
      <c r="C430" s="14"/>
    </row>
    <row r="431" spans="1:3" ht="16.5">
      <c r="A431" s="14"/>
      <c r="B431" s="14"/>
      <c r="C431" s="14"/>
    </row>
    <row r="432" spans="1:3" ht="16.5">
      <c r="A432" s="14"/>
      <c r="B432" s="14"/>
      <c r="C432" s="14"/>
    </row>
    <row r="433" spans="1:3" ht="16.5">
      <c r="A433" s="14"/>
      <c r="B433" s="14"/>
      <c r="C433" s="14"/>
    </row>
    <row r="434" spans="1:3" ht="16.5">
      <c r="A434" s="14"/>
      <c r="B434" s="14"/>
      <c r="C434" s="14"/>
    </row>
    <row r="435" spans="1:3" ht="16.5">
      <c r="A435" s="14"/>
      <c r="B435" s="14"/>
      <c r="C435" s="14"/>
    </row>
    <row r="436" spans="1:3" ht="16.5">
      <c r="A436" s="14"/>
      <c r="B436" s="14"/>
      <c r="C436" s="14"/>
    </row>
    <row r="437" spans="1:3" ht="16.5">
      <c r="A437" s="14"/>
      <c r="B437" s="14"/>
      <c r="C437" s="14"/>
    </row>
    <row r="438" spans="1:3" ht="16.5">
      <c r="A438" s="14"/>
      <c r="B438" s="14"/>
      <c r="C438" s="14"/>
    </row>
    <row r="439" spans="1:3" ht="16.5">
      <c r="A439" s="14"/>
      <c r="B439" s="14"/>
      <c r="C439" s="14"/>
    </row>
    <row r="440" spans="1:3" ht="16.5">
      <c r="A440" s="14"/>
      <c r="B440" s="14"/>
      <c r="C440" s="14"/>
    </row>
    <row r="441" spans="1:3" ht="16.5">
      <c r="A441" s="14"/>
      <c r="B441" s="14"/>
      <c r="C441" s="14"/>
    </row>
    <row r="442" spans="1:3" ht="16.5">
      <c r="A442" s="14"/>
      <c r="B442" s="14"/>
      <c r="C442" s="14"/>
    </row>
    <row r="443" spans="1:3" ht="16.5">
      <c r="A443" s="14"/>
      <c r="B443" s="14"/>
      <c r="C443" s="14"/>
    </row>
    <row r="444" spans="1:3" ht="16.5">
      <c r="A444" s="14"/>
      <c r="B444" s="14"/>
      <c r="C444" s="14"/>
    </row>
    <row r="445" spans="1:3" ht="16.5">
      <c r="A445" s="14"/>
      <c r="B445" s="14"/>
      <c r="C445" s="14"/>
    </row>
    <row r="446" spans="1:3" ht="16.5">
      <c r="A446" s="14"/>
      <c r="B446" s="14"/>
      <c r="C446" s="14"/>
    </row>
    <row r="447" spans="1:3" ht="16.5">
      <c r="A447" s="14"/>
      <c r="B447" s="14"/>
      <c r="C447" s="14"/>
    </row>
    <row r="448" spans="1:3" ht="16.5">
      <c r="A448" s="14"/>
      <c r="B448" s="14"/>
      <c r="C448" s="14"/>
    </row>
    <row r="449" spans="1:3" ht="16.5">
      <c r="A449" s="14"/>
      <c r="B449" s="14"/>
      <c r="C449" s="14"/>
    </row>
    <row r="450" spans="1:3" ht="16.5">
      <c r="A450" s="14"/>
      <c r="B450" s="14"/>
      <c r="C450" s="14"/>
    </row>
    <row r="451" spans="1:3" ht="16.5">
      <c r="A451" s="14"/>
      <c r="B451" s="14"/>
      <c r="C451" s="14"/>
    </row>
    <row r="452" spans="1:3" ht="16.5">
      <c r="A452" s="14"/>
      <c r="B452" s="14"/>
      <c r="C452" s="14"/>
    </row>
    <row r="453" spans="1:3" ht="16.5">
      <c r="A453" s="14"/>
      <c r="B453" s="14"/>
      <c r="C453" s="14"/>
    </row>
    <row r="454" spans="1:3" ht="16.5">
      <c r="A454" s="14"/>
      <c r="B454" s="14"/>
      <c r="C454" s="14"/>
    </row>
    <row r="455" spans="1:3" ht="16.5">
      <c r="A455" s="14"/>
      <c r="B455" s="14"/>
      <c r="C455" s="14"/>
    </row>
    <row r="456" spans="1:3" ht="16.5">
      <c r="A456" s="14"/>
      <c r="B456" s="14"/>
      <c r="C456" s="14"/>
    </row>
    <row r="457" spans="1:3" ht="16.5">
      <c r="A457" s="14"/>
      <c r="B457" s="14"/>
      <c r="C457" s="14"/>
    </row>
    <row r="458" spans="1:3" ht="16.5">
      <c r="A458" s="14"/>
      <c r="B458" s="14"/>
      <c r="C458" s="14"/>
    </row>
    <row r="459" spans="1:3" ht="16.5">
      <c r="A459" s="14"/>
      <c r="B459" s="14"/>
      <c r="C459" s="14"/>
    </row>
    <row r="460" spans="1:3" ht="16.5">
      <c r="A460" s="14"/>
      <c r="B460" s="14"/>
      <c r="C460" s="14"/>
    </row>
    <row r="461" spans="1:3" ht="16.5">
      <c r="A461" s="14"/>
      <c r="B461" s="14"/>
      <c r="C461" s="14"/>
    </row>
    <row r="462" spans="1:3" ht="16.5">
      <c r="A462" s="14"/>
      <c r="B462" s="14"/>
      <c r="C462" s="14"/>
    </row>
    <row r="463" spans="1:3" ht="16.5">
      <c r="A463" s="14"/>
      <c r="B463" s="14"/>
      <c r="C463" s="14"/>
    </row>
    <row r="464" spans="1:3" ht="16.5">
      <c r="A464" s="14"/>
      <c r="B464" s="14"/>
      <c r="C464" s="14"/>
    </row>
    <row r="465" spans="1:3" ht="16.5">
      <c r="A465" s="14"/>
      <c r="B465" s="14"/>
      <c r="C465" s="14"/>
    </row>
    <row r="466" spans="1:3" ht="16.5">
      <c r="A466" s="14"/>
      <c r="B466" s="14"/>
      <c r="C466" s="14"/>
    </row>
    <row r="467" spans="1:3" ht="16.5">
      <c r="A467" s="14"/>
      <c r="B467" s="14"/>
      <c r="C467" s="14"/>
    </row>
    <row r="468" spans="1:3" ht="16.5">
      <c r="A468" s="14"/>
      <c r="B468" s="14"/>
      <c r="C468" s="14"/>
    </row>
    <row r="469" spans="1:3" ht="16.5">
      <c r="A469" s="14"/>
      <c r="B469" s="14"/>
      <c r="C469" s="14"/>
    </row>
    <row r="470" spans="1:3" ht="16.5">
      <c r="A470" s="14"/>
      <c r="B470" s="14"/>
      <c r="C470" s="14"/>
    </row>
    <row r="471" spans="1:3" ht="16.5">
      <c r="A471" s="14"/>
      <c r="B471" s="14"/>
      <c r="C471" s="14"/>
    </row>
    <row r="472" spans="1:3" ht="16.5">
      <c r="A472" s="14"/>
      <c r="B472" s="14"/>
      <c r="C472" s="14"/>
    </row>
    <row r="473" spans="1:3" ht="16.5">
      <c r="A473" s="14"/>
      <c r="B473" s="14"/>
      <c r="C473" s="14"/>
    </row>
    <row r="474" spans="1:3" ht="16.5">
      <c r="A474" s="14"/>
      <c r="B474" s="14"/>
      <c r="C474" s="14"/>
    </row>
    <row r="475" spans="1:3" ht="16.5">
      <c r="A475" s="14"/>
      <c r="B475" s="14"/>
      <c r="C475" s="14"/>
    </row>
    <row r="476" spans="1:3" ht="16.5">
      <c r="A476" s="14"/>
      <c r="B476" s="14"/>
      <c r="C476" s="14"/>
    </row>
    <row r="477" spans="1:3" ht="16.5">
      <c r="A477" s="14"/>
      <c r="B477" s="14"/>
      <c r="C477" s="14"/>
    </row>
    <row r="478" spans="1:3" ht="16.5">
      <c r="A478" s="14"/>
      <c r="B478" s="14"/>
      <c r="C478" s="14"/>
    </row>
    <row r="479" spans="1:3" ht="16.5">
      <c r="A479" s="14"/>
      <c r="B479" s="14"/>
      <c r="C479" s="14"/>
    </row>
    <row r="480" spans="1:3" ht="16.5">
      <c r="A480" s="14"/>
      <c r="B480" s="14"/>
      <c r="C480" s="14"/>
    </row>
    <row r="481" spans="1:3" ht="16.5">
      <c r="A481" s="14"/>
      <c r="B481" s="14"/>
      <c r="C481" s="14"/>
    </row>
    <row r="482" spans="1:3" ht="16.5">
      <c r="A482" s="14"/>
      <c r="B482" s="14"/>
      <c r="C482" s="14"/>
    </row>
    <row r="483" spans="1:3" ht="16.5">
      <c r="A483" s="14"/>
      <c r="B483" s="14"/>
      <c r="C483" s="14"/>
    </row>
    <row r="484" spans="1:3" ht="16.5">
      <c r="A484" s="14"/>
      <c r="B484" s="14"/>
      <c r="C484" s="14"/>
    </row>
    <row r="485" spans="1:3" ht="16.5">
      <c r="A485" s="14"/>
      <c r="B485" s="14"/>
      <c r="C485" s="14"/>
    </row>
    <row r="486" spans="1:3" ht="16.5">
      <c r="A486" s="14"/>
      <c r="B486" s="14"/>
      <c r="C486" s="14"/>
    </row>
    <row r="487" spans="1:3" ht="16.5">
      <c r="A487" s="14"/>
      <c r="B487" s="14"/>
      <c r="C487" s="14"/>
    </row>
    <row r="488" spans="1:3" ht="16.5">
      <c r="A488" s="14"/>
      <c r="B488" s="14"/>
      <c r="C488" s="14"/>
    </row>
    <row r="489" spans="1:3" ht="16.5">
      <c r="A489" s="14"/>
      <c r="B489" s="14"/>
      <c r="C489" s="14"/>
    </row>
    <row r="490" spans="1:3" ht="16.5">
      <c r="A490" s="14"/>
      <c r="B490" s="14"/>
      <c r="C490" s="14"/>
    </row>
    <row r="491" spans="1:3" ht="16.5">
      <c r="A491" s="14"/>
      <c r="B491" s="14"/>
      <c r="C491" s="14"/>
    </row>
    <row r="492" spans="1:3" ht="16.5">
      <c r="A492" s="14"/>
      <c r="B492" s="14"/>
      <c r="C492" s="14"/>
    </row>
    <row r="493" spans="1:3" ht="16.5">
      <c r="A493" s="14"/>
      <c r="B493" s="14"/>
      <c r="C493" s="14"/>
    </row>
    <row r="494" spans="1:3" ht="16.5">
      <c r="A494" s="14"/>
      <c r="B494" s="14"/>
      <c r="C494" s="14"/>
    </row>
    <row r="495" spans="1:3" ht="16.5">
      <c r="A495" s="14"/>
      <c r="B495" s="14"/>
      <c r="C495" s="14"/>
    </row>
    <row r="496" spans="1:3" ht="16.5">
      <c r="A496" s="14"/>
      <c r="B496" s="14"/>
      <c r="C496" s="14"/>
    </row>
    <row r="497" spans="1:3" ht="16.5">
      <c r="A497" s="14"/>
      <c r="B497" s="14"/>
      <c r="C497" s="14"/>
    </row>
    <row r="498" spans="1:3" ht="16.5">
      <c r="A498" s="14"/>
      <c r="B498" s="14"/>
      <c r="C498" s="14"/>
    </row>
    <row r="499" spans="1:3" ht="16.5">
      <c r="A499" s="14"/>
      <c r="B499" s="14"/>
      <c r="C499" s="14"/>
    </row>
    <row r="500" spans="1:3" ht="16.5">
      <c r="A500" s="14"/>
      <c r="B500" s="14"/>
      <c r="C500" s="14"/>
    </row>
    <row r="501" spans="1:3" ht="16.5">
      <c r="A501" s="14"/>
      <c r="B501" s="14"/>
      <c r="C501" s="14"/>
    </row>
    <row r="502" spans="1:3" ht="16.5">
      <c r="A502" s="14"/>
      <c r="B502" s="14"/>
      <c r="C502" s="14"/>
    </row>
    <row r="503" spans="1:3" ht="16.5">
      <c r="A503" s="14"/>
      <c r="B503" s="14"/>
      <c r="C503" s="14"/>
    </row>
    <row r="504" spans="1:3" ht="16.5">
      <c r="A504" s="14"/>
      <c r="B504" s="14"/>
      <c r="C504" s="14"/>
    </row>
    <row r="505" spans="1:3" ht="16.5">
      <c r="A505" s="14"/>
      <c r="B505" s="14"/>
      <c r="C505" s="14"/>
    </row>
    <row r="506" spans="1:3" ht="16.5">
      <c r="A506" s="14"/>
      <c r="B506" s="14"/>
      <c r="C506" s="14"/>
    </row>
    <row r="507" spans="1:3" ht="16.5">
      <c r="A507" s="14"/>
      <c r="B507" s="14"/>
      <c r="C507" s="14"/>
    </row>
    <row r="508" spans="1:3" ht="16.5">
      <c r="A508" s="14"/>
      <c r="B508" s="14"/>
      <c r="C508" s="14"/>
    </row>
    <row r="509" spans="1:3" ht="16.5">
      <c r="A509" s="14"/>
      <c r="B509" s="14"/>
      <c r="C509" s="14"/>
    </row>
    <row r="510" spans="1:3" ht="16.5">
      <c r="A510" s="14"/>
      <c r="B510" s="14"/>
      <c r="C510" s="14"/>
    </row>
    <row r="511" spans="1:3" ht="16.5">
      <c r="A511" s="14"/>
      <c r="B511" s="14"/>
      <c r="C511" s="14"/>
    </row>
    <row r="512" spans="1:3" ht="16.5">
      <c r="A512" s="14"/>
      <c r="B512" s="14"/>
      <c r="C512" s="14"/>
    </row>
    <row r="513" spans="1:3" ht="16.5">
      <c r="A513" s="14"/>
      <c r="B513" s="14"/>
      <c r="C513" s="14"/>
    </row>
    <row r="514" spans="1:3" ht="16.5">
      <c r="A514" s="14"/>
      <c r="B514" s="14"/>
      <c r="C514" s="14"/>
    </row>
    <row r="515" spans="1:3" ht="16.5">
      <c r="A515" s="14"/>
      <c r="B515" s="14"/>
      <c r="C515" s="14"/>
    </row>
    <row r="516" spans="1:3" ht="16.5">
      <c r="A516" s="14"/>
      <c r="B516" s="14"/>
      <c r="C516" s="14"/>
    </row>
    <row r="517" spans="1:3" ht="16.5">
      <c r="A517" s="14"/>
      <c r="B517" s="14"/>
      <c r="C517" s="14"/>
    </row>
    <row r="518" spans="1:3" ht="16.5">
      <c r="A518" s="14"/>
      <c r="B518" s="14"/>
      <c r="C518" s="14"/>
    </row>
    <row r="519" spans="1:3" ht="16.5">
      <c r="A519" s="14"/>
      <c r="B519" s="14"/>
      <c r="C519" s="14"/>
    </row>
    <row r="520" spans="1:3" ht="16.5">
      <c r="A520" s="14"/>
      <c r="B520" s="14"/>
      <c r="C520" s="14"/>
    </row>
    <row r="521" spans="1:3" ht="16.5">
      <c r="A521" s="14"/>
      <c r="B521" s="14"/>
      <c r="C521" s="14"/>
    </row>
    <row r="522" spans="1:3" ht="16.5">
      <c r="A522" s="14"/>
      <c r="B522" s="14"/>
      <c r="C522" s="14"/>
    </row>
    <row r="523" spans="1:3" ht="16.5">
      <c r="A523" s="14"/>
      <c r="B523" s="14"/>
      <c r="C523" s="14"/>
    </row>
    <row r="524" spans="1:3" ht="16.5">
      <c r="A524" s="14"/>
      <c r="B524" s="14"/>
      <c r="C524" s="14"/>
    </row>
    <row r="525" spans="1:3" ht="16.5">
      <c r="A525" s="14"/>
      <c r="B525" s="14"/>
      <c r="C525" s="14"/>
    </row>
    <row r="526" spans="1:3" ht="16.5">
      <c r="A526" s="14"/>
      <c r="B526" s="14"/>
      <c r="C526" s="14"/>
    </row>
    <row r="527" spans="1:3" ht="16.5">
      <c r="A527" s="14"/>
      <c r="B527" s="14"/>
      <c r="C527" s="14"/>
    </row>
    <row r="528" spans="1:3" ht="16.5">
      <c r="A528" s="14"/>
      <c r="B528" s="14"/>
      <c r="C528" s="14"/>
    </row>
    <row r="529" spans="1:3" ht="16.5">
      <c r="A529" s="14"/>
      <c r="B529" s="14"/>
      <c r="C529" s="14"/>
    </row>
    <row r="530" spans="1:3" ht="16.5">
      <c r="A530" s="14"/>
      <c r="B530" s="14"/>
      <c r="C530" s="14"/>
    </row>
    <row r="531" spans="1:3" ht="16.5">
      <c r="A531" s="14"/>
      <c r="B531" s="14"/>
      <c r="C531" s="14"/>
    </row>
    <row r="532" spans="1:3" ht="16.5">
      <c r="A532" s="14"/>
      <c r="B532" s="14"/>
      <c r="C532" s="14"/>
    </row>
    <row r="533" spans="1:3" ht="16.5">
      <c r="A533" s="14"/>
      <c r="B533" s="14"/>
      <c r="C533" s="14"/>
    </row>
    <row r="534" spans="1:3" ht="16.5">
      <c r="A534" s="14"/>
      <c r="B534" s="14"/>
      <c r="C534" s="14"/>
    </row>
    <row r="535" spans="1:3" ht="16.5">
      <c r="A535" s="14"/>
      <c r="B535" s="14"/>
      <c r="C535" s="14"/>
    </row>
    <row r="536" spans="1:3" ht="16.5">
      <c r="A536" s="14"/>
      <c r="B536" s="14"/>
      <c r="C536" s="14"/>
    </row>
    <row r="537" spans="1:3" ht="16.5">
      <c r="A537" s="14"/>
      <c r="B537" s="14"/>
      <c r="C537" s="14"/>
    </row>
    <row r="538" spans="1:3" ht="16.5">
      <c r="A538" s="14"/>
      <c r="B538" s="14"/>
      <c r="C538" s="14"/>
    </row>
    <row r="539" spans="1:3" ht="16.5">
      <c r="A539" s="14"/>
      <c r="B539" s="14"/>
      <c r="C539" s="14"/>
    </row>
    <row r="540" spans="1:3" ht="16.5">
      <c r="A540" s="14"/>
      <c r="B540" s="14"/>
      <c r="C540" s="14"/>
    </row>
    <row r="541" spans="1:3" ht="16.5">
      <c r="A541" s="14"/>
      <c r="B541" s="14"/>
      <c r="C541" s="14"/>
    </row>
    <row r="542" spans="1:3" ht="16.5">
      <c r="A542" s="14"/>
      <c r="B542" s="14"/>
      <c r="C542" s="14"/>
    </row>
    <row r="543" spans="1:3" ht="16.5">
      <c r="A543" s="14"/>
      <c r="B543" s="14"/>
      <c r="C543" s="14"/>
    </row>
    <row r="544" spans="1:3" ht="16.5">
      <c r="A544" s="14"/>
      <c r="B544" s="14"/>
      <c r="C544" s="14"/>
    </row>
    <row r="545" spans="1:3" ht="16.5">
      <c r="A545" s="14"/>
      <c r="B545" s="14"/>
      <c r="C545" s="14"/>
    </row>
    <row r="546" spans="1:3" ht="16.5">
      <c r="A546" s="14"/>
      <c r="B546" s="14"/>
      <c r="C546" s="14"/>
    </row>
    <row r="547" spans="1:3" ht="16.5">
      <c r="A547" s="14"/>
      <c r="B547" s="14"/>
      <c r="C547" s="14"/>
    </row>
    <row r="548" spans="1:3" ht="16.5">
      <c r="A548" s="14"/>
      <c r="B548" s="14"/>
      <c r="C548" s="14"/>
    </row>
    <row r="549" spans="1:3" ht="16.5">
      <c r="A549" s="14"/>
      <c r="B549" s="14"/>
      <c r="C549" s="14"/>
    </row>
    <row r="550" spans="1:3" ht="16.5">
      <c r="A550" s="14"/>
      <c r="B550" s="14"/>
      <c r="C550" s="14"/>
    </row>
    <row r="551" spans="1:3" ht="16.5">
      <c r="A551" s="14"/>
      <c r="B551" s="14"/>
      <c r="C551" s="14"/>
    </row>
    <row r="552" spans="1:3" ht="16.5">
      <c r="A552" s="14"/>
      <c r="B552" s="14"/>
      <c r="C552" s="14"/>
    </row>
    <row r="553" spans="1:3" ht="16.5">
      <c r="A553" s="14"/>
      <c r="B553" s="14"/>
      <c r="C553" s="14"/>
    </row>
    <row r="554" spans="1:3" ht="16.5">
      <c r="A554" s="14"/>
      <c r="B554" s="14"/>
      <c r="C554" s="14"/>
    </row>
    <row r="555" spans="1:3" ht="16.5">
      <c r="A555" s="14"/>
      <c r="B555" s="14"/>
      <c r="C555" s="14"/>
    </row>
    <row r="556" spans="1:3" ht="16.5">
      <c r="A556" s="14"/>
      <c r="B556" s="14"/>
      <c r="C556" s="14"/>
    </row>
    <row r="557" spans="1:3" ht="16.5">
      <c r="A557" s="14"/>
      <c r="B557" s="14"/>
      <c r="C557" s="14"/>
    </row>
    <row r="558" spans="1:3" ht="16.5">
      <c r="A558" s="14"/>
      <c r="B558" s="14"/>
      <c r="C558" s="14"/>
    </row>
    <row r="559" spans="1:3" ht="16.5">
      <c r="A559" s="14"/>
      <c r="B559" s="14"/>
      <c r="C559" s="14"/>
    </row>
    <row r="560" spans="1:3" ht="16.5">
      <c r="A560" s="14"/>
      <c r="B560" s="14"/>
      <c r="C560" s="14"/>
    </row>
    <row r="561" spans="1:3" ht="16.5">
      <c r="A561" s="14"/>
      <c r="B561" s="14"/>
      <c r="C561" s="14"/>
    </row>
    <row r="562" spans="1:3" ht="16.5">
      <c r="A562" s="14"/>
      <c r="B562" s="14"/>
      <c r="C562" s="14"/>
    </row>
    <row r="563" spans="1:3" ht="16.5">
      <c r="A563" s="14"/>
      <c r="B563" s="14"/>
      <c r="C563" s="14"/>
    </row>
    <row r="564" spans="1:3" ht="16.5">
      <c r="A564" s="14"/>
      <c r="B564" s="14"/>
      <c r="C564" s="14"/>
    </row>
    <row r="565" spans="1:3" ht="16.5">
      <c r="A565" s="14"/>
      <c r="B565" s="14"/>
      <c r="C565" s="14"/>
    </row>
    <row r="566" spans="1:3" ht="16.5">
      <c r="A566" s="14"/>
      <c r="B566" s="14"/>
      <c r="C566" s="14"/>
    </row>
    <row r="567" spans="1:3" ht="16.5">
      <c r="A567" s="14"/>
      <c r="B567" s="14"/>
      <c r="C567" s="14"/>
    </row>
    <row r="568" spans="1:3" ht="16.5">
      <c r="A568" s="14"/>
      <c r="B568" s="14"/>
      <c r="C568" s="14"/>
    </row>
    <row r="569" spans="1:3" ht="16.5">
      <c r="A569" s="14"/>
      <c r="B569" s="14"/>
      <c r="C569" s="14"/>
    </row>
    <row r="570" spans="1:3" ht="16.5">
      <c r="A570" s="14"/>
      <c r="B570" s="14"/>
      <c r="C570" s="14"/>
    </row>
    <row r="571" spans="1:3" ht="16.5">
      <c r="A571" s="14"/>
      <c r="B571" s="14"/>
      <c r="C571" s="14"/>
    </row>
    <row r="572" spans="1:3" ht="16.5">
      <c r="A572" s="14"/>
      <c r="B572" s="14"/>
      <c r="C572" s="14"/>
    </row>
    <row r="573" spans="1:3" ht="16.5">
      <c r="A573" s="14"/>
      <c r="B573" s="14"/>
      <c r="C573" s="14"/>
    </row>
    <row r="574" spans="1:3" ht="16.5">
      <c r="A574" s="14"/>
      <c r="B574" s="14"/>
      <c r="C574" s="14"/>
    </row>
    <row r="575" spans="1:3" ht="16.5">
      <c r="A575" s="14"/>
      <c r="B575" s="14"/>
      <c r="C575" s="14"/>
    </row>
    <row r="576" spans="1:3" ht="16.5">
      <c r="A576" s="14"/>
      <c r="B576" s="14"/>
      <c r="C576" s="14"/>
    </row>
    <row r="577" spans="1:3" ht="16.5">
      <c r="A577" s="14"/>
      <c r="B577" s="14"/>
      <c r="C577" s="14"/>
    </row>
    <row r="578" spans="1:3" ht="16.5">
      <c r="A578" s="14"/>
      <c r="B578" s="14"/>
      <c r="C578" s="14"/>
    </row>
    <row r="579" spans="1:3" ht="16.5">
      <c r="A579" s="14"/>
      <c r="B579" s="14"/>
      <c r="C579" s="14"/>
    </row>
    <row r="580" spans="1:3" ht="16.5">
      <c r="A580" s="14"/>
      <c r="B580" s="14"/>
      <c r="C580" s="14"/>
    </row>
    <row r="581" spans="1:3" ht="16.5">
      <c r="A581" s="14"/>
      <c r="B581" s="14"/>
      <c r="C581" s="14"/>
    </row>
    <row r="582" spans="1:3" ht="16.5">
      <c r="A582" s="14"/>
      <c r="B582" s="14"/>
      <c r="C582" s="14"/>
    </row>
    <row r="583" spans="1:3" ht="16.5">
      <c r="A583" s="14"/>
      <c r="B583" s="14"/>
      <c r="C583" s="14"/>
    </row>
    <row r="584" spans="1:3" ht="16.5">
      <c r="A584" s="14"/>
      <c r="B584" s="14"/>
      <c r="C584" s="14"/>
    </row>
    <row r="585" spans="1:3" ht="16.5">
      <c r="A585" s="14"/>
      <c r="B585" s="14"/>
      <c r="C585" s="14"/>
    </row>
    <row r="586" spans="1:3" ht="16.5">
      <c r="A586" s="14"/>
      <c r="B586" s="14"/>
      <c r="C586" s="14"/>
    </row>
    <row r="587" spans="1:3" ht="16.5">
      <c r="A587" s="14"/>
      <c r="B587" s="14"/>
      <c r="C587" s="14"/>
    </row>
    <row r="588" spans="1:3" ht="16.5">
      <c r="A588" s="14"/>
      <c r="B588" s="14"/>
      <c r="C588" s="14"/>
    </row>
    <row r="589" spans="1:3" ht="16.5">
      <c r="A589" s="14"/>
      <c r="B589" s="14"/>
      <c r="C589" s="14"/>
    </row>
    <row r="590" spans="1:3" ht="16.5">
      <c r="A590" s="14"/>
      <c r="B590" s="14"/>
      <c r="C590" s="14"/>
    </row>
    <row r="591" spans="1:3" ht="16.5">
      <c r="A591" s="14"/>
      <c r="B591" s="14"/>
      <c r="C591" s="14"/>
    </row>
    <row r="592" spans="1:3" ht="16.5">
      <c r="A592" s="14"/>
      <c r="B592" s="14"/>
      <c r="C592" s="14"/>
    </row>
    <row r="593" spans="1:3" ht="16.5">
      <c r="A593" s="14"/>
      <c r="B593" s="14"/>
      <c r="C593" s="14"/>
    </row>
    <row r="594" spans="1:3" ht="16.5">
      <c r="A594" s="14"/>
      <c r="B594" s="14"/>
      <c r="C594" s="14"/>
    </row>
    <row r="595" spans="1:3" ht="16.5">
      <c r="A595" s="14"/>
      <c r="B595" s="14"/>
      <c r="C595" s="14"/>
    </row>
    <row r="596" spans="1:3" ht="16.5">
      <c r="A596" s="14"/>
      <c r="B596" s="14"/>
      <c r="C596" s="14"/>
    </row>
    <row r="597" spans="1:3" ht="16.5">
      <c r="A597" s="14"/>
      <c r="B597" s="14"/>
      <c r="C597" s="14"/>
    </row>
    <row r="598" spans="1:3" ht="16.5">
      <c r="A598" s="14"/>
      <c r="B598" s="14"/>
      <c r="C598" s="14"/>
    </row>
    <row r="599" spans="1:3" ht="16.5">
      <c r="A599" s="14"/>
      <c r="B599" s="14"/>
      <c r="C599" s="14"/>
    </row>
    <row r="600" spans="1:3" ht="16.5">
      <c r="A600" s="14"/>
      <c r="B600" s="14"/>
      <c r="C600" s="14"/>
    </row>
    <row r="601" spans="1:3" ht="16.5">
      <c r="A601" s="14"/>
      <c r="B601" s="14"/>
      <c r="C601" s="14"/>
    </row>
    <row r="602" spans="1:3" ht="16.5">
      <c r="A602" s="14"/>
      <c r="B602" s="14"/>
      <c r="C602" s="14"/>
    </row>
    <row r="603" spans="1:3" ht="16.5">
      <c r="A603" s="14"/>
      <c r="B603" s="14"/>
      <c r="C603" s="14"/>
    </row>
    <row r="604" spans="1:3" ht="16.5">
      <c r="A604" s="14"/>
      <c r="B604" s="14"/>
      <c r="C604" s="14"/>
    </row>
    <row r="605" spans="1:3" ht="16.5">
      <c r="A605" s="14"/>
      <c r="B605" s="14"/>
      <c r="C605" s="14"/>
    </row>
    <row r="606" spans="1:3" ht="16.5">
      <c r="A606" s="14"/>
      <c r="B606" s="14"/>
      <c r="C606" s="14"/>
    </row>
    <row r="607" spans="1:3" ht="16.5">
      <c r="A607" s="14"/>
      <c r="B607" s="14"/>
      <c r="C607" s="14"/>
    </row>
    <row r="608" spans="1:3" ht="16.5">
      <c r="A608" s="14"/>
      <c r="B608" s="14"/>
      <c r="C608" s="14"/>
    </row>
    <row r="609" spans="1:3" ht="16.5">
      <c r="A609" s="14"/>
      <c r="B609" s="14"/>
      <c r="C609" s="14"/>
    </row>
    <row r="610" spans="1:3" ht="16.5">
      <c r="A610" s="14"/>
      <c r="B610" s="14"/>
      <c r="C610" s="14"/>
    </row>
    <row r="611" spans="1:3" ht="16.5">
      <c r="A611" s="14"/>
      <c r="B611" s="14"/>
      <c r="C611" s="14"/>
    </row>
    <row r="612" spans="1:3" ht="16.5">
      <c r="A612" s="14"/>
      <c r="B612" s="14"/>
      <c r="C612" s="14"/>
    </row>
    <row r="613" spans="1:3" ht="16.5">
      <c r="A613" s="14"/>
      <c r="B613" s="14"/>
      <c r="C613" s="14"/>
    </row>
    <row r="614" spans="1:3" ht="16.5">
      <c r="A614" s="14"/>
      <c r="B614" s="14"/>
      <c r="C614" s="14"/>
    </row>
    <row r="615" spans="1:3" ht="16.5">
      <c r="A615" s="14"/>
      <c r="B615" s="14"/>
      <c r="C615" s="14"/>
    </row>
    <row r="616" spans="1:3" ht="16.5">
      <c r="A616" s="14"/>
      <c r="B616" s="14"/>
      <c r="C616" s="14"/>
    </row>
    <row r="617" spans="1:3" ht="16.5">
      <c r="A617" s="14"/>
      <c r="B617" s="14"/>
      <c r="C617" s="14"/>
    </row>
    <row r="618" spans="1:3" ht="16.5">
      <c r="A618" s="14"/>
      <c r="B618" s="14"/>
      <c r="C618" s="14"/>
    </row>
    <row r="619" spans="1:3" ht="16.5">
      <c r="A619" s="14"/>
      <c r="B619" s="14"/>
      <c r="C619" s="14"/>
    </row>
    <row r="620" spans="1:3" ht="16.5">
      <c r="A620" s="14"/>
      <c r="B620" s="14"/>
      <c r="C620" s="14"/>
    </row>
    <row r="621" spans="1:3" ht="16.5">
      <c r="A621" s="14"/>
      <c r="B621" s="14"/>
      <c r="C621" s="14"/>
    </row>
    <row r="622" spans="1:3" ht="16.5">
      <c r="A622" s="14"/>
      <c r="B622" s="14"/>
      <c r="C622" s="14"/>
    </row>
    <row r="623" spans="1:3" ht="16.5">
      <c r="A623" s="14"/>
      <c r="B623" s="14"/>
      <c r="C623" s="14"/>
    </row>
    <row r="624" spans="1:3" ht="16.5">
      <c r="A624" s="14"/>
      <c r="B624" s="14"/>
      <c r="C624" s="14"/>
    </row>
    <row r="625" spans="1:3" ht="16.5">
      <c r="A625" s="14"/>
      <c r="B625" s="14"/>
      <c r="C625" s="14"/>
    </row>
    <row r="626" spans="1:3" ht="16.5">
      <c r="A626" s="14"/>
      <c r="B626" s="14"/>
      <c r="C626" s="14"/>
    </row>
    <row r="627" spans="1:3" ht="16.5">
      <c r="A627" s="14"/>
      <c r="B627" s="14"/>
      <c r="C627" s="14"/>
    </row>
    <row r="628" spans="1:3" ht="16.5">
      <c r="A628" s="14"/>
      <c r="B628" s="14"/>
      <c r="C628" s="14"/>
    </row>
    <row r="629" spans="1:3" ht="16.5">
      <c r="A629" s="14"/>
      <c r="B629" s="14"/>
      <c r="C629" s="14"/>
    </row>
    <row r="630" spans="1:3" ht="16.5">
      <c r="A630" s="14"/>
      <c r="B630" s="14"/>
      <c r="C630" s="14"/>
    </row>
    <row r="631" spans="1:3" ht="16.5">
      <c r="A631" s="14"/>
      <c r="B631" s="14"/>
      <c r="C631" s="14"/>
    </row>
    <row r="632" spans="1:3" ht="16.5">
      <c r="A632" s="14"/>
      <c r="B632" s="14"/>
      <c r="C632" s="14"/>
    </row>
    <row r="633" spans="1:3" ht="16.5">
      <c r="A633" s="14"/>
      <c r="B633" s="14"/>
      <c r="C633" s="14"/>
    </row>
    <row r="634" spans="1:3" ht="16.5">
      <c r="A634" s="14"/>
      <c r="B634" s="14"/>
      <c r="C634" s="14"/>
    </row>
    <row r="635" spans="1:3" ht="16.5">
      <c r="A635" s="14"/>
      <c r="B635" s="14"/>
      <c r="C635" s="14"/>
    </row>
    <row r="636" spans="1:3" ht="16.5">
      <c r="A636" s="14"/>
      <c r="B636" s="14"/>
      <c r="C636" s="14"/>
    </row>
    <row r="637" spans="1:3" ht="16.5">
      <c r="A637" s="14"/>
      <c r="B637" s="14"/>
      <c r="C637" s="14"/>
    </row>
    <row r="638" spans="1:3" ht="16.5">
      <c r="A638" s="14"/>
      <c r="B638" s="14"/>
      <c r="C638" s="14"/>
    </row>
    <row r="639" spans="1:3" ht="16.5">
      <c r="A639" s="14"/>
      <c r="B639" s="14"/>
      <c r="C639" s="14"/>
    </row>
    <row r="640" spans="1:3" ht="16.5">
      <c r="A640" s="14"/>
      <c r="B640" s="14"/>
      <c r="C640" s="14"/>
    </row>
    <row r="641" spans="1:3" ht="16.5">
      <c r="A641" s="14"/>
      <c r="B641" s="14"/>
      <c r="C641" s="14"/>
    </row>
    <row r="642" spans="1:3" ht="16.5">
      <c r="A642" s="14"/>
      <c r="B642" s="14"/>
      <c r="C642" s="14"/>
    </row>
    <row r="643" spans="1:3" ht="16.5">
      <c r="A643" s="14"/>
      <c r="B643" s="14"/>
      <c r="C643" s="14"/>
    </row>
    <row r="644" spans="1:3" ht="16.5">
      <c r="A644" s="14"/>
      <c r="B644" s="14"/>
      <c r="C644" s="14"/>
    </row>
    <row r="645" spans="1:3" ht="16.5">
      <c r="A645" s="14"/>
      <c r="B645" s="14"/>
      <c r="C645" s="14"/>
    </row>
    <row r="646" spans="1:3" ht="16.5">
      <c r="A646" s="14"/>
      <c r="B646" s="14"/>
      <c r="C646" s="14"/>
    </row>
    <row r="647" spans="1:3" ht="16.5">
      <c r="A647" s="14"/>
      <c r="B647" s="14"/>
      <c r="C647" s="14"/>
    </row>
    <row r="648" spans="1:3" ht="16.5">
      <c r="A648" s="14"/>
      <c r="B648" s="14"/>
      <c r="C648" s="14"/>
    </row>
    <row r="649" spans="1:3" ht="16.5">
      <c r="A649" s="14"/>
      <c r="B649" s="14"/>
      <c r="C649" s="14"/>
    </row>
    <row r="650" spans="1:3" ht="16.5">
      <c r="A650" s="14"/>
      <c r="B650" s="14"/>
      <c r="C650" s="14"/>
    </row>
    <row r="651" spans="1:3" ht="16.5">
      <c r="A651" s="14"/>
      <c r="B651" s="14"/>
      <c r="C651" s="14"/>
    </row>
    <row r="652" spans="1:3" ht="16.5">
      <c r="A652" s="14"/>
      <c r="B652" s="14"/>
      <c r="C652" s="14"/>
    </row>
    <row r="653" spans="1:3" ht="16.5">
      <c r="A653" s="14"/>
      <c r="B653" s="14"/>
      <c r="C653" s="14"/>
    </row>
    <row r="654" spans="1:3" ht="16.5">
      <c r="A654" s="14"/>
      <c r="B654" s="14"/>
      <c r="C654" s="14"/>
    </row>
    <row r="655" spans="1:3" ht="16.5">
      <c r="A655" s="14"/>
      <c r="B655" s="14"/>
      <c r="C655" s="14"/>
    </row>
    <row r="656" spans="1:3" ht="16.5">
      <c r="A656" s="14"/>
      <c r="B656" s="14"/>
      <c r="C656" s="14"/>
    </row>
    <row r="657" spans="1:3" ht="16.5">
      <c r="A657" s="14"/>
      <c r="B657" s="14"/>
      <c r="C657" s="14"/>
    </row>
    <row r="658" spans="1:3" ht="16.5">
      <c r="A658" s="14"/>
      <c r="B658" s="14"/>
      <c r="C658" s="14"/>
    </row>
    <row r="659" spans="1:3" ht="16.5">
      <c r="A659" s="14"/>
      <c r="B659" s="14"/>
      <c r="C659" s="14"/>
    </row>
    <row r="660" spans="1:3" ht="16.5">
      <c r="A660" s="14"/>
      <c r="B660" s="14"/>
      <c r="C660" s="14"/>
    </row>
    <row r="661" spans="1:3" ht="16.5">
      <c r="A661" s="14"/>
      <c r="B661" s="14"/>
      <c r="C661" s="14"/>
    </row>
    <row r="662" spans="1:3" ht="16.5">
      <c r="A662" s="14"/>
      <c r="B662" s="14"/>
      <c r="C662" s="14"/>
    </row>
    <row r="663" spans="1:3" ht="16.5">
      <c r="A663" s="14"/>
      <c r="B663" s="14"/>
      <c r="C663" s="14"/>
    </row>
    <row r="664" spans="1:3" ht="16.5">
      <c r="A664" s="14"/>
      <c r="B664" s="14"/>
      <c r="C664" s="14"/>
    </row>
    <row r="665" spans="1:3" ht="16.5">
      <c r="A665" s="14"/>
      <c r="B665" s="14"/>
      <c r="C665" s="14"/>
    </row>
    <row r="666" spans="1:3" ht="16.5">
      <c r="A666" s="14"/>
      <c r="B666" s="14"/>
      <c r="C666" s="14"/>
    </row>
    <row r="667" spans="1:3" ht="16.5">
      <c r="A667" s="14"/>
      <c r="B667" s="14"/>
      <c r="C667" s="14"/>
    </row>
    <row r="668" spans="1:3" ht="16.5">
      <c r="A668" s="14"/>
      <c r="B668" s="14"/>
      <c r="C668" s="14"/>
    </row>
    <row r="669" spans="1:3" ht="16.5">
      <c r="A669" s="14"/>
      <c r="B669" s="14"/>
      <c r="C669" s="14"/>
    </row>
    <row r="670" spans="1:3" ht="16.5">
      <c r="A670" s="14"/>
      <c r="B670" s="14"/>
      <c r="C670" s="14"/>
    </row>
    <row r="671" spans="1:3" ht="16.5">
      <c r="A671" s="14"/>
      <c r="B671" s="14"/>
      <c r="C671" s="14"/>
    </row>
    <row r="672" spans="1:3" ht="16.5">
      <c r="A672" s="14"/>
      <c r="B672" s="14"/>
      <c r="C672" s="14"/>
    </row>
    <row r="673" spans="1:3" ht="16.5">
      <c r="A673" s="14"/>
      <c r="B673" s="14"/>
      <c r="C673" s="14"/>
    </row>
    <row r="674" spans="1:3" ht="16.5">
      <c r="A674" s="14"/>
      <c r="B674" s="14"/>
      <c r="C674" s="14"/>
    </row>
    <row r="675" spans="1:3" ht="16.5">
      <c r="A675" s="14"/>
      <c r="B675" s="14"/>
      <c r="C675" s="14"/>
    </row>
    <row r="676" spans="1:3" ht="16.5">
      <c r="A676" s="14"/>
      <c r="B676" s="14"/>
      <c r="C676" s="14"/>
    </row>
    <row r="677" spans="1:3" ht="16.5">
      <c r="A677" s="14"/>
      <c r="B677" s="14"/>
      <c r="C677" s="14"/>
    </row>
    <row r="678" spans="1:3" ht="16.5">
      <c r="A678" s="14"/>
      <c r="B678" s="14"/>
      <c r="C678" s="14"/>
    </row>
    <row r="679" spans="1:3" ht="16.5">
      <c r="A679" s="14"/>
      <c r="B679" s="14"/>
      <c r="C679" s="14"/>
    </row>
    <row r="680" spans="1:3" ht="16.5">
      <c r="A680" s="14"/>
      <c r="B680" s="14"/>
      <c r="C680" s="14"/>
    </row>
    <row r="681" spans="1:3" ht="16.5">
      <c r="A681" s="14"/>
      <c r="B681" s="14"/>
      <c r="C681" s="14"/>
    </row>
    <row r="682" spans="1:3" ht="16.5">
      <c r="A682" s="14"/>
      <c r="B682" s="14"/>
      <c r="C682" s="14"/>
    </row>
    <row r="683" spans="1:3" ht="16.5">
      <c r="A683" s="14"/>
      <c r="B683" s="14"/>
      <c r="C683" s="14"/>
    </row>
    <row r="684" spans="1:3" ht="16.5">
      <c r="A684" s="14"/>
      <c r="B684" s="14"/>
      <c r="C684" s="14"/>
    </row>
    <row r="685" spans="1:3" ht="16.5">
      <c r="A685" s="14"/>
      <c r="B685" s="14"/>
      <c r="C685" s="14"/>
    </row>
    <row r="686" spans="1:3" ht="16.5">
      <c r="A686" s="14"/>
      <c r="B686" s="14"/>
      <c r="C686" s="14"/>
    </row>
    <row r="687" spans="1:3" ht="16.5">
      <c r="A687" s="14"/>
      <c r="B687" s="14"/>
      <c r="C687" s="14"/>
    </row>
    <row r="688" spans="1:3" ht="16.5">
      <c r="A688" s="14"/>
      <c r="B688" s="14"/>
      <c r="C688" s="14"/>
    </row>
    <row r="689" spans="1:3" ht="16.5">
      <c r="A689" s="14"/>
      <c r="B689" s="14"/>
      <c r="C689" s="14"/>
    </row>
    <row r="690" spans="1:3" ht="16.5">
      <c r="A690" s="14"/>
      <c r="B690" s="14"/>
      <c r="C690" s="14"/>
    </row>
    <row r="691" spans="1:3" ht="16.5">
      <c r="A691" s="14"/>
      <c r="B691" s="14"/>
      <c r="C691" s="14"/>
    </row>
    <row r="692" spans="1:3" ht="16.5">
      <c r="A692" s="14"/>
      <c r="B692" s="14"/>
      <c r="C692" s="14"/>
    </row>
    <row r="693" spans="1:3" ht="16.5">
      <c r="A693" s="14"/>
      <c r="B693" s="14"/>
      <c r="C693" s="14"/>
    </row>
    <row r="694" spans="1:3" ht="16.5">
      <c r="A694" s="14"/>
      <c r="B694" s="14"/>
      <c r="C694" s="14"/>
    </row>
    <row r="695" spans="1:3" ht="16.5">
      <c r="A695" s="14"/>
      <c r="B695" s="14"/>
      <c r="C695" s="14"/>
    </row>
    <row r="696" spans="1:3" ht="16.5">
      <c r="A696" s="14"/>
      <c r="B696" s="14"/>
      <c r="C696" s="14"/>
    </row>
    <row r="697" spans="1:3" ht="16.5">
      <c r="A697" s="14"/>
      <c r="B697" s="14"/>
      <c r="C697" s="14"/>
    </row>
    <row r="698" spans="1:3" ht="16.5">
      <c r="A698" s="14"/>
      <c r="B698" s="14"/>
      <c r="C698" s="14"/>
    </row>
    <row r="699" spans="1:3" ht="16.5">
      <c r="A699" s="14"/>
      <c r="B699" s="14"/>
      <c r="C699" s="14"/>
    </row>
    <row r="700" spans="1:3" ht="16.5">
      <c r="A700" s="14"/>
      <c r="B700" s="14"/>
      <c r="C700" s="14"/>
    </row>
    <row r="701" spans="1:3" ht="16.5">
      <c r="A701" s="14"/>
      <c r="B701" s="14"/>
      <c r="C701" s="14"/>
    </row>
    <row r="702" spans="1:3" ht="16.5">
      <c r="A702" s="14"/>
      <c r="B702" s="14"/>
      <c r="C702" s="14"/>
    </row>
    <row r="703" spans="1:3" ht="16.5">
      <c r="A703" s="14"/>
      <c r="B703" s="14"/>
      <c r="C703" s="14"/>
    </row>
    <row r="704" spans="1:3" ht="16.5">
      <c r="A704" s="14"/>
      <c r="B704" s="14"/>
      <c r="C704" s="14"/>
    </row>
    <row r="705" spans="1:3" ht="16.5">
      <c r="A705" s="14"/>
      <c r="B705" s="14"/>
      <c r="C705" s="14"/>
    </row>
    <row r="706" spans="1:3" ht="16.5">
      <c r="A706" s="14"/>
      <c r="B706" s="14"/>
      <c r="C706" s="14"/>
    </row>
    <row r="707" spans="1:3" ht="16.5">
      <c r="A707" s="14"/>
      <c r="B707" s="14"/>
      <c r="C707" s="14"/>
    </row>
    <row r="708" spans="1:3" ht="16.5">
      <c r="A708" s="14"/>
      <c r="B708" s="14"/>
      <c r="C708" s="14"/>
    </row>
    <row r="709" spans="1:3" ht="16.5">
      <c r="A709" s="14"/>
      <c r="B709" s="14"/>
      <c r="C709" s="14"/>
    </row>
    <row r="710" spans="1:3" ht="16.5">
      <c r="A710" s="14"/>
      <c r="B710" s="14"/>
      <c r="C710" s="14"/>
    </row>
    <row r="711" spans="1:3" ht="16.5">
      <c r="A711" s="14"/>
      <c r="B711" s="14"/>
      <c r="C711" s="14"/>
    </row>
    <row r="712" spans="1:3" ht="16.5">
      <c r="A712" s="14"/>
      <c r="B712" s="14"/>
      <c r="C712" s="14"/>
    </row>
    <row r="713" spans="1:3" ht="16.5">
      <c r="A713" s="14"/>
      <c r="B713" s="14"/>
      <c r="C713" s="14"/>
    </row>
    <row r="714" spans="1:3" ht="16.5">
      <c r="A714" s="14"/>
      <c r="B714" s="14"/>
      <c r="C714" s="14"/>
    </row>
    <row r="715" spans="1:3" ht="16.5">
      <c r="A715" s="14"/>
      <c r="B715" s="14"/>
      <c r="C715" s="14"/>
    </row>
    <row r="716" spans="1:3" ht="16.5">
      <c r="A716" s="14"/>
      <c r="B716" s="14"/>
      <c r="C716" s="14"/>
    </row>
    <row r="717" spans="1:3" ht="16.5">
      <c r="A717" s="14"/>
      <c r="B717" s="14"/>
      <c r="C717" s="14"/>
    </row>
    <row r="718" spans="1:3" ht="16.5">
      <c r="A718" s="14"/>
      <c r="B718" s="14"/>
      <c r="C718" s="14"/>
    </row>
    <row r="719" spans="1:3" ht="16.5">
      <c r="A719" s="14"/>
      <c r="B719" s="14"/>
      <c r="C719" s="14"/>
    </row>
    <row r="720" spans="1:3" ht="16.5">
      <c r="A720" s="14"/>
      <c r="B720" s="14"/>
      <c r="C720" s="14"/>
    </row>
    <row r="721" spans="1:3" ht="16.5">
      <c r="A721" s="14"/>
      <c r="B721" s="14"/>
      <c r="C721" s="14"/>
    </row>
    <row r="722" spans="1:3" ht="16.5">
      <c r="A722" s="14"/>
      <c r="B722" s="14"/>
      <c r="C722" s="14"/>
    </row>
    <row r="723" spans="1:3" ht="16.5">
      <c r="A723" s="14"/>
      <c r="B723" s="14"/>
      <c r="C723" s="14"/>
    </row>
    <row r="724" spans="1:3" ht="16.5">
      <c r="A724" s="14"/>
      <c r="B724" s="14"/>
      <c r="C724" s="14"/>
    </row>
    <row r="725" spans="1:3" ht="16.5">
      <c r="A725" s="14"/>
      <c r="B725" s="14"/>
      <c r="C725" s="14"/>
    </row>
    <row r="726" spans="1:3" ht="16.5">
      <c r="A726" s="14"/>
      <c r="B726" s="14"/>
      <c r="C726" s="14"/>
    </row>
    <row r="727" spans="1:3" ht="16.5">
      <c r="A727" s="14"/>
      <c r="B727" s="14"/>
      <c r="C727" s="14"/>
    </row>
    <row r="728" spans="1:3" ht="16.5">
      <c r="A728" s="14"/>
      <c r="B728" s="14"/>
      <c r="C728" s="14"/>
    </row>
    <row r="729" spans="1:3" ht="16.5">
      <c r="A729" s="14"/>
      <c r="B729" s="14"/>
      <c r="C729" s="14"/>
    </row>
    <row r="730" spans="1:3" ht="16.5">
      <c r="A730" s="14"/>
      <c r="B730" s="14"/>
      <c r="C730" s="14"/>
    </row>
    <row r="731" spans="1:3" ht="16.5">
      <c r="A731" s="14"/>
      <c r="B731" s="14"/>
      <c r="C731" s="14"/>
    </row>
    <row r="732" spans="1:3" ht="16.5">
      <c r="A732" s="14"/>
      <c r="B732" s="14"/>
      <c r="C732" s="14"/>
    </row>
    <row r="733" spans="1:3" ht="16.5">
      <c r="A733" s="14"/>
      <c r="B733" s="14"/>
      <c r="C733" s="14"/>
    </row>
    <row r="734" spans="1:3" ht="16.5">
      <c r="A734" s="14"/>
      <c r="B734" s="14"/>
      <c r="C734" s="14"/>
    </row>
    <row r="735" spans="1:3" ht="16.5">
      <c r="A735" s="14"/>
      <c r="B735" s="14"/>
      <c r="C735" s="14"/>
    </row>
    <row r="736" spans="1:3" ht="16.5">
      <c r="A736" s="14"/>
      <c r="B736" s="14"/>
      <c r="C736" s="14"/>
    </row>
    <row r="737" spans="1:3" ht="16.5">
      <c r="A737" s="14"/>
      <c r="B737" s="14"/>
      <c r="C737" s="14"/>
    </row>
    <row r="738" spans="1:3" ht="16.5">
      <c r="A738" s="14"/>
      <c r="B738" s="14"/>
      <c r="C738" s="14"/>
    </row>
    <row r="739" spans="1:3" ht="16.5">
      <c r="A739" s="14"/>
      <c r="B739" s="14"/>
      <c r="C739" s="14"/>
    </row>
    <row r="740" spans="1:3" ht="16.5">
      <c r="A740" s="14"/>
      <c r="B740" s="14"/>
      <c r="C740" s="14"/>
    </row>
    <row r="741" spans="1:3" ht="16.5">
      <c r="A741" s="14"/>
      <c r="B741" s="14"/>
      <c r="C741" s="14"/>
    </row>
    <row r="742" spans="1:3" ht="16.5">
      <c r="A742" s="14"/>
      <c r="B742" s="14"/>
      <c r="C742" s="14"/>
    </row>
    <row r="743" spans="1:3" ht="16.5">
      <c r="A743" s="14"/>
      <c r="B743" s="14"/>
      <c r="C743" s="14"/>
    </row>
    <row r="744" spans="1:3" ht="16.5">
      <c r="A744" s="14"/>
      <c r="B744" s="14"/>
      <c r="C744" s="14"/>
    </row>
    <row r="745" spans="1:3" ht="16.5">
      <c r="A745" s="14"/>
      <c r="B745" s="14"/>
      <c r="C745" s="14"/>
    </row>
    <row r="746" spans="1:3" ht="16.5">
      <c r="A746" s="14"/>
      <c r="B746" s="14"/>
      <c r="C746" s="14"/>
    </row>
    <row r="747" spans="1:3" ht="16.5">
      <c r="A747" s="14"/>
      <c r="B747" s="14"/>
      <c r="C747" s="14"/>
    </row>
    <row r="748" spans="1:3" ht="16.5">
      <c r="A748" s="14"/>
      <c r="B748" s="14"/>
      <c r="C748" s="14"/>
    </row>
    <row r="749" spans="1:3" ht="16.5">
      <c r="A749" s="14"/>
      <c r="B749" s="14"/>
      <c r="C749" s="14"/>
    </row>
    <row r="750" spans="1:3" ht="16.5">
      <c r="A750" s="14"/>
      <c r="B750" s="14"/>
      <c r="C750" s="14"/>
    </row>
    <row r="751" spans="1:3" ht="16.5">
      <c r="A751" s="14"/>
      <c r="B751" s="14"/>
      <c r="C751" s="14"/>
    </row>
    <row r="752" spans="1:3" ht="16.5">
      <c r="A752" s="14"/>
      <c r="B752" s="14"/>
      <c r="C752" s="14"/>
    </row>
    <row r="753" spans="1:3" ht="16.5">
      <c r="A753" s="14"/>
      <c r="B753" s="14"/>
      <c r="C753" s="14"/>
    </row>
    <row r="754" spans="1:3" ht="16.5">
      <c r="A754" s="14"/>
      <c r="B754" s="14"/>
      <c r="C754" s="14"/>
    </row>
    <row r="755" spans="1:3" ht="16.5">
      <c r="A755" s="14"/>
      <c r="B755" s="14"/>
      <c r="C755" s="14"/>
    </row>
    <row r="756" spans="1:3" ht="16.5">
      <c r="A756" s="14"/>
      <c r="B756" s="14"/>
      <c r="C756" s="14"/>
    </row>
    <row r="757" spans="1:3" ht="16.5">
      <c r="A757" s="14"/>
      <c r="B757" s="14"/>
      <c r="C757" s="14"/>
    </row>
    <row r="758" spans="1:3" ht="16.5">
      <c r="A758" s="14"/>
      <c r="B758" s="14"/>
      <c r="C758" s="14"/>
    </row>
    <row r="759" spans="1:3" ht="16.5">
      <c r="A759" s="14"/>
      <c r="B759" s="14"/>
      <c r="C759" s="14"/>
    </row>
    <row r="760" spans="1:3" ht="16.5">
      <c r="A760" s="14"/>
      <c r="B760" s="14"/>
      <c r="C760" s="14"/>
    </row>
    <row r="761" spans="1:3" ht="16.5">
      <c r="A761" s="14"/>
      <c r="B761" s="14"/>
      <c r="C761" s="14"/>
    </row>
    <row r="762" spans="1:3" ht="16.5">
      <c r="A762" s="14"/>
      <c r="B762" s="14"/>
      <c r="C762" s="14"/>
    </row>
    <row r="763" spans="1:3" ht="16.5">
      <c r="A763" s="14"/>
      <c r="B763" s="14"/>
      <c r="C763" s="14"/>
    </row>
    <row r="764" spans="1:3" ht="16.5">
      <c r="A764" s="14"/>
      <c r="B764" s="14"/>
      <c r="C764" s="14"/>
    </row>
    <row r="765" spans="1:3" ht="16.5">
      <c r="A765" s="14"/>
      <c r="B765" s="14"/>
      <c r="C765" s="14"/>
    </row>
    <row r="766" spans="1:3" ht="16.5">
      <c r="A766" s="14"/>
      <c r="B766" s="14"/>
      <c r="C766" s="14"/>
    </row>
    <row r="767" spans="1:3" ht="16.5">
      <c r="A767" s="14"/>
      <c r="B767" s="14"/>
      <c r="C767" s="14"/>
    </row>
    <row r="768" spans="1:3" ht="16.5">
      <c r="A768" s="14"/>
      <c r="B768" s="14"/>
      <c r="C768" s="14"/>
    </row>
    <row r="769" spans="1:3" ht="16.5">
      <c r="A769" s="14"/>
      <c r="B769" s="14"/>
      <c r="C769" s="14"/>
    </row>
    <row r="770" spans="1:3" ht="16.5">
      <c r="A770" s="14"/>
      <c r="B770" s="14"/>
      <c r="C770" s="14"/>
    </row>
    <row r="771" spans="1:3" ht="16.5">
      <c r="A771" s="14"/>
      <c r="B771" s="14"/>
      <c r="C771" s="14"/>
    </row>
    <row r="772" spans="1:3" ht="16.5">
      <c r="A772" s="14"/>
      <c r="B772" s="14"/>
      <c r="C772" s="14"/>
    </row>
    <row r="773" spans="1:3" ht="16.5">
      <c r="A773" s="14"/>
      <c r="B773" s="14"/>
      <c r="C773" s="14"/>
    </row>
    <row r="774" spans="1:3" ht="16.5">
      <c r="A774" s="14"/>
      <c r="B774" s="14"/>
      <c r="C774" s="14"/>
    </row>
    <row r="775" spans="1:3" ht="16.5">
      <c r="A775" s="14"/>
      <c r="B775" s="14"/>
      <c r="C775" s="14"/>
    </row>
    <row r="776" spans="1:3" ht="16.5">
      <c r="A776" s="14"/>
      <c r="B776" s="14"/>
      <c r="C776" s="14"/>
    </row>
    <row r="777" spans="1:3" ht="16.5">
      <c r="A777" s="14"/>
      <c r="B777" s="14"/>
      <c r="C777" s="14"/>
    </row>
    <row r="778" spans="1:3" ht="16.5">
      <c r="A778" s="14"/>
      <c r="B778" s="14"/>
      <c r="C778" s="14"/>
    </row>
    <row r="779" spans="1:3" ht="16.5">
      <c r="A779" s="14"/>
      <c r="B779" s="14"/>
      <c r="C779" s="14"/>
    </row>
    <row r="780" spans="1:3" ht="16.5">
      <c r="A780" s="14"/>
      <c r="B780" s="14"/>
      <c r="C780" s="14"/>
    </row>
    <row r="781" spans="1:3" ht="16.5">
      <c r="A781" s="14"/>
      <c r="B781" s="14"/>
      <c r="C781" s="14"/>
    </row>
    <row r="782" spans="1:3" ht="16.5">
      <c r="A782" s="14"/>
      <c r="B782" s="14"/>
      <c r="C782" s="14"/>
    </row>
    <row r="783" spans="1:3" ht="16.5">
      <c r="A783" s="14"/>
      <c r="B783" s="14"/>
      <c r="C783" s="14"/>
    </row>
    <row r="784" spans="1:3" ht="16.5">
      <c r="A784" s="14"/>
      <c r="B784" s="14"/>
      <c r="C784" s="14"/>
    </row>
    <row r="785" spans="1:3" ht="16.5">
      <c r="A785" s="14"/>
      <c r="B785" s="14"/>
      <c r="C785" s="14"/>
    </row>
    <row r="786" spans="1:3" ht="16.5">
      <c r="A786" s="14"/>
      <c r="B786" s="14"/>
      <c r="C786" s="14"/>
    </row>
    <row r="787" spans="1:3" ht="16.5">
      <c r="A787" s="14"/>
      <c r="B787" s="14"/>
      <c r="C787" s="14"/>
    </row>
    <row r="788" spans="1:3" ht="16.5">
      <c r="A788" s="14"/>
      <c r="B788" s="14"/>
      <c r="C788" s="14"/>
    </row>
    <row r="789" spans="1:3" ht="16.5">
      <c r="A789" s="14"/>
      <c r="B789" s="14"/>
      <c r="C789" s="14"/>
    </row>
    <row r="790" spans="1:3" ht="16.5">
      <c r="A790" s="14"/>
      <c r="B790" s="14"/>
      <c r="C790" s="14"/>
    </row>
    <row r="791" spans="1:3" ht="16.5">
      <c r="A791" s="14"/>
      <c r="B791" s="14"/>
      <c r="C791" s="14"/>
    </row>
    <row r="792" spans="1:3" ht="16.5">
      <c r="A792" s="14"/>
      <c r="B792" s="14"/>
      <c r="C792" s="14"/>
    </row>
    <row r="793" spans="1:3" ht="16.5">
      <c r="A793" s="14"/>
      <c r="B793" s="14"/>
      <c r="C793" s="14"/>
    </row>
    <row r="794" spans="1:3" ht="16.5">
      <c r="A794" s="14"/>
      <c r="B794" s="14"/>
      <c r="C794" s="14"/>
    </row>
    <row r="795" spans="1:3" ht="16.5">
      <c r="A795" s="14"/>
      <c r="B795" s="14"/>
      <c r="C795" s="14"/>
    </row>
    <row r="796" spans="1:3" ht="16.5">
      <c r="A796" s="14"/>
      <c r="B796" s="14"/>
      <c r="C796" s="14"/>
    </row>
    <row r="797" spans="1:3" ht="16.5">
      <c r="A797" s="14"/>
      <c r="B797" s="14"/>
      <c r="C797" s="14"/>
    </row>
    <row r="798" spans="1:3" ht="16.5">
      <c r="A798" s="14"/>
      <c r="B798" s="14"/>
      <c r="C798" s="14"/>
    </row>
    <row r="799" spans="1:3" ht="16.5">
      <c r="A799" s="14"/>
      <c r="B799" s="14"/>
      <c r="C799" s="14"/>
    </row>
    <row r="800" spans="1:3" ht="16.5">
      <c r="A800" s="14"/>
      <c r="B800" s="14"/>
      <c r="C800" s="14"/>
    </row>
    <row r="801" spans="1:3" ht="16.5">
      <c r="A801" s="14"/>
      <c r="B801" s="14"/>
      <c r="C801" s="14"/>
    </row>
    <row r="802" spans="1:3" ht="16.5">
      <c r="A802" s="14"/>
      <c r="B802" s="14"/>
      <c r="C802" s="14"/>
    </row>
    <row r="803" spans="1:3" ht="16.5">
      <c r="A803" s="14"/>
      <c r="B803" s="14"/>
      <c r="C803" s="14"/>
    </row>
    <row r="804" spans="1:3" ht="16.5">
      <c r="A804" s="14"/>
      <c r="B804" s="14"/>
      <c r="C804" s="14"/>
    </row>
    <row r="805" spans="1:3" ht="16.5">
      <c r="A805" s="14"/>
      <c r="B805" s="14"/>
      <c r="C805" s="14"/>
    </row>
    <row r="806" spans="1:3" ht="16.5">
      <c r="A806" s="14"/>
      <c r="B806" s="14"/>
      <c r="C806" s="14"/>
    </row>
    <row r="807" spans="1:3" ht="16.5">
      <c r="A807" s="14"/>
      <c r="B807" s="14"/>
      <c r="C807" s="14"/>
    </row>
    <row r="808" spans="1:3" ht="16.5">
      <c r="A808" s="14"/>
      <c r="B808" s="14"/>
      <c r="C808" s="14"/>
    </row>
    <row r="809" spans="1:3" ht="16.5">
      <c r="A809" s="14"/>
      <c r="B809" s="14"/>
      <c r="C809" s="14"/>
    </row>
    <row r="810" spans="1:3" ht="16.5">
      <c r="A810" s="14"/>
      <c r="B810" s="14"/>
      <c r="C810" s="14"/>
    </row>
    <row r="811" spans="1:3" ht="16.5">
      <c r="A811" s="14"/>
      <c r="B811" s="14"/>
      <c r="C811" s="14"/>
    </row>
    <row r="812" spans="1:3" ht="16.5">
      <c r="A812" s="14"/>
      <c r="B812" s="14"/>
      <c r="C812" s="14"/>
    </row>
    <row r="813" spans="1:3" ht="16.5">
      <c r="A813" s="14"/>
      <c r="B813" s="14"/>
      <c r="C813" s="14"/>
    </row>
    <row r="814" spans="1:3" ht="16.5">
      <c r="A814" s="14"/>
      <c r="B814" s="14"/>
      <c r="C814" s="14"/>
    </row>
    <row r="815" spans="1:3" ht="16.5">
      <c r="A815" s="14"/>
      <c r="B815" s="14"/>
      <c r="C815" s="14"/>
    </row>
    <row r="816" spans="1:3" ht="16.5">
      <c r="A816" s="14"/>
      <c r="B816" s="14"/>
      <c r="C816" s="14"/>
    </row>
    <row r="817" spans="1:3" ht="16.5">
      <c r="A817" s="14"/>
      <c r="B817" s="14"/>
      <c r="C817" s="14"/>
    </row>
    <row r="818" spans="1:3" ht="16.5">
      <c r="A818" s="14"/>
      <c r="B818" s="14"/>
      <c r="C818" s="14"/>
    </row>
    <row r="819" spans="1:3" ht="16.5">
      <c r="A819" s="14"/>
      <c r="B819" s="14"/>
      <c r="C819" s="14"/>
    </row>
    <row r="820" spans="1:3" ht="16.5">
      <c r="A820" s="14"/>
      <c r="B820" s="14"/>
      <c r="C820" s="14"/>
    </row>
    <row r="821" spans="1:3" ht="16.5">
      <c r="A821" s="14"/>
      <c r="B821" s="14"/>
      <c r="C821" s="14"/>
    </row>
    <row r="822" spans="1:3" ht="16.5">
      <c r="A822" s="14"/>
      <c r="B822" s="14"/>
      <c r="C822" s="14"/>
    </row>
    <row r="823" spans="1:3" ht="16.5">
      <c r="A823" s="14"/>
      <c r="B823" s="14"/>
      <c r="C823" s="14"/>
    </row>
    <row r="824" spans="1:3" ht="16.5">
      <c r="A824" s="14"/>
      <c r="B824" s="14"/>
      <c r="C824" s="14"/>
    </row>
    <row r="825" spans="1:3" ht="16.5">
      <c r="A825" s="14"/>
      <c r="B825" s="14"/>
      <c r="C825" s="14"/>
    </row>
    <row r="826" spans="1:3" ht="16.5">
      <c r="A826" s="14"/>
      <c r="B826" s="14"/>
      <c r="C826" s="14"/>
    </row>
    <row r="827" spans="1:3" ht="16.5">
      <c r="A827" s="14"/>
      <c r="B827" s="14"/>
      <c r="C827" s="14"/>
    </row>
    <row r="828" spans="1:3" ht="16.5">
      <c r="A828" s="14"/>
      <c r="B828" s="14"/>
      <c r="C828" s="14"/>
    </row>
    <row r="829" spans="1:3" ht="16.5">
      <c r="A829" s="14"/>
      <c r="B829" s="14"/>
      <c r="C829" s="14"/>
    </row>
    <row r="830" spans="1:3" ht="16.5">
      <c r="A830" s="14"/>
      <c r="B830" s="14"/>
      <c r="C830" s="14"/>
    </row>
    <row r="831" spans="1:3" ht="16.5">
      <c r="A831" s="14"/>
      <c r="B831" s="14"/>
      <c r="C831" s="14"/>
    </row>
    <row r="832" spans="1:3" ht="16.5">
      <c r="A832" s="14"/>
      <c r="B832" s="14"/>
      <c r="C832" s="14"/>
    </row>
    <row r="833" spans="1:3" ht="16.5">
      <c r="A833" s="14"/>
      <c r="B833" s="14"/>
      <c r="C833" s="14"/>
    </row>
    <row r="834" spans="1:3" ht="16.5">
      <c r="A834" s="14"/>
      <c r="B834" s="14"/>
      <c r="C834" s="14"/>
    </row>
    <row r="835" spans="1:3" ht="16.5">
      <c r="A835" s="14"/>
      <c r="B835" s="14"/>
      <c r="C835" s="14"/>
    </row>
    <row r="836" spans="1:3" ht="16.5">
      <c r="A836" s="14"/>
      <c r="B836" s="14"/>
      <c r="C836" s="14"/>
    </row>
    <row r="837" spans="1:3" ht="16.5">
      <c r="A837" s="14"/>
      <c r="B837" s="14"/>
      <c r="C837" s="14"/>
    </row>
    <row r="838" spans="1:3" ht="16.5">
      <c r="A838" s="14"/>
      <c r="B838" s="14"/>
      <c r="C838" s="14"/>
    </row>
    <row r="839" spans="1:3" ht="16.5">
      <c r="A839" s="14"/>
      <c r="B839" s="14"/>
      <c r="C839" s="14"/>
    </row>
    <row r="840" spans="1:3" ht="16.5">
      <c r="A840" s="14"/>
      <c r="B840" s="14"/>
      <c r="C840" s="14"/>
    </row>
    <row r="841" spans="1:3" ht="16.5">
      <c r="A841" s="14"/>
      <c r="B841" s="14"/>
      <c r="C841" s="14"/>
    </row>
    <row r="842" spans="1:3" ht="16.5">
      <c r="A842" s="14"/>
      <c r="B842" s="14"/>
      <c r="C842" s="14"/>
    </row>
    <row r="843" spans="1:3" ht="16.5">
      <c r="A843" s="14"/>
      <c r="B843" s="14"/>
      <c r="C843" s="14"/>
    </row>
    <row r="844" spans="1:3" ht="16.5">
      <c r="A844" s="14"/>
      <c r="B844" s="14"/>
      <c r="C844" s="14"/>
    </row>
    <row r="845" spans="1:3" ht="16.5">
      <c r="A845" s="14"/>
      <c r="B845" s="14"/>
      <c r="C845" s="14"/>
    </row>
    <row r="846" spans="1:3" ht="16.5">
      <c r="A846" s="14"/>
      <c r="B846" s="14"/>
      <c r="C846" s="14"/>
    </row>
    <row r="847" spans="1:3" ht="16.5">
      <c r="A847" s="14"/>
      <c r="B847" s="14"/>
      <c r="C847" s="14"/>
    </row>
    <row r="848" spans="1:3" ht="16.5">
      <c r="A848" s="14"/>
      <c r="B848" s="14"/>
      <c r="C848" s="14"/>
    </row>
    <row r="849" spans="1:3" ht="16.5">
      <c r="A849" s="14"/>
      <c r="B849" s="14"/>
      <c r="C849" s="14"/>
    </row>
    <row r="850" spans="1:3" ht="16.5">
      <c r="A850" s="14"/>
      <c r="B850" s="14"/>
      <c r="C850" s="14"/>
    </row>
    <row r="851" spans="1:3" ht="16.5">
      <c r="A851" s="14"/>
      <c r="B851" s="14"/>
      <c r="C851" s="14"/>
    </row>
    <row r="852" spans="1:3" ht="16.5">
      <c r="A852" s="14"/>
      <c r="B852" s="14"/>
      <c r="C852" s="14"/>
    </row>
    <row r="853" spans="1:3" ht="16.5">
      <c r="A853" s="14"/>
      <c r="B853" s="14"/>
      <c r="C853" s="14"/>
    </row>
    <row r="854" spans="1:3" ht="16.5">
      <c r="A854" s="14"/>
      <c r="B854" s="14"/>
      <c r="C854" s="14"/>
    </row>
    <row r="855" spans="1:3" ht="16.5">
      <c r="A855" s="14"/>
      <c r="B855" s="14"/>
      <c r="C855" s="14"/>
    </row>
    <row r="856" spans="1:3" ht="16.5">
      <c r="A856" s="14"/>
      <c r="B856" s="14"/>
      <c r="C856" s="14"/>
    </row>
    <row r="857" spans="1:3" ht="16.5">
      <c r="A857" s="14"/>
      <c r="B857" s="14"/>
      <c r="C857" s="14"/>
    </row>
    <row r="858" spans="1:3" ht="16.5">
      <c r="A858" s="14"/>
      <c r="B858" s="14"/>
      <c r="C858" s="14"/>
    </row>
    <row r="859" spans="1:3" ht="16.5">
      <c r="A859" s="14"/>
      <c r="B859" s="14"/>
      <c r="C859" s="14"/>
    </row>
    <row r="860" spans="1:3" ht="16.5">
      <c r="A860" s="14"/>
      <c r="B860" s="14"/>
      <c r="C860" s="14"/>
    </row>
    <row r="861" spans="1:3" ht="16.5">
      <c r="A861" s="14"/>
      <c r="B861" s="14"/>
      <c r="C861" s="14"/>
    </row>
    <row r="862" spans="1:3" ht="16.5">
      <c r="A862" s="14"/>
      <c r="B862" s="14"/>
      <c r="C862" s="14"/>
    </row>
    <row r="863" spans="1:3" ht="16.5">
      <c r="A863" s="14"/>
      <c r="B863" s="14"/>
      <c r="C863" s="14"/>
    </row>
    <row r="864" spans="1:3" ht="16.5">
      <c r="A864" s="14"/>
      <c r="B864" s="14"/>
      <c r="C864" s="14"/>
    </row>
    <row r="865" spans="1:3" ht="16.5">
      <c r="A865" s="14"/>
      <c r="B865" s="14"/>
      <c r="C865" s="14"/>
    </row>
    <row r="866" spans="1:3" ht="16.5">
      <c r="A866" s="14"/>
      <c r="B866" s="14"/>
      <c r="C866" s="14"/>
    </row>
    <row r="867" spans="1:3" ht="16.5">
      <c r="A867" s="14"/>
      <c r="B867" s="14"/>
      <c r="C867" s="14"/>
    </row>
    <row r="868" spans="1:3" ht="16.5">
      <c r="A868" s="14"/>
      <c r="B868" s="14"/>
      <c r="C868" s="14"/>
    </row>
    <row r="869" spans="1:3" ht="16.5">
      <c r="A869" s="14"/>
      <c r="B869" s="14"/>
      <c r="C869" s="14"/>
    </row>
    <row r="870" spans="1:3" ht="16.5">
      <c r="A870" s="14"/>
      <c r="B870" s="14"/>
      <c r="C870" s="14"/>
    </row>
    <row r="871" spans="1:3" ht="16.5">
      <c r="A871" s="14"/>
      <c r="B871" s="14"/>
      <c r="C871" s="14"/>
    </row>
    <row r="872" spans="1:3" ht="16.5">
      <c r="A872" s="14"/>
      <c r="B872" s="14"/>
      <c r="C872" s="14"/>
    </row>
    <row r="873" spans="1:3" ht="16.5">
      <c r="A873" s="14"/>
      <c r="B873" s="14"/>
      <c r="C873" s="14"/>
    </row>
    <row r="874" spans="1:3" ht="16.5">
      <c r="A874" s="14"/>
      <c r="B874" s="14"/>
      <c r="C874" s="14"/>
    </row>
    <row r="875" spans="1:3" ht="16.5">
      <c r="A875" s="14"/>
      <c r="B875" s="14"/>
      <c r="C875" s="14"/>
    </row>
    <row r="876" spans="1:3" ht="16.5">
      <c r="A876" s="14"/>
      <c r="B876" s="14"/>
      <c r="C876" s="14"/>
    </row>
    <row r="877" spans="1:3" ht="16.5">
      <c r="A877" s="14"/>
      <c r="B877" s="14"/>
      <c r="C877" s="14"/>
    </row>
    <row r="878" spans="1:3" ht="16.5">
      <c r="A878" s="14"/>
      <c r="B878" s="14"/>
      <c r="C878" s="14"/>
    </row>
    <row r="879" spans="1:3" ht="16.5">
      <c r="A879" s="14"/>
      <c r="B879" s="14"/>
      <c r="C879" s="14"/>
    </row>
    <row r="880" spans="1:3" ht="16.5">
      <c r="A880" s="14"/>
      <c r="B880" s="14"/>
      <c r="C880" s="14"/>
    </row>
    <row r="881" spans="1:3" ht="16.5">
      <c r="A881" s="14"/>
      <c r="B881" s="14"/>
      <c r="C881" s="14"/>
    </row>
    <row r="882" spans="1:3" ht="16.5">
      <c r="A882" s="14"/>
      <c r="B882" s="14"/>
      <c r="C882" s="14"/>
    </row>
    <row r="883" spans="1:3" ht="16.5">
      <c r="A883" s="14"/>
      <c r="B883" s="14"/>
      <c r="C883" s="14"/>
    </row>
    <row r="884" spans="1:3" ht="16.5">
      <c r="A884" s="14"/>
      <c r="B884" s="14"/>
      <c r="C884" s="14"/>
    </row>
    <row r="885" spans="1:3" ht="16.5">
      <c r="A885" s="14"/>
      <c r="B885" s="14"/>
      <c r="C885" s="14"/>
    </row>
    <row r="886" spans="1:3" ht="16.5">
      <c r="A886" s="14"/>
      <c r="B886" s="14"/>
      <c r="C886" s="14"/>
    </row>
    <row r="887" spans="1:3" ht="16.5">
      <c r="A887" s="14"/>
      <c r="B887" s="14"/>
      <c r="C887" s="14"/>
    </row>
    <row r="888" spans="1:3" ht="16.5">
      <c r="A888" s="14"/>
      <c r="B888" s="14"/>
      <c r="C888" s="14"/>
    </row>
    <row r="889" spans="1:3" ht="16.5">
      <c r="A889" s="14"/>
      <c r="B889" s="14"/>
      <c r="C889" s="14"/>
    </row>
    <row r="890" spans="1:3" ht="16.5">
      <c r="A890" s="14"/>
      <c r="B890" s="14"/>
      <c r="C890" s="14"/>
    </row>
    <row r="891" spans="1:3" ht="16.5">
      <c r="A891" s="14"/>
      <c r="B891" s="14"/>
      <c r="C891" s="14"/>
    </row>
    <row r="892" spans="1:3" ht="16.5">
      <c r="A892" s="14"/>
      <c r="B892" s="14"/>
      <c r="C892" s="14"/>
    </row>
    <row r="893" spans="1:3" ht="16.5">
      <c r="A893" s="14"/>
      <c r="B893" s="14"/>
      <c r="C893" s="14"/>
    </row>
    <row r="894" spans="1:3" ht="16.5">
      <c r="A894" s="14"/>
      <c r="B894" s="14"/>
      <c r="C894" s="14"/>
    </row>
    <row r="895" spans="1:3" ht="16.5">
      <c r="A895" s="14"/>
      <c r="B895" s="14"/>
      <c r="C895" s="14"/>
    </row>
    <row r="896" spans="1:3" ht="16.5">
      <c r="A896" s="14"/>
      <c r="B896" s="14"/>
      <c r="C896" s="14"/>
    </row>
    <row r="897" spans="1:3" ht="16.5">
      <c r="A897" s="14"/>
      <c r="B897" s="14"/>
      <c r="C897" s="14"/>
    </row>
    <row r="898" spans="1:3" ht="16.5">
      <c r="A898" s="14"/>
      <c r="B898" s="14"/>
      <c r="C898" s="14"/>
    </row>
    <row r="899" spans="1:3" ht="16.5">
      <c r="A899" s="14"/>
      <c r="B899" s="14"/>
      <c r="C899" s="14"/>
    </row>
    <row r="900" spans="1:3" ht="16.5">
      <c r="A900" s="14"/>
      <c r="B900" s="14"/>
      <c r="C900" s="14"/>
    </row>
    <row r="901" spans="1:3" ht="16.5">
      <c r="A901" s="14"/>
      <c r="B901" s="14"/>
      <c r="C901" s="14"/>
    </row>
    <row r="902" spans="1:3" ht="16.5">
      <c r="A902" s="14"/>
      <c r="B902" s="14"/>
      <c r="C902" s="14"/>
    </row>
    <row r="903" spans="1:3" ht="16.5">
      <c r="A903" s="14"/>
      <c r="B903" s="14"/>
      <c r="C903" s="14"/>
    </row>
    <row r="904" spans="1:3" ht="16.5">
      <c r="A904" s="14"/>
      <c r="B904" s="14"/>
      <c r="C904" s="14"/>
    </row>
    <row r="905" spans="1:3" ht="16.5">
      <c r="A905" s="14"/>
      <c r="B905" s="14"/>
      <c r="C905" s="14"/>
    </row>
    <row r="906" spans="1:3" ht="16.5">
      <c r="A906" s="14"/>
      <c r="B906" s="14"/>
      <c r="C906" s="14"/>
    </row>
    <row r="907" spans="1:3" ht="16.5">
      <c r="A907" s="14"/>
      <c r="B907" s="14"/>
      <c r="C907" s="14"/>
    </row>
    <row r="908" spans="1:3" ht="16.5">
      <c r="A908" s="14"/>
      <c r="B908" s="14"/>
      <c r="C908" s="14"/>
    </row>
    <row r="909" spans="1:3" ht="16.5">
      <c r="A909" s="14"/>
      <c r="B909" s="14"/>
      <c r="C909" s="14"/>
    </row>
    <row r="910" spans="1:3" ht="16.5">
      <c r="A910" s="14"/>
      <c r="B910" s="14"/>
      <c r="C910" s="14"/>
    </row>
    <row r="911" spans="1:3" ht="16.5">
      <c r="A911" s="14"/>
      <c r="B911" s="14"/>
      <c r="C911" s="14"/>
    </row>
    <row r="912" spans="1:3" ht="16.5">
      <c r="A912" s="14"/>
      <c r="B912" s="14"/>
      <c r="C912" s="14"/>
    </row>
    <row r="913" spans="1:3" ht="16.5">
      <c r="A913" s="14"/>
      <c r="B913" s="14"/>
      <c r="C913" s="14"/>
    </row>
    <row r="914" spans="1:3" ht="16.5">
      <c r="A914" s="14"/>
      <c r="B914" s="14"/>
      <c r="C914" s="14"/>
    </row>
    <row r="915" spans="1:3" ht="16.5">
      <c r="A915" s="14"/>
      <c r="B915" s="14"/>
      <c r="C915" s="14"/>
    </row>
    <row r="916" spans="1:3" ht="16.5">
      <c r="A916" s="14"/>
      <c r="B916" s="14"/>
      <c r="C916" s="14"/>
    </row>
    <row r="917" spans="1:3" ht="16.5">
      <c r="A917" s="14"/>
      <c r="B917" s="14"/>
      <c r="C917" s="14"/>
    </row>
    <row r="918" spans="1:3" ht="16.5">
      <c r="A918" s="14"/>
      <c r="B918" s="14"/>
      <c r="C918" s="14"/>
    </row>
    <row r="919" spans="1:3" ht="16.5">
      <c r="A919" s="14"/>
      <c r="B919" s="14"/>
      <c r="C919" s="14"/>
    </row>
    <row r="920" spans="1:3" ht="16.5">
      <c r="A920" s="14"/>
      <c r="B920" s="14"/>
      <c r="C920" s="14"/>
    </row>
    <row r="921" spans="1:3" ht="16.5">
      <c r="A921" s="14"/>
      <c r="B921" s="14"/>
      <c r="C921" s="14"/>
    </row>
    <row r="922" spans="1:3" ht="16.5">
      <c r="A922" s="14"/>
      <c r="B922" s="14"/>
      <c r="C922" s="14"/>
    </row>
    <row r="923" spans="1:3" ht="16.5">
      <c r="A923" s="14"/>
      <c r="B923" s="14"/>
      <c r="C923" s="14"/>
    </row>
    <row r="924" spans="1:3" ht="16.5">
      <c r="A924" s="14"/>
      <c r="B924" s="14"/>
      <c r="C924" s="14"/>
    </row>
    <row r="925" spans="1:3" ht="16.5">
      <c r="A925" s="14"/>
      <c r="B925" s="14"/>
      <c r="C925" s="14"/>
    </row>
    <row r="926" spans="1:3" ht="16.5">
      <c r="A926" s="14"/>
      <c r="B926" s="14"/>
      <c r="C926" s="14"/>
    </row>
    <row r="927" spans="1:3" ht="16.5">
      <c r="A927" s="14"/>
      <c r="B927" s="14"/>
      <c r="C927" s="14"/>
    </row>
    <row r="928" spans="1:3" ht="16.5">
      <c r="A928" s="14"/>
      <c r="B928" s="14"/>
      <c r="C928" s="14"/>
    </row>
    <row r="929" spans="1:3" ht="16.5">
      <c r="A929" s="14"/>
      <c r="B929" s="14"/>
      <c r="C929" s="14"/>
    </row>
    <row r="930" spans="1:3" ht="16.5">
      <c r="A930" s="14"/>
      <c r="B930" s="14"/>
      <c r="C930" s="14"/>
    </row>
    <row r="931" spans="1:3" ht="16.5">
      <c r="A931" s="14"/>
      <c r="B931" s="14"/>
      <c r="C931" s="14"/>
    </row>
    <row r="932" spans="1:3" ht="16.5">
      <c r="A932" s="14"/>
      <c r="B932" s="14"/>
      <c r="C932" s="14"/>
    </row>
    <row r="933" spans="1:3" ht="16.5">
      <c r="A933" s="14"/>
      <c r="B933" s="14"/>
      <c r="C933" s="14"/>
    </row>
    <row r="934" spans="1:3" ht="16.5">
      <c r="A934" s="14"/>
      <c r="B934" s="14"/>
      <c r="C934" s="14"/>
    </row>
    <row r="935" spans="1:3" ht="16.5">
      <c r="A935" s="14"/>
      <c r="B935" s="14"/>
      <c r="C935" s="14"/>
    </row>
    <row r="936" spans="1:3" ht="16.5">
      <c r="A936" s="14"/>
      <c r="B936" s="14"/>
      <c r="C936" s="14"/>
    </row>
    <row r="937" spans="1:3" ht="16.5">
      <c r="A937" s="14"/>
      <c r="B937" s="14"/>
      <c r="C937" s="14"/>
    </row>
    <row r="938" spans="1:3" ht="16.5">
      <c r="A938" s="14"/>
      <c r="B938" s="14"/>
      <c r="C938" s="14"/>
    </row>
    <row r="939" spans="1:3" ht="16.5">
      <c r="A939" s="14"/>
      <c r="B939" s="14"/>
      <c r="C939" s="14"/>
    </row>
    <row r="940" spans="1:3" ht="16.5">
      <c r="A940" s="14"/>
      <c r="B940" s="14"/>
      <c r="C940" s="14"/>
    </row>
    <row r="941" spans="1:3" ht="16.5">
      <c r="A941" s="14"/>
      <c r="B941" s="14"/>
      <c r="C941" s="14"/>
    </row>
    <row r="942" spans="1:3" ht="16.5">
      <c r="A942" s="14"/>
      <c r="B942" s="14"/>
      <c r="C942" s="14"/>
    </row>
    <row r="943" spans="1:3" ht="16.5">
      <c r="A943" s="14"/>
      <c r="B943" s="14"/>
      <c r="C943" s="14"/>
    </row>
    <row r="944" spans="1:3" ht="16.5">
      <c r="A944" s="14"/>
      <c r="B944" s="14"/>
      <c r="C944" s="14"/>
    </row>
    <row r="945" spans="1:3" ht="16.5">
      <c r="A945" s="14"/>
      <c r="B945" s="14"/>
      <c r="C945" s="14"/>
    </row>
    <row r="946" spans="1:3" ht="16.5">
      <c r="A946" s="14"/>
      <c r="B946" s="14"/>
      <c r="C946" s="14"/>
    </row>
    <row r="947" spans="1:3" ht="16.5">
      <c r="A947" s="14"/>
      <c r="B947" s="14"/>
      <c r="C947" s="14"/>
    </row>
    <row r="948" spans="1:3" ht="16.5">
      <c r="A948" s="14"/>
      <c r="B948" s="14"/>
      <c r="C948" s="14"/>
    </row>
    <row r="949" spans="1:3" ht="16.5">
      <c r="A949" s="14"/>
      <c r="B949" s="14"/>
      <c r="C949" s="14"/>
    </row>
    <row r="950" spans="1:3" ht="16.5">
      <c r="A950" s="14"/>
      <c r="B950" s="14"/>
      <c r="C950" s="14"/>
    </row>
    <row r="951" spans="1:3" ht="16.5">
      <c r="A951" s="14"/>
      <c r="B951" s="14"/>
      <c r="C951" s="14"/>
    </row>
    <row r="952" spans="1:3" ht="16.5">
      <c r="A952" s="14"/>
      <c r="B952" s="14"/>
      <c r="C952" s="14"/>
    </row>
    <row r="953" spans="1:3" ht="16.5">
      <c r="A953" s="14"/>
      <c r="B953" s="14"/>
      <c r="C953" s="14"/>
    </row>
    <row r="954" spans="1:3" ht="16.5">
      <c r="A954" s="14"/>
      <c r="B954" s="14"/>
      <c r="C954" s="14"/>
    </row>
    <row r="955" spans="1:3" ht="16.5">
      <c r="A955" s="14"/>
      <c r="B955" s="14"/>
      <c r="C955" s="14"/>
    </row>
    <row r="956" spans="1:3" ht="16.5">
      <c r="A956" s="14"/>
      <c r="B956" s="14"/>
      <c r="C956" s="14"/>
    </row>
    <row r="957" spans="1:3" ht="16.5">
      <c r="A957" s="14"/>
      <c r="B957" s="14"/>
      <c r="C957" s="14"/>
    </row>
    <row r="958" spans="1:3" ht="16.5">
      <c r="A958" s="14"/>
      <c r="B958" s="14"/>
      <c r="C958" s="14"/>
    </row>
    <row r="959" spans="1:3" ht="16.5">
      <c r="A959" s="14"/>
      <c r="B959" s="14"/>
      <c r="C959" s="14"/>
    </row>
    <row r="960" spans="1:3" ht="16.5">
      <c r="A960" s="14"/>
      <c r="B960" s="14"/>
      <c r="C960" s="14"/>
    </row>
    <row r="961" spans="1:3" ht="16.5">
      <c r="A961" s="14"/>
      <c r="B961" s="14"/>
      <c r="C961" s="14"/>
    </row>
    <row r="962" spans="1:3" ht="16.5">
      <c r="A962" s="14"/>
      <c r="B962" s="14"/>
      <c r="C962" s="14"/>
    </row>
    <row r="963" spans="1:3" ht="16.5">
      <c r="A963" s="14"/>
      <c r="B963" s="14"/>
      <c r="C963" s="14"/>
    </row>
    <row r="964" spans="1:3" ht="16.5">
      <c r="A964" s="14"/>
      <c r="B964" s="14"/>
      <c r="C964" s="14"/>
    </row>
    <row r="965" spans="1:3" ht="16.5">
      <c r="A965" s="14"/>
      <c r="B965" s="14"/>
      <c r="C965" s="14"/>
    </row>
    <row r="966" spans="1:3" ht="16.5">
      <c r="A966" s="14"/>
      <c r="B966" s="14"/>
      <c r="C966" s="14"/>
    </row>
    <row r="967" spans="1:3" ht="16.5">
      <c r="A967" s="14"/>
      <c r="B967" s="14"/>
      <c r="C967" s="14"/>
    </row>
    <row r="968" spans="1:3" ht="16.5">
      <c r="A968" s="14"/>
      <c r="B968" s="14"/>
      <c r="C968" s="14"/>
    </row>
    <row r="969" spans="1:3" ht="16.5">
      <c r="A969" s="14"/>
      <c r="B969" s="14"/>
      <c r="C969" s="14"/>
    </row>
    <row r="970" spans="1:3" ht="16.5">
      <c r="A970" s="14"/>
      <c r="B970" s="14"/>
      <c r="C970" s="14"/>
    </row>
    <row r="971" spans="1:3" ht="16.5">
      <c r="A971" s="14"/>
      <c r="B971" s="14"/>
      <c r="C971" s="14"/>
    </row>
    <row r="972" spans="1:3" ht="16.5">
      <c r="A972" s="14"/>
      <c r="B972" s="14"/>
      <c r="C972" s="14"/>
    </row>
    <row r="973" spans="1:3" ht="16.5">
      <c r="A973" s="14"/>
      <c r="B973" s="14"/>
      <c r="C973" s="14"/>
    </row>
    <row r="974" spans="1:3" ht="16.5">
      <c r="A974" s="14"/>
      <c r="B974" s="14"/>
      <c r="C974" s="14"/>
    </row>
    <row r="975" spans="1:3" ht="16.5">
      <c r="A975" s="14"/>
      <c r="B975" s="14"/>
      <c r="C975" s="14"/>
    </row>
  </sheetData>
  <phoneticPr fontId="13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E49B-7192-4B80-9391-5517F7EA2F82}">
  <dimension ref="A1:E973"/>
  <sheetViews>
    <sheetView topLeftCell="A7" workbookViewId="0">
      <selection activeCell="C21" sqref="C21"/>
    </sheetView>
  </sheetViews>
  <sheetFormatPr defaultColWidth="14.42578125" defaultRowHeight="15" customHeight="1"/>
  <cols>
    <col min="1" max="1" width="31" customWidth="1"/>
    <col min="2" max="2" width="43.28515625" customWidth="1"/>
    <col min="3" max="26" width="37.85546875" customWidth="1"/>
  </cols>
  <sheetData>
    <row r="1" spans="1:5">
      <c r="A1" s="76" t="s">
        <v>0</v>
      </c>
      <c r="B1" s="76" t="s">
        <v>3</v>
      </c>
      <c r="C1" s="77" t="s">
        <v>4</v>
      </c>
      <c r="D1" s="77" t="s">
        <v>6</v>
      </c>
      <c r="E1" s="77" t="s">
        <v>9</v>
      </c>
    </row>
    <row r="2" spans="1:5">
      <c r="A2" s="76" t="s">
        <v>11</v>
      </c>
      <c r="B2" s="76" t="s">
        <v>11</v>
      </c>
      <c r="C2" s="77" t="s">
        <v>11</v>
      </c>
      <c r="D2" s="77" t="s">
        <v>11</v>
      </c>
      <c r="E2" s="77" t="s">
        <v>11</v>
      </c>
    </row>
    <row r="3" spans="1:5">
      <c r="A3" s="78" t="s">
        <v>3724</v>
      </c>
      <c r="B3" s="79" t="str">
        <f>"CATEGORY_"&amp;UPPER(A3)</f>
        <v>CATEGORY_GOLDFREE</v>
      </c>
      <c r="C3" s="78" t="s">
        <v>195</v>
      </c>
      <c r="D3" s="79"/>
      <c r="E3" s="79"/>
    </row>
    <row r="4" spans="1:5">
      <c r="A4" s="78" t="s">
        <v>3725</v>
      </c>
      <c r="B4" s="79" t="str">
        <f>"CATEGORY_"&amp;UPPER(A4)</f>
        <v>CATEGORY_GOLDPAID</v>
      </c>
      <c r="C4" s="78" t="s">
        <v>3771</v>
      </c>
      <c r="D4" s="79"/>
      <c r="E4" s="79"/>
    </row>
    <row r="5" spans="1:5">
      <c r="A5" s="78" t="s">
        <v>204</v>
      </c>
      <c r="B5" s="79" t="str">
        <f t="shared" ref="B5:B7" si="0">"CATEGORY_"&amp;UPPER(A5)</f>
        <v>CATEGORY_RICE</v>
      </c>
      <c r="C5" s="78" t="s">
        <v>208</v>
      </c>
      <c r="D5" s="79"/>
      <c r="E5" s="79"/>
    </row>
    <row r="6" spans="1:5">
      <c r="A6" s="78" t="s">
        <v>3639</v>
      </c>
      <c r="B6" s="79" t="str">
        <f t="shared" si="0"/>
        <v>CATEGORY_PACKAGE</v>
      </c>
      <c r="C6" s="78" t="s">
        <v>3640</v>
      </c>
      <c r="D6" s="79"/>
      <c r="E6" s="79"/>
    </row>
    <row r="7" spans="1:5">
      <c r="A7" s="78" t="s">
        <v>3622</v>
      </c>
      <c r="B7" s="79" t="str">
        <f t="shared" si="0"/>
        <v>CATEGORY_PASS</v>
      </c>
      <c r="C7" s="78" t="s">
        <v>3732</v>
      </c>
      <c r="D7" s="79"/>
      <c r="E7" s="79"/>
    </row>
    <row r="8" spans="1:5">
      <c r="A8" s="78" t="s">
        <v>3682</v>
      </c>
      <c r="B8" s="79" t="str">
        <f>"NAME_"&amp;UPPER(A8)</f>
        <v>NAME_GOLD_PAID_1000</v>
      </c>
      <c r="C8" s="78" t="s">
        <v>3773</v>
      </c>
      <c r="D8" s="79"/>
      <c r="E8" s="79"/>
    </row>
    <row r="9" spans="1:5">
      <c r="A9" s="78" t="s">
        <v>3683</v>
      </c>
      <c r="B9" s="79" t="str">
        <f t="shared" ref="B9:B34" si="1">"NAME_"&amp;UPPER(A9)</f>
        <v>NAME_GOLD_PAID_3000</v>
      </c>
      <c r="C9" s="78" t="s">
        <v>3774</v>
      </c>
      <c r="D9" s="79"/>
      <c r="E9" s="79"/>
    </row>
    <row r="10" spans="1:5">
      <c r="A10" s="78" t="s">
        <v>3684</v>
      </c>
      <c r="B10" s="79" t="str">
        <f t="shared" si="1"/>
        <v>NAME_GOLD_PAID_5000</v>
      </c>
      <c r="C10" s="78" t="s">
        <v>3775</v>
      </c>
      <c r="D10" s="79"/>
      <c r="E10" s="79"/>
    </row>
    <row r="11" spans="1:5">
      <c r="A11" s="78" t="s">
        <v>3685</v>
      </c>
      <c r="B11" s="79" t="str">
        <f t="shared" si="1"/>
        <v>NAME_GOLD_PAID_7000</v>
      </c>
      <c r="C11" s="78" t="s">
        <v>3776</v>
      </c>
      <c r="D11" s="79"/>
      <c r="E11" s="79"/>
    </row>
    <row r="12" spans="1:5">
      <c r="A12" s="78" t="s">
        <v>3686</v>
      </c>
      <c r="B12" s="79" t="str">
        <f t="shared" si="1"/>
        <v>NAME_GOLD_PAID_10000</v>
      </c>
      <c r="C12" s="78" t="s">
        <v>3777</v>
      </c>
      <c r="D12" s="79"/>
      <c r="E12" s="79"/>
    </row>
    <row r="13" spans="1:5">
      <c r="A13" s="78" t="s">
        <v>3687</v>
      </c>
      <c r="B13" s="79" t="str">
        <f t="shared" si="1"/>
        <v>NAME_GOLD_PAID_30000</v>
      </c>
      <c r="C13" s="78" t="s">
        <v>3778</v>
      </c>
      <c r="D13" s="79"/>
      <c r="E13" s="79"/>
    </row>
    <row r="14" spans="1:5">
      <c r="A14" s="78" t="s">
        <v>3688</v>
      </c>
      <c r="B14" s="79" t="str">
        <f t="shared" si="1"/>
        <v>NAME_GOLD_PAID_50000</v>
      </c>
      <c r="C14" s="78" t="s">
        <v>3779</v>
      </c>
      <c r="D14" s="79"/>
      <c r="E14" s="79"/>
    </row>
    <row r="15" spans="1:5">
      <c r="A15" s="78" t="s">
        <v>3689</v>
      </c>
      <c r="B15" s="79" t="str">
        <f t="shared" si="1"/>
        <v>NAME_GOLD_PAID_70000</v>
      </c>
      <c r="C15" s="78" t="s">
        <v>3780</v>
      </c>
      <c r="D15" s="79"/>
      <c r="E15" s="79"/>
    </row>
    <row r="16" spans="1:5">
      <c r="A16" s="78" t="s">
        <v>3690</v>
      </c>
      <c r="B16" s="79" t="str">
        <f t="shared" si="1"/>
        <v>NAME_GOLD_FREE_1000</v>
      </c>
      <c r="C16" s="78" t="s">
        <v>3715</v>
      </c>
      <c r="D16" s="79"/>
      <c r="E16" s="79"/>
    </row>
    <row r="17" spans="1:5">
      <c r="A17" s="78" t="s">
        <v>3691</v>
      </c>
      <c r="B17" s="79" t="str">
        <f t="shared" si="1"/>
        <v>NAME_GOLD_FREE_3000</v>
      </c>
      <c r="C17" s="78" t="s">
        <v>3716</v>
      </c>
      <c r="D17" s="79"/>
      <c r="E17" s="79"/>
    </row>
    <row r="18" spans="1:5">
      <c r="A18" s="78" t="s">
        <v>3692</v>
      </c>
      <c r="B18" s="79" t="str">
        <f t="shared" si="1"/>
        <v>NAME_GOLD_FREE_5000</v>
      </c>
      <c r="C18" s="78" t="s">
        <v>3717</v>
      </c>
      <c r="D18" s="79"/>
      <c r="E18" s="79"/>
    </row>
    <row r="19" spans="1:5">
      <c r="A19" s="78" t="s">
        <v>3693</v>
      </c>
      <c r="B19" s="79" t="str">
        <f t="shared" si="1"/>
        <v>NAME_GOLD_FREE_7000</v>
      </c>
      <c r="C19" s="78" t="s">
        <v>3718</v>
      </c>
      <c r="D19" s="79"/>
      <c r="E19" s="79"/>
    </row>
    <row r="20" spans="1:5">
      <c r="A20" s="80" t="s">
        <v>3694</v>
      </c>
      <c r="B20" s="79" t="str">
        <f t="shared" si="1"/>
        <v>NAME_GOLD_FREE_10000</v>
      </c>
      <c r="C20" s="78" t="s">
        <v>3719</v>
      </c>
      <c r="D20" s="80"/>
      <c r="E20" s="80"/>
    </row>
    <row r="21" spans="1:5">
      <c r="A21" s="68" t="s">
        <v>3695</v>
      </c>
      <c r="B21" s="79" t="str">
        <f t="shared" si="1"/>
        <v>NAME_GOLD_FREE_30000</v>
      </c>
      <c r="C21" s="78" t="s">
        <v>3720</v>
      </c>
      <c r="D21" s="68"/>
      <c r="E21" s="68"/>
    </row>
    <row r="22" spans="1:5">
      <c r="A22" s="68" t="s">
        <v>3696</v>
      </c>
      <c r="B22" s="79" t="str">
        <f t="shared" si="1"/>
        <v>NAME_GOLD_FREE_50000</v>
      </c>
      <c r="C22" s="78" t="s">
        <v>3721</v>
      </c>
      <c r="D22" s="68"/>
      <c r="E22" s="68"/>
    </row>
    <row r="23" spans="1:5">
      <c r="A23" s="68" t="s">
        <v>3697</v>
      </c>
      <c r="B23" s="79" t="str">
        <f t="shared" si="1"/>
        <v>NAME_GOLD_FREE_70000</v>
      </c>
      <c r="C23" s="78" t="s">
        <v>3722</v>
      </c>
      <c r="D23" s="68"/>
      <c r="E23" s="68"/>
    </row>
    <row r="24" spans="1:5">
      <c r="A24" s="68" t="s">
        <v>3641</v>
      </c>
      <c r="B24" s="79" t="str">
        <f t="shared" si="1"/>
        <v>NAME_RICE_10000</v>
      </c>
      <c r="C24" s="81" t="s">
        <v>3707</v>
      </c>
      <c r="D24" s="68"/>
      <c r="E24" s="68"/>
    </row>
    <row r="25" spans="1:5">
      <c r="A25" s="68" t="s">
        <v>3698</v>
      </c>
      <c r="B25" s="79" t="str">
        <f t="shared" si="1"/>
        <v>NAME_RICE_30000</v>
      </c>
      <c r="C25" s="81" t="s">
        <v>3708</v>
      </c>
      <c r="D25" s="68"/>
      <c r="E25" s="68"/>
    </row>
    <row r="26" spans="1:5">
      <c r="A26" s="68" t="s">
        <v>3699</v>
      </c>
      <c r="B26" s="79" t="str">
        <f t="shared" si="1"/>
        <v>NAME_RICE_50000</v>
      </c>
      <c r="C26" s="81" t="s">
        <v>3709</v>
      </c>
      <c r="D26" s="68"/>
      <c r="E26" s="68"/>
    </row>
    <row r="27" spans="1:5">
      <c r="A27" s="68" t="s">
        <v>3700</v>
      </c>
      <c r="B27" s="79" t="str">
        <f t="shared" si="1"/>
        <v>NAME_RICE_70000</v>
      </c>
      <c r="C27" s="81" t="s">
        <v>3710</v>
      </c>
      <c r="D27" s="68"/>
      <c r="E27" s="68"/>
    </row>
    <row r="28" spans="1:5">
      <c r="A28" s="68" t="s">
        <v>3701</v>
      </c>
      <c r="B28" s="79" t="str">
        <f t="shared" si="1"/>
        <v>NAME_RICE_100000</v>
      </c>
      <c r="C28" s="81" t="s">
        <v>3711</v>
      </c>
      <c r="D28" s="68"/>
      <c r="E28" s="68"/>
    </row>
    <row r="29" spans="1:5">
      <c r="A29" s="68" t="s">
        <v>3702</v>
      </c>
      <c r="B29" s="79" t="str">
        <f t="shared" si="1"/>
        <v>NAME_RICE_300000</v>
      </c>
      <c r="C29" s="81" t="s">
        <v>3712</v>
      </c>
      <c r="D29" s="68"/>
      <c r="E29" s="68"/>
    </row>
    <row r="30" spans="1:5">
      <c r="A30" s="68" t="s">
        <v>3703</v>
      </c>
      <c r="B30" s="79" t="str">
        <f t="shared" si="1"/>
        <v>NAME_RICE_500000</v>
      </c>
      <c r="C30" s="81" t="s">
        <v>3713</v>
      </c>
      <c r="D30" s="68"/>
      <c r="E30" s="68"/>
    </row>
    <row r="31" spans="1:5">
      <c r="A31" s="68" t="s">
        <v>3704</v>
      </c>
      <c r="B31" s="79" t="str">
        <f t="shared" si="1"/>
        <v>NAME_RICE_700000</v>
      </c>
      <c r="C31" s="81" t="s">
        <v>3714</v>
      </c>
      <c r="D31" s="68"/>
      <c r="E31" s="68"/>
    </row>
    <row r="32" spans="1:5">
      <c r="A32" s="68" t="s">
        <v>3705</v>
      </c>
      <c r="B32" s="79" t="str">
        <f t="shared" si="1"/>
        <v>NAME_PACKAGE_BEGINNER</v>
      </c>
      <c r="C32" s="78" t="s">
        <v>3642</v>
      </c>
      <c r="D32" s="68"/>
      <c r="E32" s="68"/>
    </row>
    <row r="33" spans="1:5">
      <c r="A33" s="68" t="s">
        <v>3706</v>
      </c>
      <c r="B33" s="79" t="str">
        <f t="shared" si="1"/>
        <v>NAME_PACKAGE_OPEN</v>
      </c>
      <c r="C33" s="78" t="s">
        <v>3723</v>
      </c>
      <c r="D33" s="68"/>
      <c r="E33" s="68"/>
    </row>
    <row r="34" spans="1:5">
      <c r="A34" s="68" t="s">
        <v>3643</v>
      </c>
      <c r="B34" s="79" t="str">
        <f t="shared" si="1"/>
        <v>NAME_BATTLE_PASS_SEASON_1</v>
      </c>
      <c r="C34" s="78" t="s">
        <v>3739</v>
      </c>
      <c r="D34" s="68"/>
      <c r="E34" s="68"/>
    </row>
    <row r="35" spans="1:5">
      <c r="A35" s="78" t="s">
        <v>3682</v>
      </c>
      <c r="B35" s="79" t="str">
        <f t="shared" ref="B35:B60" si="2">"DESC_"&amp;UPPER(A35)</f>
        <v>DESC_GOLD_PAID_1000</v>
      </c>
      <c r="C35" s="57"/>
      <c r="D35" s="52"/>
      <c r="E35" s="52"/>
    </row>
    <row r="36" spans="1:5">
      <c r="A36" s="78" t="s">
        <v>3683</v>
      </c>
      <c r="B36" s="79" t="str">
        <f t="shared" si="2"/>
        <v>DESC_GOLD_PAID_3000</v>
      </c>
      <c r="C36" s="51"/>
      <c r="D36" s="52"/>
      <c r="E36" s="52"/>
    </row>
    <row r="37" spans="1:5">
      <c r="A37" s="78" t="s">
        <v>3684</v>
      </c>
      <c r="B37" s="79" t="str">
        <f t="shared" si="2"/>
        <v>DESC_GOLD_PAID_5000</v>
      </c>
      <c r="C37" s="51"/>
      <c r="D37" s="52"/>
      <c r="E37" s="52"/>
    </row>
    <row r="38" spans="1:5">
      <c r="A38" s="78" t="s">
        <v>3685</v>
      </c>
      <c r="B38" s="79" t="str">
        <f t="shared" si="2"/>
        <v>DESC_GOLD_PAID_7000</v>
      </c>
      <c r="C38" s="51"/>
      <c r="D38" s="52"/>
      <c r="E38" s="52"/>
    </row>
    <row r="39" spans="1:5">
      <c r="A39" s="78" t="s">
        <v>3686</v>
      </c>
      <c r="B39" s="79" t="str">
        <f t="shared" si="2"/>
        <v>DESC_GOLD_PAID_10000</v>
      </c>
      <c r="C39" s="51"/>
      <c r="D39" s="52"/>
      <c r="E39" s="52"/>
    </row>
    <row r="40" spans="1:5">
      <c r="A40" s="78" t="s">
        <v>3687</v>
      </c>
      <c r="B40" s="79" t="str">
        <f t="shared" si="2"/>
        <v>DESC_GOLD_PAID_30000</v>
      </c>
      <c r="C40" s="51"/>
      <c r="D40" s="52"/>
      <c r="E40" s="52"/>
    </row>
    <row r="41" spans="1:5">
      <c r="A41" s="78" t="s">
        <v>3688</v>
      </c>
      <c r="B41" s="79" t="str">
        <f t="shared" si="2"/>
        <v>DESC_GOLD_PAID_50000</v>
      </c>
      <c r="C41" s="51"/>
      <c r="D41" s="52"/>
      <c r="E41" s="52"/>
    </row>
    <row r="42" spans="1:5">
      <c r="A42" s="78" t="s">
        <v>3689</v>
      </c>
      <c r="B42" s="79" t="str">
        <f t="shared" si="2"/>
        <v>DESC_GOLD_PAID_70000</v>
      </c>
      <c r="C42" s="51"/>
      <c r="D42" s="52"/>
      <c r="E42" s="52"/>
    </row>
    <row r="43" spans="1:5">
      <c r="A43" s="78" t="s">
        <v>3690</v>
      </c>
      <c r="B43" s="79" t="str">
        <f t="shared" si="2"/>
        <v>DESC_GOLD_FREE_1000</v>
      </c>
      <c r="C43" s="51"/>
      <c r="D43" s="52"/>
      <c r="E43" s="52"/>
    </row>
    <row r="44" spans="1:5">
      <c r="A44" s="78" t="s">
        <v>3691</v>
      </c>
      <c r="B44" s="79" t="str">
        <f t="shared" si="2"/>
        <v>DESC_GOLD_FREE_3000</v>
      </c>
      <c r="C44" s="51"/>
      <c r="D44" s="52"/>
      <c r="E44" s="52"/>
    </row>
    <row r="45" spans="1:5">
      <c r="A45" s="78" t="s">
        <v>3692</v>
      </c>
      <c r="B45" s="79" t="str">
        <f t="shared" si="2"/>
        <v>DESC_GOLD_FREE_5000</v>
      </c>
      <c r="C45" s="51"/>
      <c r="D45" s="52"/>
      <c r="E45" s="52"/>
    </row>
    <row r="46" spans="1:5">
      <c r="A46" s="78" t="s">
        <v>3693</v>
      </c>
      <c r="B46" s="79" t="str">
        <f t="shared" si="2"/>
        <v>DESC_GOLD_FREE_7000</v>
      </c>
      <c r="C46" s="51"/>
      <c r="D46" s="52"/>
      <c r="E46" s="52"/>
    </row>
    <row r="47" spans="1:5">
      <c r="A47" s="80" t="s">
        <v>3694</v>
      </c>
      <c r="B47" s="79" t="str">
        <f t="shared" si="2"/>
        <v>DESC_GOLD_FREE_10000</v>
      </c>
      <c r="C47" s="51"/>
      <c r="D47" s="52"/>
      <c r="E47" s="52"/>
    </row>
    <row r="48" spans="1:5">
      <c r="A48" s="68" t="s">
        <v>3695</v>
      </c>
      <c r="B48" s="79" t="str">
        <f t="shared" si="2"/>
        <v>DESC_GOLD_FREE_30000</v>
      </c>
      <c r="C48" s="51"/>
      <c r="D48" s="52"/>
      <c r="E48" s="52"/>
    </row>
    <row r="49" spans="1:5">
      <c r="A49" s="68" t="s">
        <v>3696</v>
      </c>
      <c r="B49" s="79" t="str">
        <f t="shared" si="2"/>
        <v>DESC_GOLD_FREE_50000</v>
      </c>
      <c r="C49" s="51"/>
      <c r="D49" s="52"/>
      <c r="E49" s="52"/>
    </row>
    <row r="50" spans="1:5">
      <c r="A50" s="68" t="s">
        <v>3697</v>
      </c>
      <c r="B50" s="79" t="str">
        <f t="shared" si="2"/>
        <v>DESC_GOLD_FREE_70000</v>
      </c>
      <c r="C50" s="51"/>
      <c r="D50" s="52"/>
      <c r="E50" s="52"/>
    </row>
    <row r="51" spans="1:5">
      <c r="A51" s="68" t="s">
        <v>3641</v>
      </c>
      <c r="B51" s="79" t="str">
        <f t="shared" si="2"/>
        <v>DESC_RICE_10000</v>
      </c>
      <c r="C51" s="51"/>
      <c r="D51" s="52"/>
      <c r="E51" s="52"/>
    </row>
    <row r="52" spans="1:5">
      <c r="A52" s="68" t="s">
        <v>3698</v>
      </c>
      <c r="B52" s="79" t="str">
        <f t="shared" si="2"/>
        <v>DESC_RICE_30000</v>
      </c>
      <c r="C52" s="51"/>
      <c r="D52" s="52"/>
      <c r="E52" s="52"/>
    </row>
    <row r="53" spans="1:5">
      <c r="A53" s="68" t="s">
        <v>3699</v>
      </c>
      <c r="B53" s="79" t="str">
        <f t="shared" si="2"/>
        <v>DESC_RICE_50000</v>
      </c>
      <c r="C53" s="51"/>
      <c r="D53" s="52"/>
      <c r="E53" s="52"/>
    </row>
    <row r="54" spans="1:5">
      <c r="A54" s="68" t="s">
        <v>3700</v>
      </c>
      <c r="B54" s="79" t="str">
        <f t="shared" si="2"/>
        <v>DESC_RICE_70000</v>
      </c>
      <c r="C54" s="51"/>
      <c r="D54" s="52"/>
      <c r="E54" s="52"/>
    </row>
    <row r="55" spans="1:5">
      <c r="A55" s="68" t="s">
        <v>3701</v>
      </c>
      <c r="B55" s="79" t="str">
        <f t="shared" si="2"/>
        <v>DESC_RICE_100000</v>
      </c>
      <c r="C55" s="51"/>
      <c r="D55" s="52"/>
      <c r="E55" s="52"/>
    </row>
    <row r="56" spans="1:5">
      <c r="A56" s="68" t="s">
        <v>3702</v>
      </c>
      <c r="B56" s="79" t="str">
        <f t="shared" si="2"/>
        <v>DESC_RICE_300000</v>
      </c>
      <c r="C56" s="51"/>
      <c r="D56" s="52"/>
      <c r="E56" s="52"/>
    </row>
    <row r="57" spans="1:5">
      <c r="A57" s="68" t="s">
        <v>3703</v>
      </c>
      <c r="B57" s="79" t="str">
        <f t="shared" si="2"/>
        <v>DESC_RICE_500000</v>
      </c>
      <c r="C57" s="51"/>
      <c r="D57" s="52"/>
      <c r="E57" s="52"/>
    </row>
    <row r="58" spans="1:5">
      <c r="A58" s="68" t="s">
        <v>3704</v>
      </c>
      <c r="B58" s="79" t="str">
        <f t="shared" si="2"/>
        <v>DESC_RICE_700000</v>
      </c>
      <c r="C58" s="51"/>
      <c r="D58" s="52"/>
      <c r="E58" s="52"/>
    </row>
    <row r="59" spans="1:5">
      <c r="A59" s="68" t="s">
        <v>3705</v>
      </c>
      <c r="B59" s="79" t="str">
        <f t="shared" si="2"/>
        <v>DESC_PACKAGE_BEGINNER</v>
      </c>
      <c r="C59" s="51"/>
      <c r="D59" s="52"/>
      <c r="E59" s="52"/>
    </row>
    <row r="60" spans="1:5">
      <c r="A60" s="68" t="s">
        <v>3706</v>
      </c>
      <c r="B60" s="79" t="str">
        <f t="shared" si="2"/>
        <v>DESC_PACKAGE_OPEN</v>
      </c>
      <c r="C60" s="51"/>
      <c r="D60" s="52"/>
      <c r="E60" s="52"/>
    </row>
    <row r="61" spans="1:5">
      <c r="A61" s="68" t="s">
        <v>3643</v>
      </c>
      <c r="B61" s="79" t="str">
        <f>"DESC_"&amp;UPPER(A61)</f>
        <v>DESC_BATTLE_PASS_SEASON_1</v>
      </c>
      <c r="C61" s="51"/>
      <c r="D61" s="52"/>
      <c r="E61" s="52"/>
    </row>
    <row r="62" spans="1:5">
      <c r="A62" s="51"/>
      <c r="B62" s="51" t="s">
        <v>3733</v>
      </c>
      <c r="C62" s="51" t="s">
        <v>3736</v>
      </c>
      <c r="D62" s="52"/>
      <c r="E62" s="52"/>
    </row>
    <row r="63" spans="1:5">
      <c r="A63" s="51"/>
      <c r="B63" s="51" t="s">
        <v>3734</v>
      </c>
      <c r="C63" s="51" t="s">
        <v>3737</v>
      </c>
      <c r="D63" s="52"/>
      <c r="E63" s="52"/>
    </row>
    <row r="64" spans="1:5">
      <c r="A64" s="51"/>
      <c r="B64" s="51" t="s">
        <v>3735</v>
      </c>
      <c r="C64" s="51" t="s">
        <v>3738</v>
      </c>
      <c r="D64" s="52"/>
      <c r="E64" s="52"/>
    </row>
    <row r="65" spans="1:3" ht="16.5">
      <c r="A65" s="14"/>
      <c r="B65" s="14"/>
      <c r="C65" s="14"/>
    </row>
    <row r="66" spans="1:3" ht="16.5">
      <c r="A66" s="14"/>
      <c r="B66" s="14"/>
      <c r="C66" s="14"/>
    </row>
    <row r="67" spans="1:3" ht="16.5">
      <c r="A67" s="14"/>
      <c r="B67" s="14"/>
      <c r="C67" s="14"/>
    </row>
    <row r="68" spans="1:3" ht="16.5">
      <c r="A68" s="14"/>
      <c r="B68" s="14"/>
      <c r="C68" s="14"/>
    </row>
    <row r="69" spans="1:3" ht="16.5">
      <c r="A69" s="14"/>
      <c r="B69" s="14"/>
      <c r="C69" s="14"/>
    </row>
    <row r="70" spans="1:3" ht="16.5">
      <c r="A70" s="14"/>
      <c r="B70" s="14"/>
      <c r="C70" s="14"/>
    </row>
    <row r="71" spans="1:3" ht="16.5">
      <c r="A71" s="14"/>
      <c r="B71" s="14"/>
      <c r="C71" s="14"/>
    </row>
    <row r="72" spans="1:3" ht="16.5">
      <c r="A72" s="14"/>
      <c r="B72" s="14"/>
      <c r="C72" s="14"/>
    </row>
    <row r="73" spans="1:3" ht="16.5">
      <c r="A73" s="14"/>
      <c r="B73" s="14"/>
      <c r="C73" s="14"/>
    </row>
    <row r="74" spans="1:3" ht="16.5">
      <c r="A74" s="14"/>
      <c r="B74" s="14"/>
      <c r="C74" s="14"/>
    </row>
    <row r="75" spans="1:3" ht="16.5">
      <c r="A75" s="14"/>
      <c r="B75" s="14"/>
      <c r="C75" s="14"/>
    </row>
    <row r="76" spans="1:3" ht="16.5">
      <c r="A76" s="14"/>
      <c r="B76" s="14"/>
      <c r="C76" s="14"/>
    </row>
    <row r="77" spans="1:3" ht="16.5">
      <c r="A77" s="14"/>
      <c r="B77" s="14"/>
      <c r="C77" s="14"/>
    </row>
    <row r="78" spans="1:3" ht="16.5">
      <c r="A78" s="14"/>
      <c r="B78" s="14"/>
      <c r="C78" s="14"/>
    </row>
    <row r="79" spans="1:3" ht="16.5">
      <c r="A79" s="14"/>
      <c r="B79" s="14"/>
      <c r="C79" s="14"/>
    </row>
    <row r="80" spans="1:3" ht="16.5">
      <c r="A80" s="14"/>
      <c r="B80" s="14"/>
      <c r="C80" s="14"/>
    </row>
    <row r="81" spans="1:3" ht="16.5">
      <c r="A81" s="14"/>
      <c r="B81" s="14"/>
      <c r="C81" s="14"/>
    </row>
    <row r="82" spans="1:3" ht="16.5">
      <c r="A82" s="14"/>
      <c r="B82" s="14"/>
      <c r="C82" s="14"/>
    </row>
    <row r="83" spans="1:3" ht="16.5">
      <c r="A83" s="14"/>
      <c r="B83" s="14"/>
      <c r="C83" s="14"/>
    </row>
    <row r="84" spans="1:3" ht="16.5">
      <c r="A84" s="14"/>
      <c r="B84" s="14"/>
      <c r="C84" s="14"/>
    </row>
    <row r="85" spans="1:3" ht="16.5">
      <c r="A85" s="14"/>
      <c r="B85" s="14"/>
      <c r="C85" s="14"/>
    </row>
    <row r="86" spans="1:3" ht="16.5">
      <c r="A86" s="14"/>
      <c r="B86" s="14"/>
      <c r="C86" s="14"/>
    </row>
    <row r="87" spans="1:3" ht="16.5">
      <c r="A87" s="14"/>
      <c r="B87" s="14"/>
      <c r="C87" s="14"/>
    </row>
    <row r="88" spans="1:3" ht="16.5">
      <c r="A88" s="14"/>
      <c r="B88" s="14"/>
      <c r="C88" s="14"/>
    </row>
    <row r="89" spans="1:3" ht="16.5">
      <c r="A89" s="14"/>
      <c r="B89" s="14"/>
      <c r="C89" s="14"/>
    </row>
    <row r="90" spans="1:3" ht="16.5">
      <c r="A90" s="14"/>
      <c r="B90" s="14"/>
      <c r="C90" s="14"/>
    </row>
    <row r="91" spans="1:3" ht="16.5">
      <c r="A91" s="14"/>
      <c r="B91" s="14"/>
      <c r="C91" s="14"/>
    </row>
    <row r="92" spans="1:3" ht="16.5">
      <c r="A92" s="14"/>
      <c r="B92" s="14"/>
      <c r="C92" s="14"/>
    </row>
    <row r="93" spans="1:3" ht="16.5">
      <c r="A93" s="14"/>
      <c r="B93" s="14"/>
      <c r="C93" s="14"/>
    </row>
    <row r="94" spans="1:3" ht="16.5">
      <c r="A94" s="14"/>
      <c r="B94" s="14"/>
      <c r="C94" s="14"/>
    </row>
    <row r="95" spans="1:3" ht="16.5">
      <c r="A95" s="14"/>
      <c r="B95" s="14"/>
      <c r="C95" s="14"/>
    </row>
    <row r="96" spans="1:3" ht="16.5">
      <c r="A96" s="14"/>
      <c r="B96" s="14"/>
      <c r="C96" s="14"/>
    </row>
    <row r="97" spans="1:3" ht="16.5">
      <c r="A97" s="14"/>
      <c r="B97" s="14"/>
      <c r="C97" s="14"/>
    </row>
    <row r="98" spans="1:3" ht="16.5">
      <c r="A98" s="14"/>
      <c r="B98" s="14"/>
      <c r="C98" s="14"/>
    </row>
    <row r="99" spans="1:3" ht="16.5">
      <c r="A99" s="14"/>
      <c r="B99" s="14"/>
      <c r="C99" s="14"/>
    </row>
    <row r="100" spans="1:3" ht="16.5">
      <c r="A100" s="14"/>
      <c r="B100" s="14"/>
      <c r="C100" s="14"/>
    </row>
    <row r="101" spans="1:3" ht="16.5">
      <c r="A101" s="14"/>
      <c r="B101" s="14"/>
      <c r="C101" s="14"/>
    </row>
    <row r="102" spans="1:3" ht="16.5">
      <c r="A102" s="14"/>
      <c r="B102" s="14"/>
      <c r="C102" s="14"/>
    </row>
    <row r="103" spans="1:3" ht="16.5">
      <c r="A103" s="14"/>
      <c r="B103" s="14"/>
      <c r="C103" s="14"/>
    </row>
    <row r="104" spans="1:3" ht="16.5">
      <c r="A104" s="14"/>
      <c r="B104" s="14"/>
      <c r="C104" s="14"/>
    </row>
    <row r="105" spans="1:3" ht="16.5">
      <c r="A105" s="14"/>
      <c r="B105" s="14"/>
      <c r="C105" s="14"/>
    </row>
    <row r="106" spans="1:3" ht="16.5">
      <c r="A106" s="14"/>
      <c r="B106" s="14"/>
      <c r="C106" s="14"/>
    </row>
    <row r="107" spans="1:3" ht="16.5">
      <c r="A107" s="14"/>
      <c r="B107" s="14"/>
      <c r="C107" s="14"/>
    </row>
    <row r="108" spans="1:3" ht="16.5">
      <c r="A108" s="14"/>
      <c r="B108" s="14"/>
      <c r="C108" s="14"/>
    </row>
    <row r="109" spans="1:3" ht="16.5">
      <c r="A109" s="14"/>
      <c r="B109" s="14"/>
      <c r="C109" s="14"/>
    </row>
    <row r="110" spans="1:3" ht="16.5">
      <c r="A110" s="14"/>
      <c r="B110" s="14"/>
      <c r="C110" s="14"/>
    </row>
    <row r="111" spans="1:3" ht="16.5">
      <c r="A111" s="14"/>
      <c r="B111" s="14"/>
      <c r="C111" s="14"/>
    </row>
    <row r="112" spans="1:3" ht="16.5">
      <c r="A112" s="14"/>
      <c r="B112" s="14"/>
      <c r="C112" s="14"/>
    </row>
    <row r="113" spans="1:3" ht="16.5">
      <c r="A113" s="14"/>
      <c r="B113" s="14"/>
      <c r="C113" s="14"/>
    </row>
    <row r="114" spans="1:3" ht="16.5">
      <c r="A114" s="14"/>
      <c r="B114" s="14"/>
      <c r="C114" s="14"/>
    </row>
    <row r="115" spans="1:3" ht="16.5">
      <c r="A115" s="14"/>
      <c r="B115" s="14"/>
      <c r="C115" s="14"/>
    </row>
    <row r="116" spans="1:3" ht="16.5">
      <c r="A116" s="14"/>
      <c r="B116" s="14"/>
      <c r="C116" s="14"/>
    </row>
    <row r="117" spans="1:3" ht="16.5">
      <c r="A117" s="14"/>
      <c r="B117" s="14"/>
      <c r="C117" s="14"/>
    </row>
    <row r="118" spans="1:3" ht="16.5">
      <c r="A118" s="14"/>
      <c r="B118" s="14"/>
      <c r="C118" s="14"/>
    </row>
    <row r="119" spans="1:3" ht="16.5">
      <c r="A119" s="14"/>
      <c r="B119" s="14"/>
      <c r="C119" s="14"/>
    </row>
    <row r="120" spans="1:3" ht="16.5">
      <c r="A120" s="14"/>
      <c r="B120" s="14"/>
      <c r="C120" s="14"/>
    </row>
    <row r="121" spans="1:3" ht="16.5">
      <c r="A121" s="14"/>
      <c r="B121" s="14"/>
      <c r="C121" s="14"/>
    </row>
    <row r="122" spans="1:3" ht="16.5">
      <c r="A122" s="14"/>
      <c r="B122" s="14"/>
      <c r="C122" s="14"/>
    </row>
    <row r="123" spans="1:3" ht="16.5">
      <c r="A123" s="14"/>
      <c r="B123" s="14"/>
      <c r="C123" s="14"/>
    </row>
    <row r="124" spans="1:3" ht="16.5">
      <c r="A124" s="14"/>
      <c r="B124" s="14"/>
      <c r="C124" s="14"/>
    </row>
    <row r="125" spans="1:3" ht="16.5">
      <c r="A125" s="14"/>
      <c r="B125" s="14"/>
      <c r="C125" s="14"/>
    </row>
    <row r="126" spans="1:3" ht="16.5">
      <c r="A126" s="14"/>
      <c r="B126" s="14"/>
      <c r="C126" s="14"/>
    </row>
    <row r="127" spans="1:3" ht="16.5">
      <c r="A127" s="14"/>
      <c r="B127" s="14"/>
      <c r="C127" s="14"/>
    </row>
    <row r="128" spans="1:3" ht="16.5">
      <c r="A128" s="14"/>
      <c r="B128" s="14"/>
      <c r="C128" s="14"/>
    </row>
    <row r="129" spans="1:3" ht="16.5">
      <c r="A129" s="14"/>
      <c r="B129" s="14"/>
      <c r="C129" s="14"/>
    </row>
    <row r="130" spans="1:3" ht="16.5">
      <c r="A130" s="14"/>
      <c r="B130" s="14"/>
      <c r="C130" s="14"/>
    </row>
    <row r="131" spans="1:3" ht="16.5">
      <c r="A131" s="14"/>
      <c r="B131" s="14"/>
      <c r="C131" s="14"/>
    </row>
    <row r="132" spans="1:3" ht="16.5">
      <c r="A132" s="14"/>
      <c r="B132" s="14"/>
      <c r="C132" s="14"/>
    </row>
    <row r="133" spans="1:3" ht="16.5">
      <c r="A133" s="14"/>
      <c r="B133" s="14"/>
      <c r="C133" s="14"/>
    </row>
    <row r="134" spans="1:3" ht="16.5">
      <c r="A134" s="14"/>
      <c r="B134" s="14"/>
      <c r="C134" s="14"/>
    </row>
    <row r="135" spans="1:3" ht="16.5">
      <c r="A135" s="14"/>
      <c r="B135" s="14"/>
      <c r="C135" s="14"/>
    </row>
    <row r="136" spans="1:3" ht="16.5">
      <c r="A136" s="14"/>
      <c r="B136" s="14"/>
      <c r="C136" s="14"/>
    </row>
    <row r="137" spans="1:3" ht="16.5">
      <c r="A137" s="14"/>
      <c r="B137" s="14"/>
      <c r="C137" s="14"/>
    </row>
    <row r="138" spans="1:3" ht="16.5">
      <c r="A138" s="14"/>
      <c r="B138" s="14"/>
      <c r="C138" s="14"/>
    </row>
    <row r="139" spans="1:3" ht="16.5">
      <c r="A139" s="14"/>
      <c r="B139" s="14"/>
      <c r="C139" s="14"/>
    </row>
    <row r="140" spans="1:3" ht="16.5">
      <c r="A140" s="14"/>
      <c r="B140" s="14"/>
      <c r="C140" s="14"/>
    </row>
    <row r="141" spans="1:3" ht="16.5">
      <c r="A141" s="14"/>
      <c r="B141" s="14"/>
      <c r="C141" s="14"/>
    </row>
    <row r="142" spans="1:3" ht="16.5">
      <c r="A142" s="14"/>
      <c r="B142" s="14"/>
      <c r="C142" s="14"/>
    </row>
    <row r="143" spans="1:3" ht="16.5">
      <c r="A143" s="14"/>
      <c r="B143" s="14"/>
      <c r="C143" s="14"/>
    </row>
    <row r="144" spans="1:3" ht="16.5">
      <c r="A144" s="14"/>
      <c r="B144" s="14"/>
      <c r="C144" s="14"/>
    </row>
    <row r="145" spans="1:3" ht="16.5">
      <c r="A145" s="14"/>
      <c r="B145" s="14"/>
      <c r="C145" s="14"/>
    </row>
    <row r="146" spans="1:3" ht="16.5">
      <c r="A146" s="14"/>
      <c r="B146" s="14"/>
      <c r="C146" s="14"/>
    </row>
    <row r="147" spans="1:3" ht="16.5">
      <c r="A147" s="14"/>
      <c r="B147" s="14"/>
      <c r="C147" s="14"/>
    </row>
    <row r="148" spans="1:3" ht="16.5">
      <c r="A148" s="14"/>
      <c r="B148" s="14"/>
      <c r="C148" s="14"/>
    </row>
    <row r="149" spans="1:3" ht="16.5">
      <c r="A149" s="14"/>
      <c r="B149" s="14"/>
      <c r="C149" s="14"/>
    </row>
    <row r="150" spans="1:3" ht="16.5">
      <c r="A150" s="14"/>
      <c r="B150" s="14"/>
      <c r="C150" s="14"/>
    </row>
    <row r="151" spans="1:3" ht="16.5">
      <c r="A151" s="14"/>
      <c r="B151" s="14"/>
      <c r="C151" s="14"/>
    </row>
    <row r="152" spans="1:3" ht="16.5">
      <c r="A152" s="14"/>
      <c r="B152" s="14"/>
      <c r="C152" s="14"/>
    </row>
    <row r="153" spans="1:3" ht="16.5">
      <c r="A153" s="14"/>
      <c r="B153" s="14"/>
      <c r="C153" s="14"/>
    </row>
    <row r="154" spans="1:3" ht="16.5">
      <c r="A154" s="14"/>
      <c r="B154" s="14"/>
      <c r="C154" s="14"/>
    </row>
    <row r="155" spans="1:3" ht="16.5">
      <c r="A155" s="14"/>
      <c r="B155" s="14"/>
      <c r="C155" s="14"/>
    </row>
    <row r="156" spans="1:3" ht="16.5">
      <c r="A156" s="14"/>
      <c r="B156" s="14"/>
      <c r="C156" s="14"/>
    </row>
    <row r="157" spans="1:3" ht="16.5">
      <c r="A157" s="14"/>
      <c r="B157" s="14"/>
      <c r="C157" s="14"/>
    </row>
    <row r="158" spans="1:3" ht="16.5">
      <c r="A158" s="14"/>
      <c r="B158" s="14"/>
      <c r="C158" s="14"/>
    </row>
    <row r="159" spans="1:3" ht="16.5">
      <c r="A159" s="14"/>
      <c r="B159" s="14"/>
      <c r="C159" s="14"/>
    </row>
    <row r="160" spans="1:3" ht="16.5">
      <c r="A160" s="14"/>
      <c r="B160" s="14"/>
      <c r="C160" s="14"/>
    </row>
    <row r="161" spans="1:3" ht="16.5">
      <c r="A161" s="14"/>
      <c r="B161" s="14"/>
      <c r="C161" s="14"/>
    </row>
    <row r="162" spans="1:3" ht="16.5">
      <c r="A162" s="14"/>
      <c r="B162" s="14"/>
      <c r="C162" s="14"/>
    </row>
    <row r="163" spans="1:3" ht="16.5">
      <c r="A163" s="14"/>
      <c r="B163" s="14"/>
      <c r="C163" s="14"/>
    </row>
    <row r="164" spans="1:3" ht="16.5">
      <c r="A164" s="14"/>
      <c r="B164" s="14"/>
      <c r="C164" s="14"/>
    </row>
    <row r="165" spans="1:3" ht="16.5">
      <c r="A165" s="14"/>
      <c r="B165" s="14"/>
      <c r="C165" s="14"/>
    </row>
    <row r="166" spans="1:3" ht="16.5">
      <c r="A166" s="14"/>
      <c r="B166" s="14"/>
      <c r="C166" s="14"/>
    </row>
    <row r="167" spans="1:3" ht="16.5">
      <c r="A167" s="14"/>
      <c r="B167" s="14"/>
      <c r="C167" s="14"/>
    </row>
    <row r="168" spans="1:3" ht="16.5">
      <c r="A168" s="14"/>
      <c r="B168" s="14"/>
      <c r="C168" s="14"/>
    </row>
    <row r="169" spans="1:3" ht="16.5">
      <c r="A169" s="14"/>
      <c r="B169" s="14"/>
      <c r="C169" s="14"/>
    </row>
    <row r="170" spans="1:3" ht="16.5">
      <c r="A170" s="14"/>
      <c r="B170" s="14"/>
      <c r="C170" s="14"/>
    </row>
    <row r="171" spans="1:3" ht="16.5">
      <c r="A171" s="14"/>
      <c r="B171" s="14"/>
      <c r="C171" s="14"/>
    </row>
    <row r="172" spans="1:3" ht="16.5">
      <c r="A172" s="14"/>
      <c r="B172" s="14"/>
      <c r="C172" s="14"/>
    </row>
    <row r="173" spans="1:3" ht="16.5">
      <c r="A173" s="14"/>
      <c r="B173" s="14"/>
      <c r="C173" s="14"/>
    </row>
    <row r="174" spans="1:3" ht="16.5">
      <c r="A174" s="14"/>
      <c r="B174" s="14"/>
      <c r="C174" s="14"/>
    </row>
    <row r="175" spans="1:3" ht="16.5">
      <c r="A175" s="14"/>
      <c r="B175" s="14"/>
      <c r="C175" s="14"/>
    </row>
    <row r="176" spans="1:3" ht="16.5">
      <c r="A176" s="14"/>
      <c r="B176" s="14"/>
      <c r="C176" s="14"/>
    </row>
    <row r="177" spans="1:3" ht="16.5">
      <c r="A177" s="14"/>
      <c r="B177" s="14"/>
      <c r="C177" s="14"/>
    </row>
    <row r="178" spans="1:3" ht="16.5">
      <c r="A178" s="14"/>
      <c r="B178" s="14"/>
      <c r="C178" s="14"/>
    </row>
    <row r="179" spans="1:3" ht="16.5">
      <c r="A179" s="14"/>
      <c r="B179" s="14"/>
      <c r="C179" s="14"/>
    </row>
    <row r="180" spans="1:3" ht="16.5">
      <c r="A180" s="14"/>
      <c r="B180" s="14"/>
      <c r="C180" s="14"/>
    </row>
    <row r="181" spans="1:3" ht="16.5">
      <c r="A181" s="14"/>
      <c r="B181" s="14"/>
      <c r="C181" s="14"/>
    </row>
    <row r="182" spans="1:3" ht="16.5">
      <c r="A182" s="14"/>
      <c r="B182" s="14"/>
      <c r="C182" s="14"/>
    </row>
    <row r="183" spans="1:3" ht="16.5">
      <c r="A183" s="14"/>
      <c r="B183" s="14"/>
      <c r="C183" s="14"/>
    </row>
    <row r="184" spans="1:3" ht="16.5">
      <c r="A184" s="14"/>
      <c r="B184" s="14"/>
      <c r="C184" s="14"/>
    </row>
    <row r="185" spans="1:3" ht="16.5">
      <c r="A185" s="14"/>
      <c r="B185" s="14"/>
      <c r="C185" s="14"/>
    </row>
    <row r="186" spans="1:3" ht="16.5">
      <c r="A186" s="14"/>
      <c r="B186" s="14"/>
      <c r="C186" s="14"/>
    </row>
    <row r="187" spans="1:3" ht="16.5">
      <c r="A187" s="14"/>
      <c r="B187" s="14"/>
      <c r="C187" s="14"/>
    </row>
    <row r="188" spans="1:3" ht="16.5">
      <c r="A188" s="14"/>
      <c r="B188" s="14"/>
      <c r="C188" s="14"/>
    </row>
    <row r="189" spans="1:3" ht="16.5">
      <c r="A189" s="14"/>
      <c r="B189" s="14"/>
      <c r="C189" s="14"/>
    </row>
    <row r="190" spans="1:3" ht="16.5">
      <c r="A190" s="14"/>
      <c r="B190" s="14"/>
      <c r="C190" s="14"/>
    </row>
    <row r="191" spans="1:3" ht="16.5">
      <c r="A191" s="14"/>
      <c r="B191" s="14"/>
      <c r="C191" s="14"/>
    </row>
    <row r="192" spans="1:3" ht="16.5">
      <c r="A192" s="14"/>
      <c r="B192" s="14"/>
      <c r="C192" s="14"/>
    </row>
    <row r="193" spans="1:3" ht="16.5">
      <c r="A193" s="14"/>
      <c r="B193" s="14"/>
      <c r="C193" s="14"/>
    </row>
    <row r="194" spans="1:3" ht="16.5">
      <c r="A194" s="14"/>
      <c r="B194" s="14"/>
      <c r="C194" s="14"/>
    </row>
    <row r="195" spans="1:3" ht="16.5">
      <c r="A195" s="14"/>
      <c r="B195" s="14"/>
      <c r="C195" s="14"/>
    </row>
    <row r="196" spans="1:3" ht="16.5">
      <c r="A196" s="14"/>
      <c r="B196" s="14"/>
      <c r="C196" s="14"/>
    </row>
    <row r="197" spans="1:3" ht="16.5">
      <c r="A197" s="14"/>
      <c r="B197" s="14"/>
      <c r="C197" s="14"/>
    </row>
    <row r="198" spans="1:3" ht="16.5">
      <c r="A198" s="14"/>
      <c r="B198" s="14"/>
      <c r="C198" s="14"/>
    </row>
    <row r="199" spans="1:3" ht="16.5">
      <c r="A199" s="14"/>
      <c r="B199" s="14"/>
      <c r="C199" s="14"/>
    </row>
    <row r="200" spans="1:3" ht="16.5">
      <c r="A200" s="14"/>
      <c r="B200" s="14"/>
      <c r="C200" s="14"/>
    </row>
    <row r="201" spans="1:3" ht="16.5">
      <c r="A201" s="14"/>
      <c r="B201" s="14"/>
      <c r="C201" s="14"/>
    </row>
    <row r="202" spans="1:3" ht="16.5">
      <c r="A202" s="14"/>
      <c r="B202" s="14"/>
      <c r="C202" s="14"/>
    </row>
    <row r="203" spans="1:3" ht="16.5">
      <c r="A203" s="14"/>
      <c r="B203" s="14"/>
      <c r="C203" s="14"/>
    </row>
    <row r="204" spans="1:3" ht="16.5">
      <c r="A204" s="14"/>
      <c r="B204" s="14"/>
      <c r="C204" s="14"/>
    </row>
    <row r="205" spans="1:3" ht="16.5">
      <c r="A205" s="14"/>
      <c r="B205" s="14"/>
      <c r="C205" s="14"/>
    </row>
    <row r="206" spans="1:3" ht="16.5">
      <c r="A206" s="14"/>
      <c r="B206" s="14"/>
      <c r="C206" s="14"/>
    </row>
    <row r="207" spans="1:3" ht="16.5">
      <c r="A207" s="14"/>
      <c r="B207" s="14"/>
      <c r="C207" s="14"/>
    </row>
    <row r="208" spans="1:3" ht="16.5">
      <c r="A208" s="14"/>
      <c r="B208" s="14"/>
      <c r="C208" s="14"/>
    </row>
    <row r="209" spans="1:3" ht="16.5">
      <c r="A209" s="14"/>
      <c r="B209" s="14"/>
      <c r="C209" s="14"/>
    </row>
    <row r="210" spans="1:3" ht="16.5">
      <c r="A210" s="14"/>
      <c r="B210" s="14"/>
      <c r="C210" s="14"/>
    </row>
    <row r="211" spans="1:3" ht="16.5">
      <c r="A211" s="14"/>
      <c r="B211" s="14"/>
      <c r="C211" s="14"/>
    </row>
    <row r="212" spans="1:3" ht="16.5">
      <c r="A212" s="14"/>
      <c r="B212" s="14"/>
      <c r="C212" s="14"/>
    </row>
    <row r="213" spans="1:3" ht="16.5">
      <c r="A213" s="14"/>
      <c r="B213" s="14"/>
      <c r="C213" s="14"/>
    </row>
    <row r="214" spans="1:3" ht="16.5">
      <c r="A214" s="14"/>
      <c r="B214" s="14"/>
      <c r="C214" s="14"/>
    </row>
    <row r="215" spans="1:3" ht="16.5">
      <c r="A215" s="14"/>
      <c r="B215" s="14"/>
      <c r="C215" s="14"/>
    </row>
    <row r="216" spans="1:3" ht="16.5">
      <c r="A216" s="14"/>
      <c r="B216" s="14"/>
      <c r="C216" s="14"/>
    </row>
    <row r="217" spans="1:3" ht="16.5">
      <c r="A217" s="14"/>
      <c r="B217" s="14"/>
      <c r="C217" s="14"/>
    </row>
    <row r="218" spans="1:3" ht="16.5">
      <c r="A218" s="14"/>
      <c r="B218" s="14"/>
      <c r="C218" s="14"/>
    </row>
    <row r="219" spans="1:3" ht="16.5">
      <c r="A219" s="14"/>
      <c r="B219" s="14"/>
      <c r="C219" s="14"/>
    </row>
    <row r="220" spans="1:3" ht="16.5">
      <c r="A220" s="14"/>
      <c r="B220" s="14"/>
      <c r="C220" s="14"/>
    </row>
    <row r="221" spans="1:3" ht="16.5">
      <c r="A221" s="14"/>
      <c r="B221" s="14"/>
      <c r="C221" s="14"/>
    </row>
    <row r="222" spans="1:3" ht="16.5">
      <c r="A222" s="14"/>
      <c r="B222" s="14"/>
      <c r="C222" s="14"/>
    </row>
    <row r="223" spans="1:3" ht="16.5">
      <c r="A223" s="14"/>
      <c r="B223" s="14"/>
      <c r="C223" s="14"/>
    </row>
    <row r="224" spans="1:3" ht="16.5">
      <c r="A224" s="14"/>
      <c r="B224" s="14"/>
      <c r="C224" s="14"/>
    </row>
    <row r="225" spans="1:3" ht="16.5">
      <c r="A225" s="14"/>
      <c r="B225" s="14"/>
      <c r="C225" s="14"/>
    </row>
    <row r="226" spans="1:3" ht="16.5">
      <c r="A226" s="14"/>
      <c r="B226" s="14"/>
      <c r="C226" s="14"/>
    </row>
    <row r="227" spans="1:3" ht="16.5">
      <c r="A227" s="14"/>
      <c r="B227" s="14"/>
      <c r="C227" s="14"/>
    </row>
    <row r="228" spans="1:3" ht="16.5">
      <c r="A228" s="14"/>
      <c r="B228" s="14"/>
      <c r="C228" s="14"/>
    </row>
    <row r="229" spans="1:3" ht="16.5">
      <c r="A229" s="14"/>
      <c r="B229" s="14"/>
      <c r="C229" s="14"/>
    </row>
    <row r="230" spans="1:3" ht="16.5">
      <c r="A230" s="14"/>
      <c r="B230" s="14"/>
      <c r="C230" s="14"/>
    </row>
    <row r="231" spans="1:3" ht="16.5">
      <c r="A231" s="14"/>
      <c r="B231" s="14"/>
      <c r="C231" s="14"/>
    </row>
    <row r="232" spans="1:3" ht="16.5">
      <c r="A232" s="14"/>
      <c r="B232" s="14"/>
      <c r="C232" s="14"/>
    </row>
    <row r="233" spans="1:3" ht="16.5">
      <c r="A233" s="14"/>
      <c r="B233" s="14"/>
      <c r="C233" s="14"/>
    </row>
    <row r="234" spans="1:3" ht="16.5">
      <c r="A234" s="14"/>
      <c r="B234" s="14"/>
      <c r="C234" s="14"/>
    </row>
    <row r="235" spans="1:3" ht="16.5">
      <c r="A235" s="14"/>
      <c r="B235" s="14"/>
      <c r="C235" s="14"/>
    </row>
    <row r="236" spans="1:3" ht="16.5">
      <c r="A236" s="14"/>
      <c r="B236" s="14"/>
      <c r="C236" s="14"/>
    </row>
    <row r="237" spans="1:3" ht="16.5">
      <c r="A237" s="14"/>
      <c r="B237" s="14"/>
      <c r="C237" s="14"/>
    </row>
    <row r="238" spans="1:3" ht="16.5">
      <c r="A238" s="14"/>
      <c r="B238" s="14"/>
      <c r="C238" s="14"/>
    </row>
    <row r="239" spans="1:3" ht="16.5">
      <c r="A239" s="14"/>
      <c r="B239" s="14"/>
      <c r="C239" s="14"/>
    </row>
    <row r="240" spans="1:3" ht="16.5">
      <c r="A240" s="14"/>
      <c r="B240" s="14"/>
      <c r="C240" s="14"/>
    </row>
    <row r="241" spans="1:3" ht="16.5">
      <c r="A241" s="14"/>
      <c r="B241" s="14"/>
      <c r="C241" s="14"/>
    </row>
    <row r="242" spans="1:3" ht="16.5">
      <c r="A242" s="14"/>
      <c r="B242" s="14"/>
      <c r="C242" s="14"/>
    </row>
    <row r="243" spans="1:3" ht="16.5">
      <c r="A243" s="14"/>
      <c r="B243" s="14"/>
      <c r="C243" s="14"/>
    </row>
    <row r="244" spans="1:3" ht="16.5">
      <c r="A244" s="14"/>
      <c r="B244" s="14"/>
      <c r="C244" s="14"/>
    </row>
    <row r="245" spans="1:3" ht="16.5">
      <c r="A245" s="14"/>
      <c r="B245" s="14"/>
      <c r="C245" s="14"/>
    </row>
    <row r="246" spans="1:3" ht="16.5">
      <c r="A246" s="14"/>
      <c r="B246" s="14"/>
      <c r="C246" s="14"/>
    </row>
    <row r="247" spans="1:3" ht="16.5">
      <c r="A247" s="14"/>
      <c r="B247" s="14"/>
      <c r="C247" s="14"/>
    </row>
    <row r="248" spans="1:3" ht="16.5">
      <c r="A248" s="14"/>
      <c r="B248" s="14"/>
      <c r="C248" s="14"/>
    </row>
    <row r="249" spans="1:3" ht="16.5">
      <c r="A249" s="14"/>
      <c r="B249" s="14"/>
      <c r="C249" s="14"/>
    </row>
    <row r="250" spans="1:3" ht="16.5">
      <c r="A250" s="14"/>
      <c r="B250" s="14"/>
      <c r="C250" s="14"/>
    </row>
    <row r="251" spans="1:3" ht="16.5">
      <c r="A251" s="14"/>
      <c r="B251" s="14"/>
      <c r="C251" s="14"/>
    </row>
    <row r="252" spans="1:3" ht="16.5">
      <c r="A252" s="14"/>
      <c r="B252" s="14"/>
      <c r="C252" s="14"/>
    </row>
    <row r="253" spans="1:3" ht="16.5">
      <c r="A253" s="14"/>
      <c r="B253" s="14"/>
      <c r="C253" s="14"/>
    </row>
    <row r="254" spans="1:3" ht="16.5">
      <c r="A254" s="14"/>
      <c r="B254" s="14"/>
      <c r="C254" s="14"/>
    </row>
    <row r="255" spans="1:3" ht="16.5">
      <c r="A255" s="14"/>
      <c r="B255" s="14"/>
      <c r="C255" s="14"/>
    </row>
    <row r="256" spans="1:3" ht="16.5">
      <c r="A256" s="14"/>
      <c r="B256" s="14"/>
      <c r="C256" s="14"/>
    </row>
    <row r="257" spans="1:3" ht="16.5">
      <c r="A257" s="14"/>
      <c r="B257" s="14"/>
      <c r="C257" s="14"/>
    </row>
    <row r="258" spans="1:3" ht="16.5">
      <c r="A258" s="14"/>
      <c r="B258" s="14"/>
      <c r="C258" s="14"/>
    </row>
    <row r="259" spans="1:3" ht="16.5">
      <c r="A259" s="14"/>
      <c r="B259" s="14"/>
      <c r="C259" s="14"/>
    </row>
    <row r="260" spans="1:3" ht="16.5">
      <c r="A260" s="14"/>
      <c r="B260" s="14"/>
      <c r="C260" s="14"/>
    </row>
    <row r="261" spans="1:3" ht="16.5">
      <c r="A261" s="14"/>
      <c r="B261" s="14"/>
      <c r="C261" s="14"/>
    </row>
    <row r="262" spans="1:3" ht="16.5">
      <c r="A262" s="14"/>
      <c r="B262" s="14"/>
      <c r="C262" s="14"/>
    </row>
    <row r="263" spans="1:3" ht="16.5">
      <c r="A263" s="14"/>
      <c r="B263" s="14"/>
      <c r="C263" s="14"/>
    </row>
    <row r="264" spans="1:3" ht="16.5">
      <c r="A264" s="14"/>
      <c r="B264" s="14"/>
      <c r="C264" s="14"/>
    </row>
    <row r="265" spans="1:3" ht="16.5">
      <c r="A265" s="14"/>
      <c r="B265" s="14"/>
      <c r="C265" s="14"/>
    </row>
    <row r="266" spans="1:3" ht="16.5">
      <c r="A266" s="14"/>
      <c r="B266" s="14"/>
      <c r="C266" s="14"/>
    </row>
    <row r="267" spans="1:3" ht="16.5">
      <c r="A267" s="14"/>
      <c r="B267" s="14"/>
      <c r="C267" s="14"/>
    </row>
    <row r="268" spans="1:3" ht="16.5">
      <c r="A268" s="14"/>
      <c r="B268" s="14"/>
      <c r="C268" s="14"/>
    </row>
    <row r="269" spans="1:3" ht="16.5">
      <c r="A269" s="14"/>
      <c r="B269" s="14"/>
      <c r="C269" s="14"/>
    </row>
    <row r="270" spans="1:3" ht="16.5">
      <c r="A270" s="14"/>
      <c r="B270" s="14"/>
      <c r="C270" s="14"/>
    </row>
    <row r="271" spans="1:3" ht="16.5">
      <c r="A271" s="14"/>
      <c r="B271" s="14"/>
      <c r="C271" s="14"/>
    </row>
    <row r="272" spans="1:3" ht="16.5">
      <c r="A272" s="14"/>
      <c r="B272" s="14"/>
      <c r="C272" s="14"/>
    </row>
    <row r="273" spans="1:3" ht="16.5">
      <c r="A273" s="14"/>
      <c r="B273" s="14"/>
      <c r="C273" s="14"/>
    </row>
    <row r="274" spans="1:3" ht="16.5">
      <c r="A274" s="14"/>
      <c r="B274" s="14"/>
      <c r="C274" s="14"/>
    </row>
    <row r="275" spans="1:3" ht="16.5">
      <c r="A275" s="14"/>
      <c r="B275" s="14"/>
      <c r="C275" s="14"/>
    </row>
    <row r="276" spans="1:3" ht="16.5">
      <c r="A276" s="14"/>
      <c r="B276" s="14"/>
      <c r="C276" s="14"/>
    </row>
    <row r="277" spans="1:3" ht="16.5">
      <c r="A277" s="14"/>
      <c r="B277" s="14"/>
      <c r="C277" s="14"/>
    </row>
    <row r="278" spans="1:3" ht="16.5">
      <c r="A278" s="14"/>
      <c r="B278" s="14"/>
      <c r="C278" s="14"/>
    </row>
    <row r="279" spans="1:3" ht="16.5">
      <c r="A279" s="14"/>
      <c r="B279" s="14"/>
      <c r="C279" s="14"/>
    </row>
    <row r="280" spans="1:3" ht="16.5">
      <c r="A280" s="14"/>
      <c r="B280" s="14"/>
      <c r="C280" s="14"/>
    </row>
    <row r="281" spans="1:3" ht="16.5">
      <c r="A281" s="14"/>
      <c r="B281" s="14"/>
      <c r="C281" s="14"/>
    </row>
    <row r="282" spans="1:3" ht="16.5">
      <c r="A282" s="14"/>
      <c r="B282" s="14"/>
      <c r="C282" s="14"/>
    </row>
    <row r="283" spans="1:3" ht="16.5">
      <c r="A283" s="14"/>
      <c r="B283" s="14"/>
      <c r="C283" s="14"/>
    </row>
    <row r="284" spans="1:3" ht="16.5">
      <c r="A284" s="14"/>
      <c r="B284" s="14"/>
      <c r="C284" s="14"/>
    </row>
    <row r="285" spans="1:3" ht="16.5">
      <c r="A285" s="14"/>
      <c r="B285" s="14"/>
      <c r="C285" s="14"/>
    </row>
    <row r="286" spans="1:3" ht="16.5">
      <c r="A286" s="14"/>
      <c r="B286" s="14"/>
      <c r="C286" s="14"/>
    </row>
    <row r="287" spans="1:3" ht="16.5">
      <c r="A287" s="14"/>
      <c r="B287" s="14"/>
      <c r="C287" s="14"/>
    </row>
    <row r="288" spans="1:3" ht="16.5">
      <c r="A288" s="14"/>
      <c r="B288" s="14"/>
      <c r="C288" s="14"/>
    </row>
    <row r="289" spans="1:3" ht="16.5">
      <c r="A289" s="14"/>
      <c r="B289" s="14"/>
      <c r="C289" s="14"/>
    </row>
    <row r="290" spans="1:3" ht="16.5">
      <c r="A290" s="14"/>
      <c r="B290" s="14"/>
      <c r="C290" s="14"/>
    </row>
    <row r="291" spans="1:3" ht="16.5">
      <c r="A291" s="14"/>
      <c r="B291" s="14"/>
      <c r="C291" s="14"/>
    </row>
    <row r="292" spans="1:3" ht="16.5">
      <c r="A292" s="14"/>
      <c r="B292" s="14"/>
      <c r="C292" s="14"/>
    </row>
    <row r="293" spans="1:3" ht="16.5">
      <c r="A293" s="14"/>
      <c r="B293" s="14"/>
      <c r="C293" s="14"/>
    </row>
    <row r="294" spans="1:3" ht="16.5">
      <c r="A294" s="14"/>
      <c r="B294" s="14"/>
      <c r="C294" s="14"/>
    </row>
    <row r="295" spans="1:3" ht="16.5">
      <c r="A295" s="14"/>
      <c r="B295" s="14"/>
      <c r="C295" s="14"/>
    </row>
    <row r="296" spans="1:3" ht="16.5">
      <c r="A296" s="14"/>
      <c r="B296" s="14"/>
      <c r="C296" s="14"/>
    </row>
    <row r="297" spans="1:3" ht="16.5">
      <c r="A297" s="14"/>
      <c r="B297" s="14"/>
      <c r="C297" s="14"/>
    </row>
    <row r="298" spans="1:3" ht="16.5">
      <c r="A298" s="14"/>
      <c r="B298" s="14"/>
      <c r="C298" s="14"/>
    </row>
    <row r="299" spans="1:3" ht="16.5">
      <c r="A299" s="14"/>
      <c r="B299" s="14"/>
      <c r="C299" s="14"/>
    </row>
    <row r="300" spans="1:3" ht="16.5">
      <c r="A300" s="14"/>
      <c r="B300" s="14"/>
      <c r="C300" s="14"/>
    </row>
    <row r="301" spans="1:3" ht="16.5">
      <c r="A301" s="14"/>
      <c r="B301" s="14"/>
      <c r="C301" s="14"/>
    </row>
    <row r="302" spans="1:3" ht="16.5">
      <c r="A302" s="14"/>
      <c r="B302" s="14"/>
      <c r="C302" s="14"/>
    </row>
    <row r="303" spans="1:3" ht="16.5">
      <c r="A303" s="14"/>
      <c r="B303" s="14"/>
      <c r="C303" s="14"/>
    </row>
    <row r="304" spans="1:3" ht="16.5">
      <c r="A304" s="14"/>
      <c r="B304" s="14"/>
      <c r="C304" s="14"/>
    </row>
    <row r="305" spans="1:3" ht="16.5">
      <c r="A305" s="14"/>
      <c r="B305" s="14"/>
      <c r="C305" s="14"/>
    </row>
    <row r="306" spans="1:3" ht="16.5">
      <c r="A306" s="14"/>
      <c r="B306" s="14"/>
      <c r="C306" s="14"/>
    </row>
    <row r="307" spans="1:3" ht="16.5">
      <c r="A307" s="14"/>
      <c r="B307" s="14"/>
      <c r="C307" s="14"/>
    </row>
    <row r="308" spans="1:3" ht="16.5">
      <c r="A308" s="14"/>
      <c r="B308" s="14"/>
      <c r="C308" s="14"/>
    </row>
    <row r="309" spans="1:3" ht="16.5">
      <c r="A309" s="14"/>
      <c r="B309" s="14"/>
      <c r="C309" s="14"/>
    </row>
    <row r="310" spans="1:3" ht="16.5">
      <c r="A310" s="14"/>
      <c r="B310" s="14"/>
      <c r="C310" s="14"/>
    </row>
    <row r="311" spans="1:3" ht="16.5">
      <c r="A311" s="14"/>
      <c r="B311" s="14"/>
      <c r="C311" s="14"/>
    </row>
    <row r="312" spans="1:3" ht="16.5">
      <c r="A312" s="14"/>
      <c r="B312" s="14"/>
      <c r="C312" s="14"/>
    </row>
    <row r="313" spans="1:3" ht="16.5">
      <c r="A313" s="14"/>
      <c r="B313" s="14"/>
      <c r="C313" s="14"/>
    </row>
    <row r="314" spans="1:3" ht="16.5">
      <c r="A314" s="14"/>
      <c r="B314" s="14"/>
      <c r="C314" s="14"/>
    </row>
    <row r="315" spans="1:3" ht="16.5">
      <c r="A315" s="14"/>
      <c r="B315" s="14"/>
      <c r="C315" s="14"/>
    </row>
    <row r="316" spans="1:3" ht="16.5">
      <c r="A316" s="14"/>
      <c r="B316" s="14"/>
      <c r="C316" s="14"/>
    </row>
    <row r="317" spans="1:3" ht="16.5">
      <c r="A317" s="14"/>
      <c r="B317" s="14"/>
      <c r="C317" s="14"/>
    </row>
    <row r="318" spans="1:3" ht="16.5">
      <c r="A318" s="14"/>
      <c r="B318" s="14"/>
      <c r="C318" s="14"/>
    </row>
    <row r="319" spans="1:3" ht="16.5">
      <c r="A319" s="14"/>
      <c r="B319" s="14"/>
      <c r="C319" s="14"/>
    </row>
    <row r="320" spans="1:3" ht="16.5">
      <c r="A320" s="14"/>
      <c r="B320" s="14"/>
      <c r="C320" s="14"/>
    </row>
    <row r="321" spans="1:3" ht="16.5">
      <c r="A321" s="14"/>
      <c r="B321" s="14"/>
      <c r="C321" s="14"/>
    </row>
    <row r="322" spans="1:3" ht="16.5">
      <c r="A322" s="14"/>
      <c r="B322" s="14"/>
      <c r="C322" s="14"/>
    </row>
    <row r="323" spans="1:3" ht="16.5">
      <c r="A323" s="14"/>
      <c r="B323" s="14"/>
      <c r="C323" s="14"/>
    </row>
    <row r="324" spans="1:3" ht="16.5">
      <c r="A324" s="14"/>
      <c r="B324" s="14"/>
      <c r="C324" s="14"/>
    </row>
    <row r="325" spans="1:3" ht="16.5">
      <c r="A325" s="14"/>
      <c r="B325" s="14"/>
      <c r="C325" s="14"/>
    </row>
    <row r="326" spans="1:3" ht="16.5">
      <c r="A326" s="14"/>
      <c r="B326" s="14"/>
      <c r="C326" s="14"/>
    </row>
    <row r="327" spans="1:3" ht="16.5">
      <c r="A327" s="14"/>
      <c r="B327" s="14"/>
      <c r="C327" s="14"/>
    </row>
    <row r="328" spans="1:3" ht="16.5">
      <c r="A328" s="14"/>
      <c r="B328" s="14"/>
      <c r="C328" s="14"/>
    </row>
    <row r="329" spans="1:3" ht="16.5">
      <c r="A329" s="14"/>
      <c r="B329" s="14"/>
      <c r="C329" s="14"/>
    </row>
    <row r="330" spans="1:3" ht="16.5">
      <c r="A330" s="14"/>
      <c r="B330" s="14"/>
      <c r="C330" s="14"/>
    </row>
    <row r="331" spans="1:3" ht="16.5">
      <c r="A331" s="14"/>
      <c r="B331" s="14"/>
      <c r="C331" s="14"/>
    </row>
    <row r="332" spans="1:3" ht="16.5">
      <c r="A332" s="14"/>
      <c r="B332" s="14"/>
      <c r="C332" s="14"/>
    </row>
    <row r="333" spans="1:3" ht="16.5">
      <c r="A333" s="14"/>
      <c r="B333" s="14"/>
      <c r="C333" s="14"/>
    </row>
    <row r="334" spans="1:3" ht="16.5">
      <c r="A334" s="14"/>
      <c r="B334" s="14"/>
      <c r="C334" s="14"/>
    </row>
    <row r="335" spans="1:3" ht="16.5">
      <c r="A335" s="14"/>
      <c r="B335" s="14"/>
      <c r="C335" s="14"/>
    </row>
    <row r="336" spans="1:3" ht="16.5">
      <c r="A336" s="14"/>
      <c r="B336" s="14"/>
      <c r="C336" s="14"/>
    </row>
    <row r="337" spans="1:3" ht="16.5">
      <c r="A337" s="14"/>
      <c r="B337" s="14"/>
      <c r="C337" s="14"/>
    </row>
    <row r="338" spans="1:3" ht="16.5">
      <c r="A338" s="14"/>
      <c r="B338" s="14"/>
      <c r="C338" s="14"/>
    </row>
    <row r="339" spans="1:3" ht="16.5">
      <c r="A339" s="14"/>
      <c r="B339" s="14"/>
      <c r="C339" s="14"/>
    </row>
    <row r="340" spans="1:3" ht="16.5">
      <c r="A340" s="14"/>
      <c r="B340" s="14"/>
      <c r="C340" s="14"/>
    </row>
    <row r="341" spans="1:3" ht="16.5">
      <c r="A341" s="14"/>
      <c r="B341" s="14"/>
      <c r="C341" s="14"/>
    </row>
    <row r="342" spans="1:3" ht="16.5">
      <c r="A342" s="14"/>
      <c r="B342" s="14"/>
      <c r="C342" s="14"/>
    </row>
    <row r="343" spans="1:3" ht="16.5">
      <c r="A343" s="14"/>
      <c r="B343" s="14"/>
      <c r="C343" s="14"/>
    </row>
    <row r="344" spans="1:3" ht="16.5">
      <c r="A344" s="14"/>
      <c r="B344" s="14"/>
      <c r="C344" s="14"/>
    </row>
    <row r="345" spans="1:3" ht="16.5">
      <c r="A345" s="14"/>
      <c r="B345" s="14"/>
      <c r="C345" s="14"/>
    </row>
    <row r="346" spans="1:3" ht="16.5">
      <c r="A346" s="14"/>
      <c r="B346" s="14"/>
      <c r="C346" s="14"/>
    </row>
    <row r="347" spans="1:3" ht="16.5">
      <c r="A347" s="14"/>
      <c r="B347" s="14"/>
      <c r="C347" s="14"/>
    </row>
    <row r="348" spans="1:3" ht="16.5">
      <c r="A348" s="14"/>
      <c r="B348" s="14"/>
      <c r="C348" s="14"/>
    </row>
    <row r="349" spans="1:3" ht="16.5">
      <c r="A349" s="14"/>
      <c r="B349" s="14"/>
      <c r="C349" s="14"/>
    </row>
    <row r="350" spans="1:3" ht="16.5">
      <c r="A350" s="14"/>
      <c r="B350" s="14"/>
      <c r="C350" s="14"/>
    </row>
    <row r="351" spans="1:3" ht="16.5">
      <c r="A351" s="14"/>
      <c r="B351" s="14"/>
      <c r="C351" s="14"/>
    </row>
    <row r="352" spans="1:3" ht="16.5">
      <c r="A352" s="14"/>
      <c r="B352" s="14"/>
      <c r="C352" s="14"/>
    </row>
    <row r="353" spans="1:3" ht="16.5">
      <c r="A353" s="14"/>
      <c r="B353" s="14"/>
      <c r="C353" s="14"/>
    </row>
    <row r="354" spans="1:3" ht="16.5">
      <c r="A354" s="14"/>
      <c r="B354" s="14"/>
      <c r="C354" s="14"/>
    </row>
    <row r="355" spans="1:3" ht="16.5">
      <c r="A355" s="14"/>
      <c r="B355" s="14"/>
      <c r="C355" s="14"/>
    </row>
    <row r="356" spans="1:3" ht="16.5">
      <c r="A356" s="14"/>
      <c r="B356" s="14"/>
      <c r="C356" s="14"/>
    </row>
    <row r="357" spans="1:3" ht="16.5">
      <c r="A357" s="14"/>
      <c r="B357" s="14"/>
      <c r="C357" s="14"/>
    </row>
    <row r="358" spans="1:3" ht="16.5">
      <c r="A358" s="14"/>
      <c r="B358" s="14"/>
      <c r="C358" s="14"/>
    </row>
    <row r="359" spans="1:3" ht="16.5">
      <c r="A359" s="14"/>
      <c r="B359" s="14"/>
      <c r="C359" s="14"/>
    </row>
    <row r="360" spans="1:3" ht="16.5">
      <c r="A360" s="14"/>
      <c r="B360" s="14"/>
      <c r="C360" s="14"/>
    </row>
    <row r="361" spans="1:3" ht="16.5">
      <c r="A361" s="14"/>
      <c r="B361" s="14"/>
      <c r="C361" s="14"/>
    </row>
    <row r="362" spans="1:3" ht="16.5">
      <c r="A362" s="14"/>
      <c r="B362" s="14"/>
      <c r="C362" s="14"/>
    </row>
    <row r="363" spans="1:3" ht="16.5">
      <c r="A363" s="14"/>
      <c r="B363" s="14"/>
      <c r="C363" s="14"/>
    </row>
    <row r="364" spans="1:3" ht="16.5">
      <c r="A364" s="14"/>
      <c r="B364" s="14"/>
      <c r="C364" s="14"/>
    </row>
    <row r="365" spans="1:3" ht="16.5">
      <c r="A365" s="14"/>
      <c r="B365" s="14"/>
      <c r="C365" s="14"/>
    </row>
    <row r="366" spans="1:3" ht="16.5">
      <c r="A366" s="14"/>
      <c r="B366" s="14"/>
      <c r="C366" s="14"/>
    </row>
    <row r="367" spans="1:3" ht="16.5">
      <c r="A367" s="14"/>
      <c r="B367" s="14"/>
      <c r="C367" s="14"/>
    </row>
    <row r="368" spans="1:3" ht="16.5">
      <c r="A368" s="14"/>
      <c r="B368" s="14"/>
      <c r="C368" s="14"/>
    </row>
    <row r="369" spans="1:3" ht="16.5">
      <c r="A369" s="14"/>
      <c r="B369" s="14"/>
      <c r="C369" s="14"/>
    </row>
    <row r="370" spans="1:3" ht="16.5">
      <c r="A370" s="14"/>
      <c r="B370" s="14"/>
      <c r="C370" s="14"/>
    </row>
    <row r="371" spans="1:3" ht="16.5">
      <c r="A371" s="14"/>
      <c r="B371" s="14"/>
      <c r="C371" s="14"/>
    </row>
    <row r="372" spans="1:3" ht="16.5">
      <c r="A372" s="14"/>
      <c r="B372" s="14"/>
      <c r="C372" s="14"/>
    </row>
    <row r="373" spans="1:3" ht="16.5">
      <c r="A373" s="14"/>
      <c r="B373" s="14"/>
      <c r="C373" s="14"/>
    </row>
    <row r="374" spans="1:3" ht="16.5">
      <c r="A374" s="14"/>
      <c r="B374" s="14"/>
      <c r="C374" s="14"/>
    </row>
    <row r="375" spans="1:3" ht="16.5">
      <c r="A375" s="14"/>
      <c r="B375" s="14"/>
      <c r="C375" s="14"/>
    </row>
    <row r="376" spans="1:3" ht="16.5">
      <c r="A376" s="14"/>
      <c r="B376" s="14"/>
      <c r="C376" s="14"/>
    </row>
    <row r="377" spans="1:3" ht="16.5">
      <c r="A377" s="14"/>
      <c r="B377" s="14"/>
      <c r="C377" s="14"/>
    </row>
    <row r="378" spans="1:3" ht="16.5">
      <c r="A378" s="14"/>
      <c r="B378" s="14"/>
      <c r="C378" s="14"/>
    </row>
    <row r="379" spans="1:3" ht="16.5">
      <c r="A379" s="14"/>
      <c r="B379" s="14"/>
      <c r="C379" s="14"/>
    </row>
    <row r="380" spans="1:3" ht="16.5">
      <c r="A380" s="14"/>
      <c r="B380" s="14"/>
      <c r="C380" s="14"/>
    </row>
    <row r="381" spans="1:3" ht="16.5">
      <c r="A381" s="14"/>
      <c r="B381" s="14"/>
      <c r="C381" s="14"/>
    </row>
    <row r="382" spans="1:3" ht="16.5">
      <c r="A382" s="14"/>
      <c r="B382" s="14"/>
      <c r="C382" s="14"/>
    </row>
    <row r="383" spans="1:3" ht="16.5">
      <c r="A383" s="14"/>
      <c r="B383" s="14"/>
      <c r="C383" s="14"/>
    </row>
    <row r="384" spans="1:3" ht="16.5">
      <c r="A384" s="14"/>
      <c r="B384" s="14"/>
      <c r="C384" s="14"/>
    </row>
    <row r="385" spans="1:3" ht="16.5">
      <c r="A385" s="14"/>
      <c r="B385" s="14"/>
      <c r="C385" s="14"/>
    </row>
    <row r="386" spans="1:3" ht="16.5">
      <c r="A386" s="14"/>
      <c r="B386" s="14"/>
      <c r="C386" s="14"/>
    </row>
    <row r="387" spans="1:3" ht="16.5">
      <c r="A387" s="14"/>
      <c r="B387" s="14"/>
      <c r="C387" s="14"/>
    </row>
    <row r="388" spans="1:3" ht="16.5">
      <c r="A388" s="14"/>
      <c r="B388" s="14"/>
      <c r="C388" s="14"/>
    </row>
    <row r="389" spans="1:3" ht="16.5">
      <c r="A389" s="14"/>
      <c r="B389" s="14"/>
      <c r="C389" s="14"/>
    </row>
    <row r="390" spans="1:3" ht="16.5">
      <c r="A390" s="14"/>
      <c r="B390" s="14"/>
      <c r="C390" s="14"/>
    </row>
    <row r="391" spans="1:3" ht="16.5">
      <c r="A391" s="14"/>
      <c r="B391" s="14"/>
      <c r="C391" s="14"/>
    </row>
    <row r="392" spans="1:3" ht="16.5">
      <c r="A392" s="14"/>
      <c r="B392" s="14"/>
      <c r="C392" s="14"/>
    </row>
    <row r="393" spans="1:3" ht="16.5">
      <c r="A393" s="14"/>
      <c r="B393" s="14"/>
      <c r="C393" s="14"/>
    </row>
    <row r="394" spans="1:3" ht="16.5">
      <c r="A394" s="14"/>
      <c r="B394" s="14"/>
      <c r="C394" s="14"/>
    </row>
    <row r="395" spans="1:3" ht="16.5">
      <c r="A395" s="14"/>
      <c r="B395" s="14"/>
      <c r="C395" s="14"/>
    </row>
    <row r="396" spans="1:3" ht="16.5">
      <c r="A396" s="14"/>
      <c r="B396" s="14"/>
      <c r="C396" s="14"/>
    </row>
    <row r="397" spans="1:3" ht="16.5">
      <c r="A397" s="14"/>
      <c r="B397" s="14"/>
      <c r="C397" s="14"/>
    </row>
    <row r="398" spans="1:3" ht="16.5">
      <c r="A398" s="14"/>
      <c r="B398" s="14"/>
      <c r="C398" s="14"/>
    </row>
    <row r="399" spans="1:3" ht="16.5">
      <c r="A399" s="14"/>
      <c r="B399" s="14"/>
      <c r="C399" s="14"/>
    </row>
    <row r="400" spans="1:3" ht="16.5">
      <c r="A400" s="14"/>
      <c r="B400" s="14"/>
      <c r="C400" s="14"/>
    </row>
    <row r="401" spans="1:3" ht="16.5">
      <c r="A401" s="14"/>
      <c r="B401" s="14"/>
      <c r="C401" s="14"/>
    </row>
    <row r="402" spans="1:3" ht="16.5">
      <c r="A402" s="14"/>
      <c r="B402" s="14"/>
      <c r="C402" s="14"/>
    </row>
    <row r="403" spans="1:3" ht="16.5">
      <c r="A403" s="14"/>
      <c r="B403" s="14"/>
      <c r="C403" s="14"/>
    </row>
    <row r="404" spans="1:3" ht="16.5">
      <c r="A404" s="14"/>
      <c r="B404" s="14"/>
      <c r="C404" s="14"/>
    </row>
    <row r="405" spans="1:3" ht="16.5">
      <c r="A405" s="14"/>
      <c r="B405" s="14"/>
      <c r="C405" s="14"/>
    </row>
    <row r="406" spans="1:3" ht="16.5">
      <c r="A406" s="14"/>
      <c r="B406" s="14"/>
      <c r="C406" s="14"/>
    </row>
    <row r="407" spans="1:3" ht="16.5">
      <c r="A407" s="14"/>
      <c r="B407" s="14"/>
      <c r="C407" s="14"/>
    </row>
    <row r="408" spans="1:3" ht="16.5">
      <c r="A408" s="14"/>
      <c r="B408" s="14"/>
      <c r="C408" s="14"/>
    </row>
    <row r="409" spans="1:3" ht="16.5">
      <c r="A409" s="14"/>
      <c r="B409" s="14"/>
      <c r="C409" s="14"/>
    </row>
    <row r="410" spans="1:3" ht="16.5">
      <c r="A410" s="14"/>
      <c r="B410" s="14"/>
      <c r="C410" s="14"/>
    </row>
    <row r="411" spans="1:3" ht="16.5">
      <c r="A411" s="14"/>
      <c r="B411" s="14"/>
      <c r="C411" s="14"/>
    </row>
    <row r="412" spans="1:3" ht="16.5">
      <c r="A412" s="14"/>
      <c r="B412" s="14"/>
      <c r="C412" s="14"/>
    </row>
    <row r="413" spans="1:3" ht="16.5">
      <c r="A413" s="14"/>
      <c r="B413" s="14"/>
      <c r="C413" s="14"/>
    </row>
    <row r="414" spans="1:3" ht="16.5">
      <c r="A414" s="14"/>
      <c r="B414" s="14"/>
      <c r="C414" s="14"/>
    </row>
    <row r="415" spans="1:3" ht="16.5">
      <c r="A415" s="14"/>
      <c r="B415" s="14"/>
      <c r="C415" s="14"/>
    </row>
    <row r="416" spans="1:3" ht="16.5">
      <c r="A416" s="14"/>
      <c r="B416" s="14"/>
      <c r="C416" s="14"/>
    </row>
    <row r="417" spans="1:3" ht="16.5">
      <c r="A417" s="14"/>
      <c r="B417" s="14"/>
      <c r="C417" s="14"/>
    </row>
    <row r="418" spans="1:3" ht="16.5">
      <c r="A418" s="14"/>
      <c r="B418" s="14"/>
      <c r="C418" s="14"/>
    </row>
    <row r="419" spans="1:3" ht="16.5">
      <c r="A419" s="14"/>
      <c r="B419" s="14"/>
      <c r="C419" s="14"/>
    </row>
    <row r="420" spans="1:3" ht="16.5">
      <c r="A420" s="14"/>
      <c r="B420" s="14"/>
      <c r="C420" s="14"/>
    </row>
    <row r="421" spans="1:3" ht="16.5">
      <c r="A421" s="14"/>
      <c r="B421" s="14"/>
      <c r="C421" s="14"/>
    </row>
    <row r="422" spans="1:3" ht="16.5">
      <c r="A422" s="14"/>
      <c r="B422" s="14"/>
      <c r="C422" s="14"/>
    </row>
    <row r="423" spans="1:3" ht="16.5">
      <c r="A423" s="14"/>
      <c r="B423" s="14"/>
      <c r="C423" s="14"/>
    </row>
    <row r="424" spans="1:3" ht="16.5">
      <c r="A424" s="14"/>
      <c r="B424" s="14"/>
      <c r="C424" s="14"/>
    </row>
    <row r="425" spans="1:3" ht="16.5">
      <c r="A425" s="14"/>
      <c r="B425" s="14"/>
      <c r="C425" s="14"/>
    </row>
    <row r="426" spans="1:3" ht="16.5">
      <c r="A426" s="14"/>
      <c r="B426" s="14"/>
      <c r="C426" s="14"/>
    </row>
    <row r="427" spans="1:3" ht="16.5">
      <c r="A427" s="14"/>
      <c r="B427" s="14"/>
      <c r="C427" s="14"/>
    </row>
    <row r="428" spans="1:3" ht="16.5">
      <c r="A428" s="14"/>
      <c r="B428" s="14"/>
      <c r="C428" s="14"/>
    </row>
    <row r="429" spans="1:3" ht="16.5">
      <c r="A429" s="14"/>
      <c r="B429" s="14"/>
      <c r="C429" s="14"/>
    </row>
    <row r="430" spans="1:3" ht="16.5">
      <c r="A430" s="14"/>
      <c r="B430" s="14"/>
      <c r="C430" s="14"/>
    </row>
    <row r="431" spans="1:3" ht="16.5">
      <c r="A431" s="14"/>
      <c r="B431" s="14"/>
      <c r="C431" s="14"/>
    </row>
    <row r="432" spans="1:3" ht="16.5">
      <c r="A432" s="14"/>
      <c r="B432" s="14"/>
      <c r="C432" s="14"/>
    </row>
    <row r="433" spans="1:3" ht="16.5">
      <c r="A433" s="14"/>
      <c r="B433" s="14"/>
      <c r="C433" s="14"/>
    </row>
    <row r="434" spans="1:3" ht="16.5">
      <c r="A434" s="14"/>
      <c r="B434" s="14"/>
      <c r="C434" s="14"/>
    </row>
    <row r="435" spans="1:3" ht="16.5">
      <c r="A435" s="14"/>
      <c r="B435" s="14"/>
      <c r="C435" s="14"/>
    </row>
    <row r="436" spans="1:3" ht="16.5">
      <c r="A436" s="14"/>
      <c r="B436" s="14"/>
      <c r="C436" s="14"/>
    </row>
    <row r="437" spans="1:3" ht="16.5">
      <c r="A437" s="14"/>
      <c r="B437" s="14"/>
      <c r="C437" s="14"/>
    </row>
    <row r="438" spans="1:3" ht="16.5">
      <c r="A438" s="14"/>
      <c r="B438" s="14"/>
      <c r="C438" s="14"/>
    </row>
    <row r="439" spans="1:3" ht="16.5">
      <c r="A439" s="14"/>
      <c r="B439" s="14"/>
      <c r="C439" s="14"/>
    </row>
    <row r="440" spans="1:3" ht="16.5">
      <c r="A440" s="14"/>
      <c r="B440" s="14"/>
      <c r="C440" s="14"/>
    </row>
    <row r="441" spans="1:3" ht="16.5">
      <c r="A441" s="14"/>
      <c r="B441" s="14"/>
      <c r="C441" s="14"/>
    </row>
    <row r="442" spans="1:3" ht="16.5">
      <c r="A442" s="14"/>
      <c r="B442" s="14"/>
      <c r="C442" s="14"/>
    </row>
    <row r="443" spans="1:3" ht="16.5">
      <c r="A443" s="14"/>
      <c r="B443" s="14"/>
      <c r="C443" s="14"/>
    </row>
    <row r="444" spans="1:3" ht="16.5">
      <c r="A444" s="14"/>
      <c r="B444" s="14"/>
      <c r="C444" s="14"/>
    </row>
    <row r="445" spans="1:3" ht="16.5">
      <c r="A445" s="14"/>
      <c r="B445" s="14"/>
      <c r="C445" s="14"/>
    </row>
    <row r="446" spans="1:3" ht="16.5">
      <c r="A446" s="14"/>
      <c r="B446" s="14"/>
      <c r="C446" s="14"/>
    </row>
    <row r="447" spans="1:3" ht="16.5">
      <c r="A447" s="14"/>
      <c r="B447" s="14"/>
      <c r="C447" s="14"/>
    </row>
    <row r="448" spans="1:3" ht="16.5">
      <c r="A448" s="14"/>
      <c r="B448" s="14"/>
      <c r="C448" s="14"/>
    </row>
    <row r="449" spans="1:3" ht="16.5">
      <c r="A449" s="14"/>
      <c r="B449" s="14"/>
      <c r="C449" s="14"/>
    </row>
    <row r="450" spans="1:3" ht="16.5">
      <c r="A450" s="14"/>
      <c r="B450" s="14"/>
      <c r="C450" s="14"/>
    </row>
    <row r="451" spans="1:3" ht="16.5">
      <c r="A451" s="14"/>
      <c r="B451" s="14"/>
      <c r="C451" s="14"/>
    </row>
    <row r="452" spans="1:3" ht="16.5">
      <c r="A452" s="14"/>
      <c r="B452" s="14"/>
      <c r="C452" s="14"/>
    </row>
    <row r="453" spans="1:3" ht="16.5">
      <c r="A453" s="14"/>
      <c r="B453" s="14"/>
      <c r="C453" s="14"/>
    </row>
    <row r="454" spans="1:3" ht="16.5">
      <c r="A454" s="14"/>
      <c r="B454" s="14"/>
      <c r="C454" s="14"/>
    </row>
    <row r="455" spans="1:3" ht="16.5">
      <c r="A455" s="14"/>
      <c r="B455" s="14"/>
      <c r="C455" s="14"/>
    </row>
    <row r="456" spans="1:3" ht="16.5">
      <c r="A456" s="14"/>
      <c r="B456" s="14"/>
      <c r="C456" s="14"/>
    </row>
    <row r="457" spans="1:3" ht="16.5">
      <c r="A457" s="14"/>
      <c r="B457" s="14"/>
      <c r="C457" s="14"/>
    </row>
    <row r="458" spans="1:3" ht="16.5">
      <c r="A458" s="14"/>
      <c r="B458" s="14"/>
      <c r="C458" s="14"/>
    </row>
    <row r="459" spans="1:3" ht="16.5">
      <c r="A459" s="14"/>
      <c r="B459" s="14"/>
      <c r="C459" s="14"/>
    </row>
    <row r="460" spans="1:3" ht="16.5">
      <c r="A460" s="14"/>
      <c r="B460" s="14"/>
      <c r="C460" s="14"/>
    </row>
    <row r="461" spans="1:3" ht="16.5">
      <c r="A461" s="14"/>
      <c r="B461" s="14"/>
      <c r="C461" s="14"/>
    </row>
    <row r="462" spans="1:3" ht="16.5">
      <c r="A462" s="14"/>
      <c r="B462" s="14"/>
      <c r="C462" s="14"/>
    </row>
    <row r="463" spans="1:3" ht="16.5">
      <c r="A463" s="14"/>
      <c r="B463" s="14"/>
      <c r="C463" s="14"/>
    </row>
    <row r="464" spans="1:3" ht="16.5">
      <c r="A464" s="14"/>
      <c r="B464" s="14"/>
      <c r="C464" s="14"/>
    </row>
    <row r="465" spans="1:3" ht="16.5">
      <c r="A465" s="14"/>
      <c r="B465" s="14"/>
      <c r="C465" s="14"/>
    </row>
    <row r="466" spans="1:3" ht="16.5">
      <c r="A466" s="14"/>
      <c r="B466" s="14"/>
      <c r="C466" s="14"/>
    </row>
    <row r="467" spans="1:3" ht="16.5">
      <c r="A467" s="14"/>
      <c r="B467" s="14"/>
      <c r="C467" s="14"/>
    </row>
    <row r="468" spans="1:3" ht="16.5">
      <c r="A468" s="14"/>
      <c r="B468" s="14"/>
      <c r="C468" s="14"/>
    </row>
    <row r="469" spans="1:3" ht="16.5">
      <c r="A469" s="14"/>
      <c r="B469" s="14"/>
      <c r="C469" s="14"/>
    </row>
    <row r="470" spans="1:3" ht="16.5">
      <c r="A470" s="14"/>
      <c r="B470" s="14"/>
      <c r="C470" s="14"/>
    </row>
    <row r="471" spans="1:3" ht="16.5">
      <c r="A471" s="14"/>
      <c r="B471" s="14"/>
      <c r="C471" s="14"/>
    </row>
    <row r="472" spans="1:3" ht="16.5">
      <c r="A472" s="14"/>
      <c r="B472" s="14"/>
      <c r="C472" s="14"/>
    </row>
    <row r="473" spans="1:3" ht="16.5">
      <c r="A473" s="14"/>
      <c r="B473" s="14"/>
      <c r="C473" s="14"/>
    </row>
    <row r="474" spans="1:3" ht="16.5">
      <c r="A474" s="14"/>
      <c r="B474" s="14"/>
      <c r="C474" s="14"/>
    </row>
    <row r="475" spans="1:3" ht="16.5">
      <c r="A475" s="14"/>
      <c r="B475" s="14"/>
      <c r="C475" s="14"/>
    </row>
    <row r="476" spans="1:3" ht="16.5">
      <c r="A476" s="14"/>
      <c r="B476" s="14"/>
      <c r="C476" s="14"/>
    </row>
    <row r="477" spans="1:3" ht="16.5">
      <c r="A477" s="14"/>
      <c r="B477" s="14"/>
      <c r="C477" s="14"/>
    </row>
    <row r="478" spans="1:3" ht="16.5">
      <c r="A478" s="14"/>
      <c r="B478" s="14"/>
      <c r="C478" s="14"/>
    </row>
    <row r="479" spans="1:3" ht="16.5">
      <c r="A479" s="14"/>
      <c r="B479" s="14"/>
      <c r="C479" s="14"/>
    </row>
    <row r="480" spans="1:3" ht="16.5">
      <c r="A480" s="14"/>
      <c r="B480" s="14"/>
      <c r="C480" s="14"/>
    </row>
    <row r="481" spans="1:3" ht="16.5">
      <c r="A481" s="14"/>
      <c r="B481" s="14"/>
      <c r="C481" s="14"/>
    </row>
    <row r="482" spans="1:3" ht="16.5">
      <c r="A482" s="14"/>
      <c r="B482" s="14"/>
      <c r="C482" s="14"/>
    </row>
    <row r="483" spans="1:3" ht="16.5">
      <c r="A483" s="14"/>
      <c r="B483" s="14"/>
      <c r="C483" s="14"/>
    </row>
    <row r="484" spans="1:3" ht="16.5">
      <c r="A484" s="14"/>
      <c r="B484" s="14"/>
      <c r="C484" s="14"/>
    </row>
    <row r="485" spans="1:3" ht="16.5">
      <c r="A485" s="14"/>
      <c r="B485" s="14"/>
      <c r="C485" s="14"/>
    </row>
    <row r="486" spans="1:3" ht="16.5">
      <c r="A486" s="14"/>
      <c r="B486" s="14"/>
      <c r="C486" s="14"/>
    </row>
    <row r="487" spans="1:3" ht="16.5">
      <c r="A487" s="14"/>
      <c r="B487" s="14"/>
      <c r="C487" s="14"/>
    </row>
    <row r="488" spans="1:3" ht="16.5">
      <c r="A488" s="14"/>
      <c r="B488" s="14"/>
      <c r="C488" s="14"/>
    </row>
    <row r="489" spans="1:3" ht="16.5">
      <c r="A489" s="14"/>
      <c r="B489" s="14"/>
      <c r="C489" s="14"/>
    </row>
    <row r="490" spans="1:3" ht="16.5">
      <c r="A490" s="14"/>
      <c r="B490" s="14"/>
      <c r="C490" s="14"/>
    </row>
    <row r="491" spans="1:3" ht="16.5">
      <c r="A491" s="14"/>
      <c r="B491" s="14"/>
      <c r="C491" s="14"/>
    </row>
    <row r="492" spans="1:3" ht="16.5">
      <c r="A492" s="14"/>
      <c r="B492" s="14"/>
      <c r="C492" s="14"/>
    </row>
    <row r="493" spans="1:3" ht="16.5">
      <c r="A493" s="14"/>
      <c r="B493" s="14"/>
      <c r="C493" s="14"/>
    </row>
    <row r="494" spans="1:3" ht="16.5">
      <c r="A494" s="14"/>
      <c r="B494" s="14"/>
      <c r="C494" s="14"/>
    </row>
    <row r="495" spans="1:3" ht="16.5">
      <c r="A495" s="14"/>
      <c r="B495" s="14"/>
      <c r="C495" s="14"/>
    </row>
    <row r="496" spans="1:3" ht="16.5">
      <c r="A496" s="14"/>
      <c r="B496" s="14"/>
      <c r="C496" s="14"/>
    </row>
    <row r="497" spans="1:3" ht="16.5">
      <c r="A497" s="14"/>
      <c r="B497" s="14"/>
      <c r="C497" s="14"/>
    </row>
    <row r="498" spans="1:3" ht="16.5">
      <c r="A498" s="14"/>
      <c r="B498" s="14"/>
      <c r="C498" s="14"/>
    </row>
    <row r="499" spans="1:3" ht="16.5">
      <c r="A499" s="14"/>
      <c r="B499" s="14"/>
      <c r="C499" s="14"/>
    </row>
    <row r="500" spans="1:3" ht="16.5">
      <c r="A500" s="14"/>
      <c r="B500" s="14"/>
      <c r="C500" s="14"/>
    </row>
    <row r="501" spans="1:3" ht="16.5">
      <c r="A501" s="14"/>
      <c r="B501" s="14"/>
      <c r="C501" s="14"/>
    </row>
    <row r="502" spans="1:3" ht="16.5">
      <c r="A502" s="14"/>
      <c r="B502" s="14"/>
      <c r="C502" s="14"/>
    </row>
    <row r="503" spans="1:3" ht="16.5">
      <c r="A503" s="14"/>
      <c r="B503" s="14"/>
      <c r="C503" s="14"/>
    </row>
    <row r="504" spans="1:3" ht="16.5">
      <c r="A504" s="14"/>
      <c r="B504" s="14"/>
      <c r="C504" s="14"/>
    </row>
    <row r="505" spans="1:3" ht="16.5">
      <c r="A505" s="14"/>
      <c r="B505" s="14"/>
      <c r="C505" s="14"/>
    </row>
    <row r="506" spans="1:3" ht="16.5">
      <c r="A506" s="14"/>
      <c r="B506" s="14"/>
      <c r="C506" s="14"/>
    </row>
    <row r="507" spans="1:3" ht="16.5">
      <c r="A507" s="14"/>
      <c r="B507" s="14"/>
      <c r="C507" s="14"/>
    </row>
    <row r="508" spans="1:3" ht="16.5">
      <c r="A508" s="14"/>
      <c r="B508" s="14"/>
      <c r="C508" s="14"/>
    </row>
    <row r="509" spans="1:3" ht="16.5">
      <c r="A509" s="14"/>
      <c r="B509" s="14"/>
      <c r="C509" s="14"/>
    </row>
    <row r="510" spans="1:3" ht="16.5">
      <c r="A510" s="14"/>
      <c r="B510" s="14"/>
      <c r="C510" s="14"/>
    </row>
    <row r="511" spans="1:3" ht="16.5">
      <c r="A511" s="14"/>
      <c r="B511" s="14"/>
      <c r="C511" s="14"/>
    </row>
    <row r="512" spans="1:3" ht="16.5">
      <c r="A512" s="14"/>
      <c r="B512" s="14"/>
      <c r="C512" s="14"/>
    </row>
    <row r="513" spans="1:3" ht="16.5">
      <c r="A513" s="14"/>
      <c r="B513" s="14"/>
      <c r="C513" s="14"/>
    </row>
    <row r="514" spans="1:3" ht="16.5">
      <c r="A514" s="14"/>
      <c r="B514" s="14"/>
      <c r="C514" s="14"/>
    </row>
    <row r="515" spans="1:3" ht="16.5">
      <c r="A515" s="14"/>
      <c r="B515" s="14"/>
      <c r="C515" s="14"/>
    </row>
    <row r="516" spans="1:3" ht="16.5">
      <c r="A516" s="14"/>
      <c r="B516" s="14"/>
      <c r="C516" s="14"/>
    </row>
    <row r="517" spans="1:3" ht="16.5">
      <c r="A517" s="14"/>
      <c r="B517" s="14"/>
      <c r="C517" s="14"/>
    </row>
    <row r="518" spans="1:3" ht="16.5">
      <c r="A518" s="14"/>
      <c r="B518" s="14"/>
      <c r="C518" s="14"/>
    </row>
    <row r="519" spans="1:3" ht="16.5">
      <c r="A519" s="14"/>
      <c r="B519" s="14"/>
      <c r="C519" s="14"/>
    </row>
    <row r="520" spans="1:3" ht="16.5">
      <c r="A520" s="14"/>
      <c r="B520" s="14"/>
      <c r="C520" s="14"/>
    </row>
    <row r="521" spans="1:3" ht="16.5">
      <c r="A521" s="14"/>
      <c r="B521" s="14"/>
      <c r="C521" s="14"/>
    </row>
    <row r="522" spans="1:3" ht="16.5">
      <c r="A522" s="14"/>
      <c r="B522" s="14"/>
      <c r="C522" s="14"/>
    </row>
    <row r="523" spans="1:3" ht="16.5">
      <c r="A523" s="14"/>
      <c r="B523" s="14"/>
      <c r="C523" s="14"/>
    </row>
    <row r="524" spans="1:3" ht="16.5">
      <c r="A524" s="14"/>
      <c r="B524" s="14"/>
      <c r="C524" s="14"/>
    </row>
    <row r="525" spans="1:3" ht="16.5">
      <c r="A525" s="14"/>
      <c r="B525" s="14"/>
      <c r="C525" s="14"/>
    </row>
    <row r="526" spans="1:3" ht="16.5">
      <c r="A526" s="14"/>
      <c r="B526" s="14"/>
      <c r="C526" s="14"/>
    </row>
    <row r="527" spans="1:3" ht="16.5">
      <c r="A527" s="14"/>
      <c r="B527" s="14"/>
      <c r="C527" s="14"/>
    </row>
    <row r="528" spans="1:3" ht="16.5">
      <c r="A528" s="14"/>
      <c r="B528" s="14"/>
      <c r="C528" s="14"/>
    </row>
    <row r="529" spans="1:3" ht="16.5">
      <c r="A529" s="14"/>
      <c r="B529" s="14"/>
      <c r="C529" s="14"/>
    </row>
    <row r="530" spans="1:3" ht="16.5">
      <c r="A530" s="14"/>
      <c r="B530" s="14"/>
      <c r="C530" s="14"/>
    </row>
    <row r="531" spans="1:3" ht="16.5">
      <c r="A531" s="14"/>
      <c r="B531" s="14"/>
      <c r="C531" s="14"/>
    </row>
    <row r="532" spans="1:3" ht="16.5">
      <c r="A532" s="14"/>
      <c r="B532" s="14"/>
      <c r="C532" s="14"/>
    </row>
    <row r="533" spans="1:3" ht="16.5">
      <c r="A533" s="14"/>
      <c r="B533" s="14"/>
      <c r="C533" s="14"/>
    </row>
    <row r="534" spans="1:3" ht="16.5">
      <c r="A534" s="14"/>
      <c r="B534" s="14"/>
      <c r="C534" s="14"/>
    </row>
    <row r="535" spans="1:3" ht="16.5">
      <c r="A535" s="14"/>
      <c r="B535" s="14"/>
      <c r="C535" s="14"/>
    </row>
    <row r="536" spans="1:3" ht="16.5">
      <c r="A536" s="14"/>
      <c r="B536" s="14"/>
      <c r="C536" s="14"/>
    </row>
    <row r="537" spans="1:3" ht="16.5">
      <c r="A537" s="14"/>
      <c r="B537" s="14"/>
      <c r="C537" s="14"/>
    </row>
    <row r="538" spans="1:3" ht="16.5">
      <c r="A538" s="14"/>
      <c r="B538" s="14"/>
      <c r="C538" s="14"/>
    </row>
    <row r="539" spans="1:3" ht="16.5">
      <c r="A539" s="14"/>
      <c r="B539" s="14"/>
      <c r="C539" s="14"/>
    </row>
    <row r="540" spans="1:3" ht="16.5">
      <c r="A540" s="14"/>
      <c r="B540" s="14"/>
      <c r="C540" s="14"/>
    </row>
    <row r="541" spans="1:3" ht="16.5">
      <c r="A541" s="14"/>
      <c r="B541" s="14"/>
      <c r="C541" s="14"/>
    </row>
    <row r="542" spans="1:3" ht="16.5">
      <c r="A542" s="14"/>
      <c r="B542" s="14"/>
      <c r="C542" s="14"/>
    </row>
    <row r="543" spans="1:3" ht="16.5">
      <c r="A543" s="14"/>
      <c r="B543" s="14"/>
      <c r="C543" s="14"/>
    </row>
    <row r="544" spans="1:3" ht="16.5">
      <c r="A544" s="14"/>
      <c r="B544" s="14"/>
      <c r="C544" s="14"/>
    </row>
    <row r="545" spans="1:3" ht="16.5">
      <c r="A545" s="14"/>
      <c r="B545" s="14"/>
      <c r="C545" s="14"/>
    </row>
    <row r="546" spans="1:3" ht="16.5">
      <c r="A546" s="14"/>
      <c r="B546" s="14"/>
      <c r="C546" s="14"/>
    </row>
    <row r="547" spans="1:3" ht="16.5">
      <c r="A547" s="14"/>
      <c r="B547" s="14"/>
      <c r="C547" s="14"/>
    </row>
    <row r="548" spans="1:3" ht="16.5">
      <c r="A548" s="14"/>
      <c r="B548" s="14"/>
      <c r="C548" s="14"/>
    </row>
    <row r="549" spans="1:3" ht="16.5">
      <c r="A549" s="14"/>
      <c r="B549" s="14"/>
      <c r="C549" s="14"/>
    </row>
    <row r="550" spans="1:3" ht="16.5">
      <c r="A550" s="14"/>
      <c r="B550" s="14"/>
      <c r="C550" s="14"/>
    </row>
    <row r="551" spans="1:3" ht="16.5">
      <c r="A551" s="14"/>
      <c r="B551" s="14"/>
      <c r="C551" s="14"/>
    </row>
    <row r="552" spans="1:3" ht="16.5">
      <c r="A552" s="14"/>
      <c r="B552" s="14"/>
      <c r="C552" s="14"/>
    </row>
    <row r="553" spans="1:3" ht="16.5">
      <c r="A553" s="14"/>
      <c r="B553" s="14"/>
      <c r="C553" s="14"/>
    </row>
    <row r="554" spans="1:3" ht="16.5">
      <c r="A554" s="14"/>
      <c r="B554" s="14"/>
      <c r="C554" s="14"/>
    </row>
    <row r="555" spans="1:3" ht="16.5">
      <c r="A555" s="14"/>
      <c r="B555" s="14"/>
      <c r="C555" s="14"/>
    </row>
    <row r="556" spans="1:3" ht="16.5">
      <c r="A556" s="14"/>
      <c r="B556" s="14"/>
      <c r="C556" s="14"/>
    </row>
    <row r="557" spans="1:3" ht="16.5">
      <c r="A557" s="14"/>
      <c r="B557" s="14"/>
      <c r="C557" s="14"/>
    </row>
    <row r="558" spans="1:3" ht="16.5">
      <c r="A558" s="14"/>
      <c r="B558" s="14"/>
      <c r="C558" s="14"/>
    </row>
    <row r="559" spans="1:3" ht="16.5">
      <c r="A559" s="14"/>
      <c r="B559" s="14"/>
      <c r="C559" s="14"/>
    </row>
    <row r="560" spans="1:3" ht="16.5">
      <c r="A560" s="14"/>
      <c r="B560" s="14"/>
      <c r="C560" s="14"/>
    </row>
    <row r="561" spans="1:3" ht="16.5">
      <c r="A561" s="14"/>
      <c r="B561" s="14"/>
      <c r="C561" s="14"/>
    </row>
    <row r="562" spans="1:3" ht="16.5">
      <c r="A562" s="14"/>
      <c r="B562" s="14"/>
      <c r="C562" s="14"/>
    </row>
    <row r="563" spans="1:3" ht="16.5">
      <c r="A563" s="14"/>
      <c r="B563" s="14"/>
      <c r="C563" s="14"/>
    </row>
    <row r="564" spans="1:3" ht="16.5">
      <c r="A564" s="14"/>
      <c r="B564" s="14"/>
      <c r="C564" s="14"/>
    </row>
    <row r="565" spans="1:3" ht="16.5">
      <c r="A565" s="14"/>
      <c r="B565" s="14"/>
      <c r="C565" s="14"/>
    </row>
    <row r="566" spans="1:3" ht="16.5">
      <c r="A566" s="14"/>
      <c r="B566" s="14"/>
      <c r="C566" s="14"/>
    </row>
    <row r="567" spans="1:3" ht="16.5">
      <c r="A567" s="14"/>
      <c r="B567" s="14"/>
      <c r="C567" s="14"/>
    </row>
    <row r="568" spans="1:3" ht="16.5">
      <c r="A568" s="14"/>
      <c r="B568" s="14"/>
      <c r="C568" s="14"/>
    </row>
    <row r="569" spans="1:3" ht="16.5">
      <c r="A569" s="14"/>
      <c r="B569" s="14"/>
      <c r="C569" s="14"/>
    </row>
    <row r="570" spans="1:3" ht="16.5">
      <c r="A570" s="14"/>
      <c r="B570" s="14"/>
      <c r="C570" s="14"/>
    </row>
    <row r="571" spans="1:3" ht="16.5">
      <c r="A571" s="14"/>
      <c r="B571" s="14"/>
      <c r="C571" s="14"/>
    </row>
    <row r="572" spans="1:3" ht="16.5">
      <c r="A572" s="14"/>
      <c r="B572" s="14"/>
      <c r="C572" s="14"/>
    </row>
    <row r="573" spans="1:3" ht="16.5">
      <c r="A573" s="14"/>
      <c r="B573" s="14"/>
      <c r="C573" s="14"/>
    </row>
    <row r="574" spans="1:3" ht="16.5">
      <c r="A574" s="14"/>
      <c r="B574" s="14"/>
      <c r="C574" s="14"/>
    </row>
    <row r="575" spans="1:3" ht="16.5">
      <c r="A575" s="14"/>
      <c r="B575" s="14"/>
      <c r="C575" s="14"/>
    </row>
    <row r="576" spans="1:3" ht="16.5">
      <c r="A576" s="14"/>
      <c r="B576" s="14"/>
      <c r="C576" s="14"/>
    </row>
    <row r="577" spans="1:3" ht="16.5">
      <c r="A577" s="14"/>
      <c r="B577" s="14"/>
      <c r="C577" s="14"/>
    </row>
    <row r="578" spans="1:3" ht="16.5">
      <c r="A578" s="14"/>
      <c r="B578" s="14"/>
      <c r="C578" s="14"/>
    </row>
    <row r="579" spans="1:3" ht="16.5">
      <c r="A579" s="14"/>
      <c r="B579" s="14"/>
      <c r="C579" s="14"/>
    </row>
    <row r="580" spans="1:3" ht="16.5">
      <c r="A580" s="14"/>
      <c r="B580" s="14"/>
      <c r="C580" s="14"/>
    </row>
    <row r="581" spans="1:3" ht="16.5">
      <c r="A581" s="14"/>
      <c r="B581" s="14"/>
      <c r="C581" s="14"/>
    </row>
    <row r="582" spans="1:3" ht="16.5">
      <c r="A582" s="14"/>
      <c r="B582" s="14"/>
      <c r="C582" s="14"/>
    </row>
    <row r="583" spans="1:3" ht="16.5">
      <c r="A583" s="14"/>
      <c r="B583" s="14"/>
      <c r="C583" s="14"/>
    </row>
    <row r="584" spans="1:3" ht="16.5">
      <c r="A584" s="14"/>
      <c r="B584" s="14"/>
      <c r="C584" s="14"/>
    </row>
    <row r="585" spans="1:3" ht="16.5">
      <c r="A585" s="14"/>
      <c r="B585" s="14"/>
      <c r="C585" s="14"/>
    </row>
    <row r="586" spans="1:3" ht="16.5">
      <c r="A586" s="14"/>
      <c r="B586" s="14"/>
      <c r="C586" s="14"/>
    </row>
    <row r="587" spans="1:3" ht="16.5">
      <c r="A587" s="14"/>
      <c r="B587" s="14"/>
      <c r="C587" s="14"/>
    </row>
    <row r="588" spans="1:3" ht="16.5">
      <c r="A588" s="14"/>
      <c r="B588" s="14"/>
      <c r="C588" s="14"/>
    </row>
    <row r="589" spans="1:3" ht="16.5">
      <c r="A589" s="14"/>
      <c r="B589" s="14"/>
      <c r="C589" s="14"/>
    </row>
    <row r="590" spans="1:3" ht="16.5">
      <c r="A590" s="14"/>
      <c r="B590" s="14"/>
      <c r="C590" s="14"/>
    </row>
    <row r="591" spans="1:3" ht="16.5">
      <c r="A591" s="14"/>
      <c r="B591" s="14"/>
      <c r="C591" s="14"/>
    </row>
    <row r="592" spans="1:3" ht="16.5">
      <c r="A592" s="14"/>
      <c r="B592" s="14"/>
      <c r="C592" s="14"/>
    </row>
    <row r="593" spans="1:3" ht="16.5">
      <c r="A593" s="14"/>
      <c r="B593" s="14"/>
      <c r="C593" s="14"/>
    </row>
    <row r="594" spans="1:3" ht="16.5">
      <c r="A594" s="14"/>
      <c r="B594" s="14"/>
      <c r="C594" s="14"/>
    </row>
    <row r="595" spans="1:3" ht="16.5">
      <c r="A595" s="14"/>
      <c r="B595" s="14"/>
      <c r="C595" s="14"/>
    </row>
    <row r="596" spans="1:3" ht="16.5">
      <c r="A596" s="14"/>
      <c r="B596" s="14"/>
      <c r="C596" s="14"/>
    </row>
    <row r="597" spans="1:3" ht="16.5">
      <c r="A597" s="14"/>
      <c r="B597" s="14"/>
      <c r="C597" s="14"/>
    </row>
    <row r="598" spans="1:3" ht="16.5">
      <c r="A598" s="14"/>
      <c r="B598" s="14"/>
      <c r="C598" s="14"/>
    </row>
    <row r="599" spans="1:3" ht="16.5">
      <c r="A599" s="14"/>
      <c r="B599" s="14"/>
      <c r="C599" s="14"/>
    </row>
    <row r="600" spans="1:3" ht="16.5">
      <c r="A600" s="14"/>
      <c r="B600" s="14"/>
      <c r="C600" s="14"/>
    </row>
    <row r="601" spans="1:3" ht="16.5">
      <c r="A601" s="14"/>
      <c r="B601" s="14"/>
      <c r="C601" s="14"/>
    </row>
    <row r="602" spans="1:3" ht="16.5">
      <c r="A602" s="14"/>
      <c r="B602" s="14"/>
      <c r="C602" s="14"/>
    </row>
    <row r="603" spans="1:3" ht="16.5">
      <c r="A603" s="14"/>
      <c r="B603" s="14"/>
      <c r="C603" s="14"/>
    </row>
    <row r="604" spans="1:3" ht="16.5">
      <c r="A604" s="14"/>
      <c r="B604" s="14"/>
      <c r="C604" s="14"/>
    </row>
    <row r="605" spans="1:3" ht="16.5">
      <c r="A605" s="14"/>
      <c r="B605" s="14"/>
      <c r="C605" s="14"/>
    </row>
    <row r="606" spans="1:3" ht="16.5">
      <c r="A606" s="14"/>
      <c r="B606" s="14"/>
      <c r="C606" s="14"/>
    </row>
    <row r="607" spans="1:3" ht="16.5">
      <c r="A607" s="14"/>
      <c r="B607" s="14"/>
      <c r="C607" s="14"/>
    </row>
    <row r="608" spans="1:3" ht="16.5">
      <c r="A608" s="14"/>
      <c r="B608" s="14"/>
      <c r="C608" s="14"/>
    </row>
    <row r="609" spans="1:3" ht="16.5">
      <c r="A609" s="14"/>
      <c r="B609" s="14"/>
      <c r="C609" s="14"/>
    </row>
    <row r="610" spans="1:3" ht="16.5">
      <c r="A610" s="14"/>
      <c r="B610" s="14"/>
      <c r="C610" s="14"/>
    </row>
    <row r="611" spans="1:3" ht="16.5">
      <c r="A611" s="14"/>
      <c r="B611" s="14"/>
      <c r="C611" s="14"/>
    </row>
    <row r="612" spans="1:3" ht="16.5">
      <c r="A612" s="14"/>
      <c r="B612" s="14"/>
      <c r="C612" s="14"/>
    </row>
    <row r="613" spans="1:3" ht="16.5">
      <c r="A613" s="14"/>
      <c r="B613" s="14"/>
      <c r="C613" s="14"/>
    </row>
    <row r="614" spans="1:3" ht="16.5">
      <c r="A614" s="14"/>
      <c r="B614" s="14"/>
      <c r="C614" s="14"/>
    </row>
    <row r="615" spans="1:3" ht="16.5">
      <c r="A615" s="14"/>
      <c r="B615" s="14"/>
      <c r="C615" s="14"/>
    </row>
    <row r="616" spans="1:3" ht="16.5">
      <c r="A616" s="14"/>
      <c r="B616" s="14"/>
      <c r="C616" s="14"/>
    </row>
    <row r="617" spans="1:3" ht="16.5">
      <c r="A617" s="14"/>
      <c r="B617" s="14"/>
      <c r="C617" s="14"/>
    </row>
    <row r="618" spans="1:3" ht="16.5">
      <c r="A618" s="14"/>
      <c r="B618" s="14"/>
      <c r="C618" s="14"/>
    </row>
    <row r="619" spans="1:3" ht="16.5">
      <c r="A619" s="14"/>
      <c r="B619" s="14"/>
      <c r="C619" s="14"/>
    </row>
    <row r="620" spans="1:3" ht="16.5">
      <c r="A620" s="14"/>
      <c r="B620" s="14"/>
      <c r="C620" s="14"/>
    </row>
    <row r="621" spans="1:3" ht="16.5">
      <c r="A621" s="14"/>
      <c r="B621" s="14"/>
      <c r="C621" s="14"/>
    </row>
    <row r="622" spans="1:3" ht="16.5">
      <c r="A622" s="14"/>
      <c r="B622" s="14"/>
      <c r="C622" s="14"/>
    </row>
    <row r="623" spans="1:3" ht="16.5">
      <c r="A623" s="14"/>
      <c r="B623" s="14"/>
      <c r="C623" s="14"/>
    </row>
    <row r="624" spans="1:3" ht="16.5">
      <c r="A624" s="14"/>
      <c r="B624" s="14"/>
      <c r="C624" s="14"/>
    </row>
    <row r="625" spans="1:3" ht="16.5">
      <c r="A625" s="14"/>
      <c r="B625" s="14"/>
      <c r="C625" s="14"/>
    </row>
    <row r="626" spans="1:3" ht="16.5">
      <c r="A626" s="14"/>
      <c r="B626" s="14"/>
      <c r="C626" s="14"/>
    </row>
    <row r="627" spans="1:3" ht="16.5">
      <c r="A627" s="14"/>
      <c r="B627" s="14"/>
      <c r="C627" s="14"/>
    </row>
    <row r="628" spans="1:3" ht="16.5">
      <c r="A628" s="14"/>
      <c r="B628" s="14"/>
      <c r="C628" s="14"/>
    </row>
    <row r="629" spans="1:3" ht="16.5">
      <c r="A629" s="14"/>
      <c r="B629" s="14"/>
      <c r="C629" s="14"/>
    </row>
    <row r="630" spans="1:3" ht="16.5">
      <c r="A630" s="14"/>
      <c r="B630" s="14"/>
      <c r="C630" s="14"/>
    </row>
    <row r="631" spans="1:3" ht="16.5">
      <c r="A631" s="14"/>
      <c r="B631" s="14"/>
      <c r="C631" s="14"/>
    </row>
    <row r="632" spans="1:3" ht="16.5">
      <c r="A632" s="14"/>
      <c r="B632" s="14"/>
      <c r="C632" s="14"/>
    </row>
    <row r="633" spans="1:3" ht="16.5">
      <c r="A633" s="14"/>
      <c r="B633" s="14"/>
      <c r="C633" s="14"/>
    </row>
    <row r="634" spans="1:3" ht="16.5">
      <c r="A634" s="14"/>
      <c r="B634" s="14"/>
      <c r="C634" s="14"/>
    </row>
    <row r="635" spans="1:3" ht="16.5">
      <c r="A635" s="14"/>
      <c r="B635" s="14"/>
      <c r="C635" s="14"/>
    </row>
    <row r="636" spans="1:3" ht="16.5">
      <c r="A636" s="14"/>
      <c r="B636" s="14"/>
      <c r="C636" s="14"/>
    </row>
    <row r="637" spans="1:3" ht="16.5">
      <c r="A637" s="14"/>
      <c r="B637" s="14"/>
      <c r="C637" s="14"/>
    </row>
    <row r="638" spans="1:3" ht="16.5">
      <c r="A638" s="14"/>
      <c r="B638" s="14"/>
      <c r="C638" s="14"/>
    </row>
    <row r="639" spans="1:3" ht="16.5">
      <c r="A639" s="14"/>
      <c r="B639" s="14"/>
      <c r="C639" s="14"/>
    </row>
    <row r="640" spans="1:3" ht="16.5">
      <c r="A640" s="14"/>
      <c r="B640" s="14"/>
      <c r="C640" s="14"/>
    </row>
    <row r="641" spans="1:3" ht="16.5">
      <c r="A641" s="14"/>
      <c r="B641" s="14"/>
      <c r="C641" s="14"/>
    </row>
    <row r="642" spans="1:3" ht="16.5">
      <c r="A642" s="14"/>
      <c r="B642" s="14"/>
      <c r="C642" s="14"/>
    </row>
    <row r="643" spans="1:3" ht="16.5">
      <c r="A643" s="14"/>
      <c r="B643" s="14"/>
      <c r="C643" s="14"/>
    </row>
    <row r="644" spans="1:3" ht="16.5">
      <c r="A644" s="14"/>
      <c r="B644" s="14"/>
      <c r="C644" s="14"/>
    </row>
    <row r="645" spans="1:3" ht="16.5">
      <c r="A645" s="14"/>
      <c r="B645" s="14"/>
      <c r="C645" s="14"/>
    </row>
    <row r="646" spans="1:3" ht="16.5">
      <c r="A646" s="14"/>
      <c r="B646" s="14"/>
      <c r="C646" s="14"/>
    </row>
    <row r="647" spans="1:3" ht="16.5">
      <c r="A647" s="14"/>
      <c r="B647" s="14"/>
      <c r="C647" s="14"/>
    </row>
    <row r="648" spans="1:3" ht="16.5">
      <c r="A648" s="14"/>
      <c r="B648" s="14"/>
      <c r="C648" s="14"/>
    </row>
    <row r="649" spans="1:3" ht="16.5">
      <c r="A649" s="14"/>
      <c r="B649" s="14"/>
      <c r="C649" s="14"/>
    </row>
    <row r="650" spans="1:3" ht="16.5">
      <c r="A650" s="14"/>
      <c r="B650" s="14"/>
      <c r="C650" s="14"/>
    </row>
    <row r="651" spans="1:3" ht="16.5">
      <c r="A651" s="14"/>
      <c r="B651" s="14"/>
      <c r="C651" s="14"/>
    </row>
    <row r="652" spans="1:3" ht="16.5">
      <c r="A652" s="14"/>
      <c r="B652" s="14"/>
      <c r="C652" s="14"/>
    </row>
    <row r="653" spans="1:3" ht="16.5">
      <c r="A653" s="14"/>
      <c r="B653" s="14"/>
      <c r="C653" s="14"/>
    </row>
    <row r="654" spans="1:3" ht="16.5">
      <c r="A654" s="14"/>
      <c r="B654" s="14"/>
      <c r="C654" s="14"/>
    </row>
    <row r="655" spans="1:3" ht="16.5">
      <c r="A655" s="14"/>
      <c r="B655" s="14"/>
      <c r="C655" s="14"/>
    </row>
    <row r="656" spans="1:3" ht="16.5">
      <c r="A656" s="14"/>
      <c r="B656" s="14"/>
      <c r="C656" s="14"/>
    </row>
    <row r="657" spans="1:3" ht="16.5">
      <c r="A657" s="14"/>
      <c r="B657" s="14"/>
      <c r="C657" s="14"/>
    </row>
    <row r="658" spans="1:3" ht="16.5">
      <c r="A658" s="14"/>
      <c r="B658" s="14"/>
      <c r="C658" s="14"/>
    </row>
    <row r="659" spans="1:3" ht="16.5">
      <c r="A659" s="14"/>
      <c r="B659" s="14"/>
      <c r="C659" s="14"/>
    </row>
    <row r="660" spans="1:3" ht="16.5">
      <c r="A660" s="14"/>
      <c r="B660" s="14"/>
      <c r="C660" s="14"/>
    </row>
    <row r="661" spans="1:3" ht="16.5">
      <c r="A661" s="14"/>
      <c r="B661" s="14"/>
      <c r="C661" s="14"/>
    </row>
    <row r="662" spans="1:3" ht="16.5">
      <c r="A662" s="14"/>
      <c r="B662" s="14"/>
      <c r="C662" s="14"/>
    </row>
    <row r="663" spans="1:3" ht="16.5">
      <c r="A663" s="14"/>
      <c r="B663" s="14"/>
      <c r="C663" s="14"/>
    </row>
    <row r="664" spans="1:3" ht="16.5">
      <c r="A664" s="14"/>
      <c r="B664" s="14"/>
      <c r="C664" s="14"/>
    </row>
    <row r="665" spans="1:3" ht="16.5">
      <c r="A665" s="14"/>
      <c r="B665" s="14"/>
      <c r="C665" s="14"/>
    </row>
    <row r="666" spans="1:3" ht="16.5">
      <c r="A666" s="14"/>
      <c r="B666" s="14"/>
      <c r="C666" s="14"/>
    </row>
    <row r="667" spans="1:3" ht="16.5">
      <c r="A667" s="14"/>
      <c r="B667" s="14"/>
      <c r="C667" s="14"/>
    </row>
    <row r="668" spans="1:3" ht="16.5">
      <c r="A668" s="14"/>
      <c r="B668" s="14"/>
      <c r="C668" s="14"/>
    </row>
    <row r="669" spans="1:3" ht="16.5">
      <c r="A669" s="14"/>
      <c r="B669" s="14"/>
      <c r="C669" s="14"/>
    </row>
    <row r="670" spans="1:3" ht="16.5">
      <c r="A670" s="14"/>
      <c r="B670" s="14"/>
      <c r="C670" s="14"/>
    </row>
    <row r="671" spans="1:3" ht="16.5">
      <c r="A671" s="14"/>
      <c r="B671" s="14"/>
      <c r="C671" s="14"/>
    </row>
    <row r="672" spans="1:3" ht="16.5">
      <c r="A672" s="14"/>
      <c r="B672" s="14"/>
      <c r="C672" s="14"/>
    </row>
    <row r="673" spans="1:3" ht="16.5">
      <c r="A673" s="14"/>
      <c r="B673" s="14"/>
      <c r="C673" s="14"/>
    </row>
    <row r="674" spans="1:3" ht="16.5">
      <c r="A674" s="14"/>
      <c r="B674" s="14"/>
      <c r="C674" s="14"/>
    </row>
    <row r="675" spans="1:3" ht="16.5">
      <c r="A675" s="14"/>
      <c r="B675" s="14"/>
      <c r="C675" s="14"/>
    </row>
    <row r="676" spans="1:3" ht="16.5">
      <c r="A676" s="14"/>
      <c r="B676" s="14"/>
      <c r="C676" s="14"/>
    </row>
    <row r="677" spans="1:3" ht="16.5">
      <c r="A677" s="14"/>
      <c r="B677" s="14"/>
      <c r="C677" s="14"/>
    </row>
    <row r="678" spans="1:3" ht="16.5">
      <c r="A678" s="14"/>
      <c r="B678" s="14"/>
      <c r="C678" s="14"/>
    </row>
    <row r="679" spans="1:3" ht="16.5">
      <c r="A679" s="14"/>
      <c r="B679" s="14"/>
      <c r="C679" s="14"/>
    </row>
    <row r="680" spans="1:3" ht="16.5">
      <c r="A680" s="14"/>
      <c r="B680" s="14"/>
      <c r="C680" s="14"/>
    </row>
    <row r="681" spans="1:3" ht="16.5">
      <c r="A681" s="14"/>
      <c r="B681" s="14"/>
      <c r="C681" s="14"/>
    </row>
    <row r="682" spans="1:3" ht="16.5">
      <c r="A682" s="14"/>
      <c r="B682" s="14"/>
      <c r="C682" s="14"/>
    </row>
    <row r="683" spans="1:3" ht="16.5">
      <c r="A683" s="14"/>
      <c r="B683" s="14"/>
      <c r="C683" s="14"/>
    </row>
    <row r="684" spans="1:3" ht="16.5">
      <c r="A684" s="14"/>
      <c r="B684" s="14"/>
      <c r="C684" s="14"/>
    </row>
    <row r="685" spans="1:3" ht="16.5">
      <c r="A685" s="14"/>
      <c r="B685" s="14"/>
      <c r="C685" s="14"/>
    </row>
    <row r="686" spans="1:3" ht="16.5">
      <c r="A686" s="14"/>
      <c r="B686" s="14"/>
      <c r="C686" s="14"/>
    </row>
    <row r="687" spans="1:3" ht="16.5">
      <c r="A687" s="14"/>
      <c r="B687" s="14"/>
      <c r="C687" s="14"/>
    </row>
    <row r="688" spans="1:3" ht="16.5">
      <c r="A688" s="14"/>
      <c r="B688" s="14"/>
      <c r="C688" s="14"/>
    </row>
    <row r="689" spans="1:3" ht="16.5">
      <c r="A689" s="14"/>
      <c r="B689" s="14"/>
      <c r="C689" s="14"/>
    </row>
    <row r="690" spans="1:3" ht="16.5">
      <c r="A690" s="14"/>
      <c r="B690" s="14"/>
      <c r="C690" s="14"/>
    </row>
    <row r="691" spans="1:3" ht="16.5">
      <c r="A691" s="14"/>
      <c r="B691" s="14"/>
      <c r="C691" s="14"/>
    </row>
    <row r="692" spans="1:3" ht="16.5">
      <c r="A692" s="14"/>
      <c r="B692" s="14"/>
      <c r="C692" s="14"/>
    </row>
    <row r="693" spans="1:3" ht="16.5">
      <c r="A693" s="14"/>
      <c r="B693" s="14"/>
      <c r="C693" s="14"/>
    </row>
    <row r="694" spans="1:3" ht="16.5">
      <c r="A694" s="14"/>
      <c r="B694" s="14"/>
      <c r="C694" s="14"/>
    </row>
    <row r="695" spans="1:3" ht="16.5">
      <c r="A695" s="14"/>
      <c r="B695" s="14"/>
      <c r="C695" s="14"/>
    </row>
    <row r="696" spans="1:3" ht="16.5">
      <c r="A696" s="14"/>
      <c r="B696" s="14"/>
      <c r="C696" s="14"/>
    </row>
    <row r="697" spans="1:3" ht="16.5">
      <c r="A697" s="14"/>
      <c r="B697" s="14"/>
      <c r="C697" s="14"/>
    </row>
    <row r="698" spans="1:3" ht="16.5">
      <c r="A698" s="14"/>
      <c r="B698" s="14"/>
      <c r="C698" s="14"/>
    </row>
    <row r="699" spans="1:3" ht="16.5">
      <c r="A699" s="14"/>
      <c r="B699" s="14"/>
      <c r="C699" s="14"/>
    </row>
    <row r="700" spans="1:3" ht="16.5">
      <c r="A700" s="14"/>
      <c r="B700" s="14"/>
      <c r="C700" s="14"/>
    </row>
    <row r="701" spans="1:3" ht="16.5">
      <c r="A701" s="14"/>
      <c r="B701" s="14"/>
      <c r="C701" s="14"/>
    </row>
    <row r="702" spans="1:3" ht="16.5">
      <c r="A702" s="14"/>
      <c r="B702" s="14"/>
      <c r="C702" s="14"/>
    </row>
    <row r="703" spans="1:3" ht="16.5">
      <c r="A703" s="14"/>
      <c r="B703" s="14"/>
      <c r="C703" s="14"/>
    </row>
    <row r="704" spans="1:3" ht="16.5">
      <c r="A704" s="14"/>
      <c r="B704" s="14"/>
      <c r="C704" s="14"/>
    </row>
    <row r="705" spans="1:3" ht="16.5">
      <c r="A705" s="14"/>
      <c r="B705" s="14"/>
      <c r="C705" s="14"/>
    </row>
    <row r="706" spans="1:3" ht="16.5">
      <c r="A706" s="14"/>
      <c r="B706" s="14"/>
      <c r="C706" s="14"/>
    </row>
    <row r="707" spans="1:3" ht="16.5">
      <c r="A707" s="14"/>
      <c r="B707" s="14"/>
      <c r="C707" s="14"/>
    </row>
    <row r="708" spans="1:3" ht="16.5">
      <c r="A708" s="14"/>
      <c r="B708" s="14"/>
      <c r="C708" s="14"/>
    </row>
    <row r="709" spans="1:3" ht="16.5">
      <c r="A709" s="14"/>
      <c r="B709" s="14"/>
      <c r="C709" s="14"/>
    </row>
    <row r="710" spans="1:3" ht="16.5">
      <c r="A710" s="14"/>
      <c r="B710" s="14"/>
      <c r="C710" s="14"/>
    </row>
    <row r="711" spans="1:3" ht="16.5">
      <c r="A711" s="14"/>
      <c r="B711" s="14"/>
      <c r="C711" s="14"/>
    </row>
    <row r="712" spans="1:3" ht="16.5">
      <c r="A712" s="14"/>
      <c r="B712" s="14"/>
      <c r="C712" s="14"/>
    </row>
    <row r="713" spans="1:3" ht="16.5">
      <c r="A713" s="14"/>
      <c r="B713" s="14"/>
      <c r="C713" s="14"/>
    </row>
    <row r="714" spans="1:3" ht="16.5">
      <c r="A714" s="14"/>
      <c r="B714" s="14"/>
      <c r="C714" s="14"/>
    </row>
    <row r="715" spans="1:3" ht="16.5">
      <c r="A715" s="14"/>
      <c r="B715" s="14"/>
      <c r="C715" s="14"/>
    </row>
    <row r="716" spans="1:3" ht="16.5">
      <c r="A716" s="14"/>
      <c r="B716" s="14"/>
      <c r="C716" s="14"/>
    </row>
    <row r="717" spans="1:3" ht="16.5">
      <c r="A717" s="14"/>
      <c r="B717" s="14"/>
      <c r="C717" s="14"/>
    </row>
    <row r="718" spans="1:3" ht="16.5">
      <c r="A718" s="14"/>
      <c r="B718" s="14"/>
      <c r="C718" s="14"/>
    </row>
    <row r="719" spans="1:3" ht="16.5">
      <c r="A719" s="14"/>
      <c r="B719" s="14"/>
      <c r="C719" s="14"/>
    </row>
    <row r="720" spans="1:3" ht="16.5">
      <c r="A720" s="14"/>
      <c r="B720" s="14"/>
      <c r="C720" s="14"/>
    </row>
    <row r="721" spans="1:3" ht="16.5">
      <c r="A721" s="14"/>
      <c r="B721" s="14"/>
      <c r="C721" s="14"/>
    </row>
    <row r="722" spans="1:3" ht="16.5">
      <c r="A722" s="14"/>
      <c r="B722" s="14"/>
      <c r="C722" s="14"/>
    </row>
    <row r="723" spans="1:3" ht="16.5">
      <c r="A723" s="14"/>
      <c r="B723" s="14"/>
      <c r="C723" s="14"/>
    </row>
    <row r="724" spans="1:3" ht="16.5">
      <c r="A724" s="14"/>
      <c r="B724" s="14"/>
      <c r="C724" s="14"/>
    </row>
    <row r="725" spans="1:3" ht="16.5">
      <c r="A725" s="14"/>
      <c r="B725" s="14"/>
      <c r="C725" s="14"/>
    </row>
    <row r="726" spans="1:3" ht="16.5">
      <c r="A726" s="14"/>
      <c r="B726" s="14"/>
      <c r="C726" s="14"/>
    </row>
    <row r="727" spans="1:3" ht="16.5">
      <c r="A727" s="14"/>
      <c r="B727" s="14"/>
      <c r="C727" s="14"/>
    </row>
    <row r="728" spans="1:3" ht="16.5">
      <c r="A728" s="14"/>
      <c r="B728" s="14"/>
      <c r="C728" s="14"/>
    </row>
    <row r="729" spans="1:3" ht="16.5">
      <c r="A729" s="14"/>
      <c r="B729" s="14"/>
      <c r="C729" s="14"/>
    </row>
    <row r="730" spans="1:3" ht="16.5">
      <c r="A730" s="14"/>
      <c r="B730" s="14"/>
      <c r="C730" s="14"/>
    </row>
    <row r="731" spans="1:3" ht="16.5">
      <c r="A731" s="14"/>
      <c r="B731" s="14"/>
      <c r="C731" s="14"/>
    </row>
    <row r="732" spans="1:3" ht="16.5">
      <c r="A732" s="14"/>
      <c r="B732" s="14"/>
      <c r="C732" s="14"/>
    </row>
    <row r="733" spans="1:3" ht="16.5">
      <c r="A733" s="14"/>
      <c r="B733" s="14"/>
      <c r="C733" s="14"/>
    </row>
    <row r="734" spans="1:3" ht="16.5">
      <c r="A734" s="14"/>
      <c r="B734" s="14"/>
      <c r="C734" s="14"/>
    </row>
    <row r="735" spans="1:3" ht="16.5">
      <c r="A735" s="14"/>
      <c r="B735" s="14"/>
      <c r="C735" s="14"/>
    </row>
    <row r="736" spans="1:3" ht="16.5">
      <c r="A736" s="14"/>
      <c r="B736" s="14"/>
      <c r="C736" s="14"/>
    </row>
    <row r="737" spans="1:3" ht="16.5">
      <c r="A737" s="14"/>
      <c r="B737" s="14"/>
      <c r="C737" s="14"/>
    </row>
    <row r="738" spans="1:3" ht="16.5">
      <c r="A738" s="14"/>
      <c r="B738" s="14"/>
      <c r="C738" s="14"/>
    </row>
    <row r="739" spans="1:3" ht="16.5">
      <c r="A739" s="14"/>
      <c r="B739" s="14"/>
      <c r="C739" s="14"/>
    </row>
    <row r="740" spans="1:3" ht="16.5">
      <c r="A740" s="14"/>
      <c r="B740" s="14"/>
      <c r="C740" s="14"/>
    </row>
    <row r="741" spans="1:3" ht="16.5">
      <c r="A741" s="14"/>
      <c r="B741" s="14"/>
      <c r="C741" s="14"/>
    </row>
    <row r="742" spans="1:3" ht="16.5">
      <c r="A742" s="14"/>
      <c r="B742" s="14"/>
      <c r="C742" s="14"/>
    </row>
    <row r="743" spans="1:3" ht="16.5">
      <c r="A743" s="14"/>
      <c r="B743" s="14"/>
      <c r="C743" s="14"/>
    </row>
    <row r="744" spans="1:3" ht="16.5">
      <c r="A744" s="14"/>
      <c r="B744" s="14"/>
      <c r="C744" s="14"/>
    </row>
    <row r="745" spans="1:3" ht="16.5">
      <c r="A745" s="14"/>
      <c r="B745" s="14"/>
      <c r="C745" s="14"/>
    </row>
    <row r="746" spans="1:3" ht="16.5">
      <c r="A746" s="14"/>
      <c r="B746" s="14"/>
      <c r="C746" s="14"/>
    </row>
    <row r="747" spans="1:3" ht="16.5">
      <c r="A747" s="14"/>
      <c r="B747" s="14"/>
      <c r="C747" s="14"/>
    </row>
    <row r="748" spans="1:3" ht="16.5">
      <c r="A748" s="14"/>
      <c r="B748" s="14"/>
      <c r="C748" s="14"/>
    </row>
    <row r="749" spans="1:3" ht="16.5">
      <c r="A749" s="14"/>
      <c r="B749" s="14"/>
      <c r="C749" s="14"/>
    </row>
    <row r="750" spans="1:3" ht="16.5">
      <c r="A750" s="14"/>
      <c r="B750" s="14"/>
      <c r="C750" s="14"/>
    </row>
    <row r="751" spans="1:3" ht="16.5">
      <c r="A751" s="14"/>
      <c r="B751" s="14"/>
      <c r="C751" s="14"/>
    </row>
    <row r="752" spans="1:3" ht="16.5">
      <c r="A752" s="14"/>
      <c r="B752" s="14"/>
      <c r="C752" s="14"/>
    </row>
    <row r="753" spans="1:3" ht="16.5">
      <c r="A753" s="14"/>
      <c r="B753" s="14"/>
      <c r="C753" s="14"/>
    </row>
    <row r="754" spans="1:3" ht="16.5">
      <c r="A754" s="14"/>
      <c r="B754" s="14"/>
      <c r="C754" s="14"/>
    </row>
    <row r="755" spans="1:3" ht="16.5">
      <c r="A755" s="14"/>
      <c r="B755" s="14"/>
      <c r="C755" s="14"/>
    </row>
    <row r="756" spans="1:3" ht="16.5">
      <c r="A756" s="14"/>
      <c r="B756" s="14"/>
      <c r="C756" s="14"/>
    </row>
    <row r="757" spans="1:3" ht="16.5">
      <c r="A757" s="14"/>
      <c r="B757" s="14"/>
      <c r="C757" s="14"/>
    </row>
    <row r="758" spans="1:3" ht="16.5">
      <c r="A758" s="14"/>
      <c r="B758" s="14"/>
      <c r="C758" s="14"/>
    </row>
    <row r="759" spans="1:3" ht="16.5">
      <c r="A759" s="14"/>
      <c r="B759" s="14"/>
      <c r="C759" s="14"/>
    </row>
    <row r="760" spans="1:3" ht="16.5">
      <c r="A760" s="14"/>
      <c r="B760" s="14"/>
      <c r="C760" s="14"/>
    </row>
    <row r="761" spans="1:3" ht="16.5">
      <c r="A761" s="14"/>
      <c r="B761" s="14"/>
      <c r="C761" s="14"/>
    </row>
    <row r="762" spans="1:3" ht="16.5">
      <c r="A762" s="14"/>
      <c r="B762" s="14"/>
      <c r="C762" s="14"/>
    </row>
    <row r="763" spans="1:3" ht="16.5">
      <c r="A763" s="14"/>
      <c r="B763" s="14"/>
      <c r="C763" s="14"/>
    </row>
    <row r="764" spans="1:3" ht="16.5">
      <c r="A764" s="14"/>
      <c r="B764" s="14"/>
      <c r="C764" s="14"/>
    </row>
    <row r="765" spans="1:3" ht="16.5">
      <c r="A765" s="14"/>
      <c r="B765" s="14"/>
      <c r="C765" s="14"/>
    </row>
    <row r="766" spans="1:3" ht="16.5">
      <c r="A766" s="14"/>
      <c r="B766" s="14"/>
      <c r="C766" s="14"/>
    </row>
    <row r="767" spans="1:3" ht="16.5">
      <c r="A767" s="14"/>
      <c r="B767" s="14"/>
      <c r="C767" s="14"/>
    </row>
    <row r="768" spans="1:3" ht="16.5">
      <c r="A768" s="14"/>
      <c r="B768" s="14"/>
      <c r="C768" s="14"/>
    </row>
    <row r="769" spans="1:3" ht="16.5">
      <c r="A769" s="14"/>
      <c r="B769" s="14"/>
      <c r="C769" s="14"/>
    </row>
    <row r="770" spans="1:3" ht="16.5">
      <c r="A770" s="14"/>
      <c r="B770" s="14"/>
      <c r="C770" s="14"/>
    </row>
    <row r="771" spans="1:3" ht="16.5">
      <c r="A771" s="14"/>
      <c r="B771" s="14"/>
      <c r="C771" s="14"/>
    </row>
    <row r="772" spans="1:3" ht="16.5">
      <c r="A772" s="14"/>
      <c r="B772" s="14"/>
      <c r="C772" s="14"/>
    </row>
    <row r="773" spans="1:3" ht="16.5">
      <c r="A773" s="14"/>
      <c r="B773" s="14"/>
      <c r="C773" s="14"/>
    </row>
    <row r="774" spans="1:3" ht="16.5">
      <c r="A774" s="14"/>
      <c r="B774" s="14"/>
      <c r="C774" s="14"/>
    </row>
    <row r="775" spans="1:3" ht="16.5">
      <c r="A775" s="14"/>
      <c r="B775" s="14"/>
      <c r="C775" s="14"/>
    </row>
    <row r="776" spans="1:3" ht="16.5">
      <c r="A776" s="14"/>
      <c r="B776" s="14"/>
      <c r="C776" s="14"/>
    </row>
    <row r="777" spans="1:3" ht="16.5">
      <c r="A777" s="14"/>
      <c r="B777" s="14"/>
      <c r="C777" s="14"/>
    </row>
    <row r="778" spans="1:3" ht="16.5">
      <c r="A778" s="14"/>
      <c r="B778" s="14"/>
      <c r="C778" s="14"/>
    </row>
    <row r="779" spans="1:3" ht="16.5">
      <c r="A779" s="14"/>
      <c r="B779" s="14"/>
      <c r="C779" s="14"/>
    </row>
    <row r="780" spans="1:3" ht="16.5">
      <c r="A780" s="14"/>
      <c r="B780" s="14"/>
      <c r="C780" s="14"/>
    </row>
    <row r="781" spans="1:3" ht="16.5">
      <c r="A781" s="14"/>
      <c r="B781" s="14"/>
      <c r="C781" s="14"/>
    </row>
    <row r="782" spans="1:3" ht="16.5">
      <c r="A782" s="14"/>
      <c r="B782" s="14"/>
      <c r="C782" s="14"/>
    </row>
    <row r="783" spans="1:3" ht="16.5">
      <c r="A783" s="14"/>
      <c r="B783" s="14"/>
      <c r="C783" s="14"/>
    </row>
    <row r="784" spans="1:3" ht="16.5">
      <c r="A784" s="14"/>
      <c r="B784" s="14"/>
      <c r="C784" s="14"/>
    </row>
    <row r="785" spans="1:3" ht="16.5">
      <c r="A785" s="14"/>
      <c r="B785" s="14"/>
      <c r="C785" s="14"/>
    </row>
    <row r="786" spans="1:3" ht="16.5">
      <c r="A786" s="14"/>
      <c r="B786" s="14"/>
      <c r="C786" s="14"/>
    </row>
    <row r="787" spans="1:3" ht="16.5">
      <c r="A787" s="14"/>
      <c r="B787" s="14"/>
      <c r="C787" s="14"/>
    </row>
    <row r="788" spans="1:3" ht="16.5">
      <c r="A788" s="14"/>
      <c r="B788" s="14"/>
      <c r="C788" s="14"/>
    </row>
    <row r="789" spans="1:3" ht="16.5">
      <c r="A789" s="14"/>
      <c r="B789" s="14"/>
      <c r="C789" s="14"/>
    </row>
    <row r="790" spans="1:3" ht="16.5">
      <c r="A790" s="14"/>
      <c r="B790" s="14"/>
      <c r="C790" s="14"/>
    </row>
    <row r="791" spans="1:3" ht="16.5">
      <c r="A791" s="14"/>
      <c r="B791" s="14"/>
      <c r="C791" s="14"/>
    </row>
    <row r="792" spans="1:3" ht="16.5">
      <c r="A792" s="14"/>
      <c r="B792" s="14"/>
      <c r="C792" s="14"/>
    </row>
    <row r="793" spans="1:3" ht="16.5">
      <c r="A793" s="14"/>
      <c r="B793" s="14"/>
      <c r="C793" s="14"/>
    </row>
    <row r="794" spans="1:3" ht="16.5">
      <c r="A794" s="14"/>
      <c r="B794" s="14"/>
      <c r="C794" s="14"/>
    </row>
    <row r="795" spans="1:3" ht="16.5">
      <c r="A795" s="14"/>
      <c r="B795" s="14"/>
      <c r="C795" s="14"/>
    </row>
    <row r="796" spans="1:3" ht="16.5">
      <c r="A796" s="14"/>
      <c r="B796" s="14"/>
      <c r="C796" s="14"/>
    </row>
    <row r="797" spans="1:3" ht="16.5">
      <c r="A797" s="14"/>
      <c r="B797" s="14"/>
      <c r="C797" s="14"/>
    </row>
    <row r="798" spans="1:3" ht="16.5">
      <c r="A798" s="14"/>
      <c r="B798" s="14"/>
      <c r="C798" s="14"/>
    </row>
    <row r="799" spans="1:3" ht="16.5">
      <c r="A799" s="14"/>
      <c r="B799" s="14"/>
      <c r="C799" s="14"/>
    </row>
    <row r="800" spans="1:3" ht="16.5">
      <c r="A800" s="14"/>
      <c r="B800" s="14"/>
      <c r="C800" s="14"/>
    </row>
    <row r="801" spans="1:3" ht="16.5">
      <c r="A801" s="14"/>
      <c r="B801" s="14"/>
      <c r="C801" s="14"/>
    </row>
    <row r="802" spans="1:3" ht="16.5">
      <c r="A802" s="14"/>
      <c r="B802" s="14"/>
      <c r="C802" s="14"/>
    </row>
    <row r="803" spans="1:3" ht="16.5">
      <c r="A803" s="14"/>
      <c r="B803" s="14"/>
      <c r="C803" s="14"/>
    </row>
    <row r="804" spans="1:3" ht="16.5">
      <c r="A804" s="14"/>
      <c r="B804" s="14"/>
      <c r="C804" s="14"/>
    </row>
    <row r="805" spans="1:3" ht="16.5">
      <c r="A805" s="14"/>
      <c r="B805" s="14"/>
      <c r="C805" s="14"/>
    </row>
    <row r="806" spans="1:3" ht="16.5">
      <c r="A806" s="14"/>
      <c r="B806" s="14"/>
      <c r="C806" s="14"/>
    </row>
    <row r="807" spans="1:3" ht="16.5">
      <c r="A807" s="14"/>
      <c r="B807" s="14"/>
      <c r="C807" s="14"/>
    </row>
    <row r="808" spans="1:3" ht="16.5">
      <c r="A808" s="14"/>
      <c r="B808" s="14"/>
      <c r="C808" s="14"/>
    </row>
    <row r="809" spans="1:3" ht="16.5">
      <c r="A809" s="14"/>
      <c r="B809" s="14"/>
      <c r="C809" s="14"/>
    </row>
    <row r="810" spans="1:3" ht="16.5">
      <c r="A810" s="14"/>
      <c r="B810" s="14"/>
      <c r="C810" s="14"/>
    </row>
    <row r="811" spans="1:3" ht="16.5">
      <c r="A811" s="14"/>
      <c r="B811" s="14"/>
      <c r="C811" s="14"/>
    </row>
    <row r="812" spans="1:3" ht="16.5">
      <c r="A812" s="14"/>
      <c r="B812" s="14"/>
      <c r="C812" s="14"/>
    </row>
    <row r="813" spans="1:3" ht="16.5">
      <c r="A813" s="14"/>
      <c r="B813" s="14"/>
      <c r="C813" s="14"/>
    </row>
    <row r="814" spans="1:3" ht="16.5">
      <c r="A814" s="14"/>
      <c r="B814" s="14"/>
      <c r="C814" s="14"/>
    </row>
    <row r="815" spans="1:3" ht="16.5">
      <c r="A815" s="14"/>
      <c r="B815" s="14"/>
      <c r="C815" s="14"/>
    </row>
    <row r="816" spans="1:3" ht="16.5">
      <c r="A816" s="14"/>
      <c r="B816" s="14"/>
      <c r="C816" s="14"/>
    </row>
    <row r="817" spans="1:3" ht="16.5">
      <c r="A817" s="14"/>
      <c r="B817" s="14"/>
      <c r="C817" s="14"/>
    </row>
    <row r="818" spans="1:3" ht="16.5">
      <c r="A818" s="14"/>
      <c r="B818" s="14"/>
      <c r="C818" s="14"/>
    </row>
    <row r="819" spans="1:3" ht="16.5">
      <c r="A819" s="14"/>
      <c r="B819" s="14"/>
      <c r="C819" s="14"/>
    </row>
    <row r="820" spans="1:3" ht="16.5">
      <c r="A820" s="14"/>
      <c r="B820" s="14"/>
      <c r="C820" s="14"/>
    </row>
    <row r="821" spans="1:3" ht="16.5">
      <c r="A821" s="14"/>
      <c r="B821" s="14"/>
      <c r="C821" s="14"/>
    </row>
    <row r="822" spans="1:3" ht="16.5">
      <c r="A822" s="14"/>
      <c r="B822" s="14"/>
      <c r="C822" s="14"/>
    </row>
    <row r="823" spans="1:3" ht="16.5">
      <c r="A823" s="14"/>
      <c r="B823" s="14"/>
      <c r="C823" s="14"/>
    </row>
    <row r="824" spans="1:3" ht="16.5">
      <c r="A824" s="14"/>
      <c r="B824" s="14"/>
      <c r="C824" s="14"/>
    </row>
    <row r="825" spans="1:3" ht="16.5">
      <c r="A825" s="14"/>
      <c r="B825" s="14"/>
      <c r="C825" s="14"/>
    </row>
    <row r="826" spans="1:3" ht="16.5">
      <c r="A826" s="14"/>
      <c r="B826" s="14"/>
      <c r="C826" s="14"/>
    </row>
    <row r="827" spans="1:3" ht="16.5">
      <c r="A827" s="14"/>
      <c r="B827" s="14"/>
      <c r="C827" s="14"/>
    </row>
    <row r="828" spans="1:3" ht="16.5">
      <c r="A828" s="14"/>
      <c r="B828" s="14"/>
      <c r="C828" s="14"/>
    </row>
    <row r="829" spans="1:3" ht="16.5">
      <c r="A829" s="14"/>
      <c r="B829" s="14"/>
      <c r="C829" s="14"/>
    </row>
    <row r="830" spans="1:3" ht="16.5">
      <c r="A830" s="14"/>
      <c r="B830" s="14"/>
      <c r="C830" s="14"/>
    </row>
    <row r="831" spans="1:3" ht="16.5">
      <c r="A831" s="14"/>
      <c r="B831" s="14"/>
      <c r="C831" s="14"/>
    </row>
    <row r="832" spans="1:3" ht="16.5">
      <c r="A832" s="14"/>
      <c r="B832" s="14"/>
      <c r="C832" s="14"/>
    </row>
    <row r="833" spans="1:3" ht="16.5">
      <c r="A833" s="14"/>
      <c r="B833" s="14"/>
      <c r="C833" s="14"/>
    </row>
    <row r="834" spans="1:3" ht="16.5">
      <c r="A834" s="14"/>
      <c r="B834" s="14"/>
      <c r="C834" s="14"/>
    </row>
    <row r="835" spans="1:3" ht="16.5">
      <c r="A835" s="14"/>
      <c r="B835" s="14"/>
      <c r="C835" s="14"/>
    </row>
    <row r="836" spans="1:3" ht="16.5">
      <c r="A836" s="14"/>
      <c r="B836" s="14"/>
      <c r="C836" s="14"/>
    </row>
    <row r="837" spans="1:3" ht="16.5">
      <c r="A837" s="14"/>
      <c r="B837" s="14"/>
      <c r="C837" s="14"/>
    </row>
    <row r="838" spans="1:3" ht="16.5">
      <c r="A838" s="14"/>
      <c r="B838" s="14"/>
      <c r="C838" s="14"/>
    </row>
    <row r="839" spans="1:3" ht="16.5">
      <c r="A839" s="14"/>
      <c r="B839" s="14"/>
      <c r="C839" s="14"/>
    </row>
    <row r="840" spans="1:3" ht="16.5">
      <c r="A840" s="14"/>
      <c r="B840" s="14"/>
      <c r="C840" s="14"/>
    </row>
    <row r="841" spans="1:3" ht="16.5">
      <c r="A841" s="14"/>
      <c r="B841" s="14"/>
      <c r="C841" s="14"/>
    </row>
    <row r="842" spans="1:3" ht="16.5">
      <c r="A842" s="14"/>
      <c r="B842" s="14"/>
      <c r="C842" s="14"/>
    </row>
    <row r="843" spans="1:3" ht="16.5">
      <c r="A843" s="14"/>
      <c r="B843" s="14"/>
      <c r="C843" s="14"/>
    </row>
    <row r="844" spans="1:3" ht="16.5">
      <c r="A844" s="14"/>
      <c r="B844" s="14"/>
      <c r="C844" s="14"/>
    </row>
    <row r="845" spans="1:3" ht="16.5">
      <c r="A845" s="14"/>
      <c r="B845" s="14"/>
      <c r="C845" s="14"/>
    </row>
    <row r="846" spans="1:3" ht="16.5">
      <c r="A846" s="14"/>
      <c r="B846" s="14"/>
      <c r="C846" s="14"/>
    </row>
    <row r="847" spans="1:3" ht="16.5">
      <c r="A847" s="14"/>
      <c r="B847" s="14"/>
      <c r="C847" s="14"/>
    </row>
    <row r="848" spans="1:3" ht="16.5">
      <c r="A848" s="14"/>
      <c r="B848" s="14"/>
      <c r="C848" s="14"/>
    </row>
    <row r="849" spans="1:3" ht="16.5">
      <c r="A849" s="14"/>
      <c r="B849" s="14"/>
      <c r="C849" s="14"/>
    </row>
    <row r="850" spans="1:3" ht="16.5">
      <c r="A850" s="14"/>
      <c r="B850" s="14"/>
      <c r="C850" s="14"/>
    </row>
    <row r="851" spans="1:3" ht="16.5">
      <c r="A851" s="14"/>
      <c r="B851" s="14"/>
      <c r="C851" s="14"/>
    </row>
    <row r="852" spans="1:3" ht="16.5">
      <c r="A852" s="14"/>
      <c r="B852" s="14"/>
      <c r="C852" s="14"/>
    </row>
    <row r="853" spans="1:3" ht="16.5">
      <c r="A853" s="14"/>
      <c r="B853" s="14"/>
      <c r="C853" s="14"/>
    </row>
    <row r="854" spans="1:3" ht="16.5">
      <c r="A854" s="14"/>
      <c r="B854" s="14"/>
      <c r="C854" s="14"/>
    </row>
    <row r="855" spans="1:3" ht="16.5">
      <c r="A855" s="14"/>
      <c r="B855" s="14"/>
      <c r="C855" s="14"/>
    </row>
    <row r="856" spans="1:3" ht="16.5">
      <c r="A856" s="14"/>
      <c r="B856" s="14"/>
      <c r="C856" s="14"/>
    </row>
    <row r="857" spans="1:3" ht="16.5">
      <c r="A857" s="14"/>
      <c r="B857" s="14"/>
      <c r="C857" s="14"/>
    </row>
    <row r="858" spans="1:3" ht="16.5">
      <c r="A858" s="14"/>
      <c r="B858" s="14"/>
      <c r="C858" s="14"/>
    </row>
    <row r="859" spans="1:3" ht="16.5">
      <c r="A859" s="14"/>
      <c r="B859" s="14"/>
      <c r="C859" s="14"/>
    </row>
    <row r="860" spans="1:3" ht="16.5">
      <c r="A860" s="14"/>
      <c r="B860" s="14"/>
      <c r="C860" s="14"/>
    </row>
    <row r="861" spans="1:3" ht="16.5">
      <c r="A861" s="14"/>
      <c r="B861" s="14"/>
      <c r="C861" s="14"/>
    </row>
    <row r="862" spans="1:3" ht="16.5">
      <c r="A862" s="14"/>
      <c r="B862" s="14"/>
      <c r="C862" s="14"/>
    </row>
    <row r="863" spans="1:3" ht="16.5">
      <c r="A863" s="14"/>
      <c r="B863" s="14"/>
      <c r="C863" s="14"/>
    </row>
    <row r="864" spans="1:3" ht="16.5">
      <c r="A864" s="14"/>
      <c r="B864" s="14"/>
      <c r="C864" s="14"/>
    </row>
    <row r="865" spans="1:3" ht="16.5">
      <c r="A865" s="14"/>
      <c r="B865" s="14"/>
      <c r="C865" s="14"/>
    </row>
    <row r="866" spans="1:3" ht="16.5">
      <c r="A866" s="14"/>
      <c r="B866" s="14"/>
      <c r="C866" s="14"/>
    </row>
    <row r="867" spans="1:3" ht="16.5">
      <c r="A867" s="14"/>
      <c r="B867" s="14"/>
      <c r="C867" s="14"/>
    </row>
    <row r="868" spans="1:3" ht="16.5">
      <c r="A868" s="14"/>
      <c r="B868" s="14"/>
      <c r="C868" s="14"/>
    </row>
    <row r="869" spans="1:3" ht="16.5">
      <c r="A869" s="14"/>
      <c r="B869" s="14"/>
      <c r="C869" s="14"/>
    </row>
    <row r="870" spans="1:3" ht="16.5">
      <c r="A870" s="14"/>
      <c r="B870" s="14"/>
      <c r="C870" s="14"/>
    </row>
    <row r="871" spans="1:3" ht="16.5">
      <c r="A871" s="14"/>
      <c r="B871" s="14"/>
      <c r="C871" s="14"/>
    </row>
    <row r="872" spans="1:3" ht="16.5">
      <c r="A872" s="14"/>
      <c r="B872" s="14"/>
      <c r="C872" s="14"/>
    </row>
    <row r="873" spans="1:3" ht="16.5">
      <c r="A873" s="14"/>
      <c r="B873" s="14"/>
      <c r="C873" s="14"/>
    </row>
    <row r="874" spans="1:3" ht="16.5">
      <c r="A874" s="14"/>
      <c r="B874" s="14"/>
      <c r="C874" s="14"/>
    </row>
    <row r="875" spans="1:3" ht="16.5">
      <c r="A875" s="14"/>
      <c r="B875" s="14"/>
      <c r="C875" s="14"/>
    </row>
    <row r="876" spans="1:3" ht="16.5">
      <c r="A876" s="14"/>
      <c r="B876" s="14"/>
      <c r="C876" s="14"/>
    </row>
    <row r="877" spans="1:3" ht="16.5">
      <c r="A877" s="14"/>
      <c r="B877" s="14"/>
      <c r="C877" s="14"/>
    </row>
    <row r="878" spans="1:3" ht="16.5">
      <c r="A878" s="14"/>
      <c r="B878" s="14"/>
      <c r="C878" s="14"/>
    </row>
    <row r="879" spans="1:3" ht="16.5">
      <c r="A879" s="14"/>
      <c r="B879" s="14"/>
      <c r="C879" s="14"/>
    </row>
    <row r="880" spans="1:3" ht="16.5">
      <c r="A880" s="14"/>
      <c r="B880" s="14"/>
      <c r="C880" s="14"/>
    </row>
    <row r="881" spans="1:3" ht="16.5">
      <c r="A881" s="14"/>
      <c r="B881" s="14"/>
      <c r="C881" s="14"/>
    </row>
    <row r="882" spans="1:3" ht="16.5">
      <c r="A882" s="14"/>
      <c r="B882" s="14"/>
      <c r="C882" s="14"/>
    </row>
    <row r="883" spans="1:3" ht="16.5">
      <c r="A883" s="14"/>
      <c r="B883" s="14"/>
      <c r="C883" s="14"/>
    </row>
    <row r="884" spans="1:3" ht="16.5">
      <c r="A884" s="14"/>
      <c r="B884" s="14"/>
      <c r="C884" s="14"/>
    </row>
    <row r="885" spans="1:3" ht="16.5">
      <c r="A885" s="14"/>
      <c r="B885" s="14"/>
      <c r="C885" s="14"/>
    </row>
    <row r="886" spans="1:3" ht="16.5">
      <c r="A886" s="14"/>
      <c r="B886" s="14"/>
      <c r="C886" s="14"/>
    </row>
    <row r="887" spans="1:3" ht="16.5">
      <c r="A887" s="14"/>
      <c r="B887" s="14"/>
      <c r="C887" s="14"/>
    </row>
    <row r="888" spans="1:3" ht="16.5">
      <c r="A888" s="14"/>
      <c r="B888" s="14"/>
      <c r="C888" s="14"/>
    </row>
    <row r="889" spans="1:3" ht="16.5">
      <c r="A889" s="14"/>
      <c r="B889" s="14"/>
      <c r="C889" s="14"/>
    </row>
    <row r="890" spans="1:3" ht="16.5">
      <c r="A890" s="14"/>
      <c r="B890" s="14"/>
      <c r="C890" s="14"/>
    </row>
    <row r="891" spans="1:3" ht="16.5">
      <c r="A891" s="14"/>
      <c r="B891" s="14"/>
      <c r="C891" s="14"/>
    </row>
    <row r="892" spans="1:3" ht="16.5">
      <c r="A892" s="14"/>
      <c r="B892" s="14"/>
      <c r="C892" s="14"/>
    </row>
    <row r="893" spans="1:3" ht="16.5">
      <c r="A893" s="14"/>
      <c r="B893" s="14"/>
      <c r="C893" s="14"/>
    </row>
    <row r="894" spans="1:3" ht="16.5">
      <c r="A894" s="14"/>
      <c r="B894" s="14"/>
      <c r="C894" s="14"/>
    </row>
    <row r="895" spans="1:3" ht="16.5">
      <c r="A895" s="14"/>
      <c r="B895" s="14"/>
      <c r="C895" s="14"/>
    </row>
    <row r="896" spans="1:3" ht="16.5">
      <c r="A896" s="14"/>
      <c r="B896" s="14"/>
      <c r="C896" s="14"/>
    </row>
    <row r="897" spans="1:3" ht="16.5">
      <c r="A897" s="14"/>
      <c r="B897" s="14"/>
      <c r="C897" s="14"/>
    </row>
    <row r="898" spans="1:3" ht="16.5">
      <c r="A898" s="14"/>
      <c r="B898" s="14"/>
      <c r="C898" s="14"/>
    </row>
    <row r="899" spans="1:3" ht="16.5">
      <c r="A899" s="14"/>
      <c r="B899" s="14"/>
      <c r="C899" s="14"/>
    </row>
    <row r="900" spans="1:3" ht="16.5">
      <c r="A900" s="14"/>
      <c r="B900" s="14"/>
      <c r="C900" s="14"/>
    </row>
    <row r="901" spans="1:3" ht="16.5">
      <c r="A901" s="14"/>
      <c r="B901" s="14"/>
      <c r="C901" s="14"/>
    </row>
    <row r="902" spans="1:3" ht="16.5">
      <c r="A902" s="14"/>
      <c r="B902" s="14"/>
      <c r="C902" s="14"/>
    </row>
    <row r="903" spans="1:3" ht="16.5">
      <c r="A903" s="14"/>
      <c r="B903" s="14"/>
      <c r="C903" s="14"/>
    </row>
    <row r="904" spans="1:3" ht="16.5">
      <c r="A904" s="14"/>
      <c r="B904" s="14"/>
      <c r="C904" s="14"/>
    </row>
    <row r="905" spans="1:3" ht="16.5">
      <c r="A905" s="14"/>
      <c r="B905" s="14"/>
      <c r="C905" s="14"/>
    </row>
    <row r="906" spans="1:3" ht="16.5">
      <c r="A906" s="14"/>
      <c r="B906" s="14"/>
      <c r="C906" s="14"/>
    </row>
    <row r="907" spans="1:3" ht="16.5">
      <c r="A907" s="14"/>
      <c r="B907" s="14"/>
      <c r="C907" s="14"/>
    </row>
    <row r="908" spans="1:3" ht="16.5">
      <c r="A908" s="14"/>
      <c r="B908" s="14"/>
      <c r="C908" s="14"/>
    </row>
    <row r="909" spans="1:3" ht="16.5">
      <c r="A909" s="14"/>
      <c r="B909" s="14"/>
      <c r="C909" s="14"/>
    </row>
    <row r="910" spans="1:3" ht="16.5">
      <c r="A910" s="14"/>
      <c r="B910" s="14"/>
      <c r="C910" s="14"/>
    </row>
    <row r="911" spans="1:3" ht="16.5">
      <c r="A911" s="14"/>
      <c r="B911" s="14"/>
      <c r="C911" s="14"/>
    </row>
    <row r="912" spans="1:3" ht="16.5">
      <c r="A912" s="14"/>
      <c r="B912" s="14"/>
      <c r="C912" s="14"/>
    </row>
    <row r="913" spans="1:3" ht="16.5">
      <c r="A913" s="14"/>
      <c r="B913" s="14"/>
      <c r="C913" s="14"/>
    </row>
    <row r="914" spans="1:3" ht="16.5">
      <c r="A914" s="14"/>
      <c r="B914" s="14"/>
      <c r="C914" s="14"/>
    </row>
    <row r="915" spans="1:3" ht="16.5">
      <c r="A915" s="14"/>
      <c r="B915" s="14"/>
      <c r="C915" s="14"/>
    </row>
    <row r="916" spans="1:3" ht="16.5">
      <c r="A916" s="14"/>
      <c r="B916" s="14"/>
      <c r="C916" s="14"/>
    </row>
    <row r="917" spans="1:3" ht="16.5">
      <c r="A917" s="14"/>
      <c r="B917" s="14"/>
      <c r="C917" s="14"/>
    </row>
    <row r="918" spans="1:3" ht="16.5">
      <c r="A918" s="14"/>
      <c r="B918" s="14"/>
      <c r="C918" s="14"/>
    </row>
    <row r="919" spans="1:3" ht="16.5">
      <c r="A919" s="14"/>
      <c r="B919" s="14"/>
      <c r="C919" s="14"/>
    </row>
    <row r="920" spans="1:3" ht="16.5">
      <c r="A920" s="14"/>
      <c r="B920" s="14"/>
      <c r="C920" s="14"/>
    </row>
    <row r="921" spans="1:3" ht="16.5">
      <c r="A921" s="14"/>
      <c r="B921" s="14"/>
      <c r="C921" s="14"/>
    </row>
    <row r="922" spans="1:3" ht="16.5">
      <c r="A922" s="14"/>
      <c r="B922" s="14"/>
      <c r="C922" s="14"/>
    </row>
    <row r="923" spans="1:3" ht="16.5">
      <c r="A923" s="14"/>
      <c r="B923" s="14"/>
      <c r="C923" s="14"/>
    </row>
    <row r="924" spans="1:3" ht="16.5">
      <c r="A924" s="14"/>
      <c r="B924" s="14"/>
      <c r="C924" s="14"/>
    </row>
    <row r="925" spans="1:3" ht="16.5">
      <c r="A925" s="14"/>
      <c r="B925" s="14"/>
      <c r="C925" s="14"/>
    </row>
    <row r="926" spans="1:3" ht="16.5">
      <c r="A926" s="14"/>
      <c r="B926" s="14"/>
      <c r="C926" s="14"/>
    </row>
    <row r="927" spans="1:3" ht="16.5">
      <c r="A927" s="14"/>
      <c r="B927" s="14"/>
      <c r="C927" s="14"/>
    </row>
    <row r="928" spans="1:3" ht="16.5">
      <c r="A928" s="14"/>
      <c r="B928" s="14"/>
      <c r="C928" s="14"/>
    </row>
    <row r="929" spans="1:3" ht="16.5">
      <c r="A929" s="14"/>
      <c r="B929" s="14"/>
      <c r="C929" s="14"/>
    </row>
    <row r="930" spans="1:3" ht="16.5">
      <c r="A930" s="14"/>
      <c r="B930" s="14"/>
      <c r="C930" s="14"/>
    </row>
    <row r="931" spans="1:3" ht="16.5">
      <c r="A931" s="14"/>
      <c r="B931" s="14"/>
      <c r="C931" s="14"/>
    </row>
    <row r="932" spans="1:3" ht="16.5">
      <c r="A932" s="14"/>
      <c r="B932" s="14"/>
      <c r="C932" s="14"/>
    </row>
    <row r="933" spans="1:3" ht="16.5">
      <c r="A933" s="14"/>
      <c r="B933" s="14"/>
      <c r="C933" s="14"/>
    </row>
    <row r="934" spans="1:3" ht="16.5">
      <c r="A934" s="14"/>
      <c r="B934" s="14"/>
      <c r="C934" s="14"/>
    </row>
    <row r="935" spans="1:3" ht="16.5">
      <c r="A935" s="14"/>
      <c r="B935" s="14"/>
      <c r="C935" s="14"/>
    </row>
    <row r="936" spans="1:3" ht="16.5">
      <c r="A936" s="14"/>
      <c r="B936" s="14"/>
      <c r="C936" s="14"/>
    </row>
    <row r="937" spans="1:3" ht="16.5">
      <c r="A937" s="14"/>
      <c r="B937" s="14"/>
      <c r="C937" s="14"/>
    </row>
    <row r="938" spans="1:3" ht="16.5">
      <c r="A938" s="14"/>
      <c r="B938" s="14"/>
      <c r="C938" s="14"/>
    </row>
    <row r="939" spans="1:3" ht="16.5">
      <c r="A939" s="14"/>
      <c r="B939" s="14"/>
      <c r="C939" s="14"/>
    </row>
    <row r="940" spans="1:3" ht="16.5">
      <c r="A940" s="14"/>
      <c r="B940" s="14"/>
      <c r="C940" s="14"/>
    </row>
    <row r="941" spans="1:3" ht="16.5">
      <c r="A941" s="14"/>
      <c r="B941" s="14"/>
      <c r="C941" s="14"/>
    </row>
    <row r="942" spans="1:3" ht="16.5">
      <c r="A942" s="14"/>
      <c r="B942" s="14"/>
      <c r="C942" s="14"/>
    </row>
    <row r="943" spans="1:3" ht="16.5">
      <c r="A943" s="14"/>
      <c r="B943" s="14"/>
      <c r="C943" s="14"/>
    </row>
    <row r="944" spans="1:3" ht="16.5">
      <c r="A944" s="14"/>
      <c r="B944" s="14"/>
      <c r="C944" s="14"/>
    </row>
    <row r="945" spans="1:3" ht="16.5">
      <c r="A945" s="14"/>
      <c r="B945" s="14"/>
      <c r="C945" s="14"/>
    </row>
    <row r="946" spans="1:3" ht="16.5">
      <c r="A946" s="14"/>
      <c r="B946" s="14"/>
      <c r="C946" s="14"/>
    </row>
    <row r="947" spans="1:3" ht="16.5">
      <c r="A947" s="14"/>
      <c r="B947" s="14"/>
      <c r="C947" s="14"/>
    </row>
    <row r="948" spans="1:3" ht="16.5">
      <c r="A948" s="14"/>
      <c r="B948" s="14"/>
      <c r="C948" s="14"/>
    </row>
    <row r="949" spans="1:3" ht="16.5">
      <c r="A949" s="14"/>
      <c r="B949" s="14"/>
      <c r="C949" s="14"/>
    </row>
    <row r="950" spans="1:3" ht="16.5">
      <c r="A950" s="14"/>
      <c r="B950" s="14"/>
      <c r="C950" s="14"/>
    </row>
    <row r="951" spans="1:3" ht="16.5">
      <c r="A951" s="14"/>
      <c r="B951" s="14"/>
      <c r="C951" s="14"/>
    </row>
    <row r="952" spans="1:3" ht="16.5">
      <c r="A952" s="14"/>
      <c r="B952" s="14"/>
      <c r="C952" s="14"/>
    </row>
    <row r="953" spans="1:3" ht="16.5">
      <c r="A953" s="14"/>
      <c r="B953" s="14"/>
      <c r="C953" s="14"/>
    </row>
    <row r="954" spans="1:3" ht="16.5">
      <c r="A954" s="14"/>
      <c r="B954" s="14"/>
      <c r="C954" s="14"/>
    </row>
    <row r="955" spans="1:3" ht="16.5">
      <c r="A955" s="14"/>
      <c r="B955" s="14"/>
      <c r="C955" s="14"/>
    </row>
    <row r="956" spans="1:3" ht="16.5">
      <c r="A956" s="14"/>
      <c r="B956" s="14"/>
      <c r="C956" s="14"/>
    </row>
    <row r="957" spans="1:3" ht="16.5">
      <c r="A957" s="14"/>
      <c r="B957" s="14"/>
      <c r="C957" s="14"/>
    </row>
    <row r="958" spans="1:3" ht="16.5">
      <c r="A958" s="14"/>
      <c r="B958" s="14"/>
      <c r="C958" s="14"/>
    </row>
    <row r="959" spans="1:3" ht="16.5">
      <c r="A959" s="14"/>
      <c r="B959" s="14"/>
      <c r="C959" s="14"/>
    </row>
    <row r="960" spans="1:3" ht="16.5">
      <c r="A960" s="14"/>
      <c r="B960" s="14"/>
      <c r="C960" s="14"/>
    </row>
    <row r="961" spans="1:3" ht="16.5">
      <c r="A961" s="14"/>
      <c r="B961" s="14"/>
      <c r="C961" s="14"/>
    </row>
    <row r="962" spans="1:3" ht="16.5">
      <c r="A962" s="14"/>
      <c r="B962" s="14"/>
      <c r="C962" s="14"/>
    </row>
    <row r="963" spans="1:3" ht="16.5">
      <c r="A963" s="14"/>
      <c r="B963" s="14"/>
      <c r="C963" s="14"/>
    </row>
    <row r="964" spans="1:3" ht="16.5">
      <c r="A964" s="14"/>
      <c r="B964" s="14"/>
      <c r="C964" s="14"/>
    </row>
    <row r="965" spans="1:3" ht="16.5">
      <c r="A965" s="14"/>
      <c r="B965" s="14"/>
      <c r="C965" s="14"/>
    </row>
    <row r="966" spans="1:3" ht="16.5">
      <c r="A966" s="14"/>
      <c r="B966" s="14"/>
      <c r="C966" s="14"/>
    </row>
    <row r="967" spans="1:3" ht="16.5">
      <c r="A967" s="14"/>
      <c r="B967" s="14"/>
      <c r="C967" s="14"/>
    </row>
    <row r="968" spans="1:3" ht="16.5">
      <c r="A968" s="14"/>
      <c r="B968" s="14"/>
      <c r="C968" s="14"/>
    </row>
    <row r="969" spans="1:3" ht="16.5">
      <c r="A969" s="14"/>
      <c r="B969" s="14"/>
      <c r="C969" s="14"/>
    </row>
    <row r="970" spans="1:3" ht="16.5">
      <c r="A970" s="14"/>
      <c r="B970" s="14"/>
      <c r="C970" s="14"/>
    </row>
    <row r="971" spans="1:3" ht="16.5">
      <c r="A971" s="14"/>
      <c r="B971" s="14"/>
      <c r="C971" s="14"/>
    </row>
    <row r="972" spans="1:3" ht="16.5">
      <c r="A972" s="14"/>
      <c r="B972" s="14"/>
      <c r="C972" s="14"/>
    </row>
    <row r="973" spans="1:3" ht="16.5">
      <c r="A973" s="14"/>
      <c r="B973" s="14"/>
      <c r="C973" s="14"/>
    </row>
  </sheetData>
  <phoneticPr fontId="13" type="noConversion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/>
  <cols>
    <col min="1" max="1" width="21.28515625" customWidth="1"/>
    <col min="2" max="2" width="28.85546875" customWidth="1"/>
    <col min="3" max="3" width="15.85546875" customWidth="1"/>
    <col min="4" max="4" width="34.42578125" customWidth="1"/>
    <col min="5" max="5" width="12.5703125" customWidth="1"/>
    <col min="6" max="26" width="8.7109375" customWidth="1"/>
  </cols>
  <sheetData>
    <row r="1" spans="1:5" ht="16.5" customHeight="1">
      <c r="A1" s="4" t="s">
        <v>2</v>
      </c>
      <c r="B1" s="4" t="s">
        <v>3</v>
      </c>
      <c r="C1" s="7" t="s">
        <v>4</v>
      </c>
      <c r="D1" s="7" t="s">
        <v>6</v>
      </c>
      <c r="E1" s="3" t="s">
        <v>9</v>
      </c>
    </row>
    <row r="2" spans="1:5" ht="16.5" customHeight="1">
      <c r="A2" s="4" t="s">
        <v>11</v>
      </c>
      <c r="B2" s="4" t="s">
        <v>11</v>
      </c>
      <c r="C2" s="7" t="s">
        <v>11</v>
      </c>
      <c r="D2" s="7" t="s">
        <v>11</v>
      </c>
      <c r="E2" s="3" t="s">
        <v>11</v>
      </c>
    </row>
    <row r="3" spans="1:5" ht="16.5" customHeight="1">
      <c r="A3" s="10" t="s">
        <v>35</v>
      </c>
      <c r="B3" s="11" t="str">
        <f t="shared" ref="B3:B12" si="0">UPPER(A3)&amp;"_TITLE"</f>
        <v>MILITARY_TRAINING_TITLE</v>
      </c>
      <c r="C3" s="10" t="s">
        <v>99</v>
      </c>
      <c r="D3" s="11" t="s">
        <v>101</v>
      </c>
      <c r="E3" s="8" t="s">
        <v>113</v>
      </c>
    </row>
    <row r="4" spans="1:5" ht="16.5" customHeight="1">
      <c r="A4" s="10" t="s">
        <v>121</v>
      </c>
      <c r="B4" s="11" t="str">
        <f t="shared" si="0"/>
        <v>RALLY_REMNANTS_TITLE</v>
      </c>
      <c r="C4" s="10" t="s">
        <v>129</v>
      </c>
      <c r="D4" s="11" t="s">
        <v>131</v>
      </c>
      <c r="E4" s="8" t="s">
        <v>133</v>
      </c>
    </row>
    <row r="5" spans="1:5" ht="16.5" customHeight="1">
      <c r="A5" s="10" t="s">
        <v>139</v>
      </c>
      <c r="B5" s="11" t="str">
        <f t="shared" si="0"/>
        <v>BANDIT_SUBJUGATION_TITLE</v>
      </c>
      <c r="C5" s="10" t="s">
        <v>145</v>
      </c>
      <c r="D5" s="11" t="s">
        <v>147</v>
      </c>
      <c r="E5" s="8" t="s">
        <v>150</v>
      </c>
    </row>
    <row r="6" spans="1:5" ht="16.5" customHeight="1">
      <c r="A6" s="10" t="s">
        <v>157</v>
      </c>
      <c r="B6" s="11" t="str">
        <f t="shared" si="0"/>
        <v>BORDER_DEFENSE_TITLE</v>
      </c>
      <c r="C6" s="10" t="s">
        <v>160</v>
      </c>
      <c r="D6" s="11" t="s">
        <v>164</v>
      </c>
      <c r="E6" s="8" t="s">
        <v>167</v>
      </c>
    </row>
    <row r="7" spans="1:5" ht="16.5" customHeight="1">
      <c r="A7" s="10" t="s">
        <v>170</v>
      </c>
      <c r="B7" s="11" t="str">
        <f t="shared" si="0"/>
        <v>TAX_REFORM_TITLE</v>
      </c>
      <c r="C7" s="10" t="s">
        <v>173</v>
      </c>
      <c r="D7" s="11" t="s">
        <v>175</v>
      </c>
      <c r="E7" s="8" t="s">
        <v>177</v>
      </c>
    </row>
    <row r="8" spans="1:5" ht="16.5" customHeight="1">
      <c r="A8" s="10" t="s">
        <v>180</v>
      </c>
      <c r="B8" s="11" t="str">
        <f t="shared" si="0"/>
        <v>FOREIGN_DIPLOMACY_TITLE</v>
      </c>
      <c r="C8" s="10" t="s">
        <v>183</v>
      </c>
      <c r="D8" s="11" t="s">
        <v>185</v>
      </c>
      <c r="E8" s="8" t="s">
        <v>189</v>
      </c>
    </row>
    <row r="9" spans="1:5" ht="16.5" customHeight="1">
      <c r="A9" s="10" t="s">
        <v>192</v>
      </c>
      <c r="B9" s="11" t="str">
        <f t="shared" si="0"/>
        <v>ENEMY_INTELLIGENCE_TITLE</v>
      </c>
      <c r="C9" s="10" t="s">
        <v>198</v>
      </c>
      <c r="D9" s="11" t="s">
        <v>199</v>
      </c>
      <c r="E9" s="8" t="s">
        <v>202</v>
      </c>
    </row>
    <row r="10" spans="1:5" ht="16.5" customHeight="1">
      <c r="A10" s="10" t="s">
        <v>207</v>
      </c>
      <c r="B10" s="11" t="str">
        <f t="shared" si="0"/>
        <v>TACTICS_RESEARCH_TITLE</v>
      </c>
      <c r="C10" s="10" t="s">
        <v>213</v>
      </c>
      <c r="D10" s="11" t="s">
        <v>214</v>
      </c>
      <c r="E10" s="8" t="s">
        <v>216</v>
      </c>
    </row>
    <row r="11" spans="1:5" ht="16.5" customHeight="1">
      <c r="A11" s="10" t="s">
        <v>222</v>
      </c>
      <c r="B11" s="11" t="str">
        <f t="shared" si="0"/>
        <v>REFUGEE_PERSUASION_TITLE</v>
      </c>
      <c r="C11" s="10" t="s">
        <v>224</v>
      </c>
      <c r="D11" s="11" t="s">
        <v>227</v>
      </c>
      <c r="E11" s="8" t="s">
        <v>228</v>
      </c>
    </row>
    <row r="12" spans="1:5" ht="16.5" customHeight="1">
      <c r="A12" s="10" t="s">
        <v>231</v>
      </c>
      <c r="B12" s="11" t="str">
        <f t="shared" si="0"/>
        <v>RECRUIT_TALENT_TITLE</v>
      </c>
      <c r="C12" s="10" t="s">
        <v>234</v>
      </c>
      <c r="D12" s="11" t="s">
        <v>236</v>
      </c>
      <c r="E12" s="8" t="s">
        <v>238</v>
      </c>
    </row>
    <row r="13" spans="1:5" ht="16.5" customHeight="1">
      <c r="A13" s="13"/>
      <c r="B13" s="13"/>
      <c r="C13" s="13"/>
      <c r="D13" s="14"/>
    </row>
    <row r="14" spans="1:5" ht="16.5" customHeight="1">
      <c r="A14" s="13"/>
      <c r="B14" s="13"/>
      <c r="C14" s="13"/>
      <c r="D14" s="14"/>
    </row>
    <row r="15" spans="1:5" ht="16.5" customHeight="1">
      <c r="A15" s="13"/>
      <c r="B15" s="13"/>
      <c r="C15" s="13"/>
      <c r="D15" s="14"/>
    </row>
    <row r="16" spans="1:5" ht="16.5" customHeight="1">
      <c r="A16" s="13"/>
      <c r="B16" s="13"/>
      <c r="C16" s="13"/>
      <c r="D16" s="14"/>
    </row>
    <row r="17" spans="1:4" ht="16.5" customHeight="1">
      <c r="A17" s="13"/>
      <c r="B17" s="13"/>
      <c r="C17" s="13"/>
      <c r="D17" s="14"/>
    </row>
    <row r="18" spans="1:4" ht="16.5" customHeight="1">
      <c r="A18" s="13"/>
      <c r="B18" s="13"/>
      <c r="C18" s="13"/>
    </row>
    <row r="19" spans="1:4" ht="16.5" customHeight="1">
      <c r="A19" s="13"/>
      <c r="B19" s="13"/>
      <c r="C19" s="13"/>
    </row>
    <row r="20" spans="1:4" ht="16.5" customHeight="1">
      <c r="A20" s="13"/>
      <c r="B20" s="13"/>
      <c r="C20" s="13"/>
    </row>
    <row r="21" spans="1:4" ht="16.5" customHeight="1">
      <c r="A21" s="13"/>
      <c r="B21" s="13"/>
      <c r="C21" s="13"/>
    </row>
    <row r="22" spans="1:4" ht="16.5" customHeight="1">
      <c r="A22" s="13"/>
      <c r="B22" s="13"/>
      <c r="C22" s="13"/>
    </row>
    <row r="23" spans="1:4" ht="16.5" customHeight="1">
      <c r="A23" s="13"/>
      <c r="B23" s="13"/>
      <c r="C23" s="13"/>
    </row>
    <row r="24" spans="1:4" ht="16.5" customHeight="1">
      <c r="A24" s="13"/>
      <c r="B24" s="13"/>
      <c r="C24" s="13"/>
    </row>
    <row r="25" spans="1:4" ht="16.5" customHeight="1">
      <c r="A25" s="13"/>
      <c r="B25" s="13"/>
      <c r="C25" s="13"/>
    </row>
    <row r="26" spans="1:4" ht="16.5" customHeight="1">
      <c r="A26" s="13"/>
      <c r="B26" s="13"/>
      <c r="C26" s="13"/>
    </row>
    <row r="27" spans="1:4" ht="16.5" customHeight="1">
      <c r="A27" s="13"/>
      <c r="B27" s="13"/>
      <c r="C27" s="13"/>
    </row>
    <row r="28" spans="1:4" ht="16.5" customHeight="1">
      <c r="A28" s="13"/>
      <c r="B28" s="13"/>
      <c r="C28" s="13"/>
    </row>
    <row r="29" spans="1:4" ht="16.5" customHeight="1">
      <c r="A29" s="13"/>
      <c r="B29" s="13"/>
      <c r="C29" s="13"/>
    </row>
    <row r="30" spans="1:4" ht="16.5" customHeight="1">
      <c r="A30" s="13"/>
      <c r="B30" s="13"/>
      <c r="C30" s="13"/>
    </row>
    <row r="31" spans="1:4" ht="16.5" customHeight="1">
      <c r="A31" s="13"/>
      <c r="B31" s="13"/>
      <c r="C31" s="13"/>
    </row>
    <row r="32" spans="1:4" ht="16.5" customHeight="1">
      <c r="A32" s="13"/>
      <c r="B32" s="13"/>
      <c r="C32" s="13"/>
    </row>
    <row r="33" spans="1:3" ht="16.5" customHeight="1">
      <c r="A33" s="13"/>
      <c r="B33" s="13"/>
      <c r="C33" s="13"/>
    </row>
    <row r="34" spans="1:3" ht="16.5" customHeight="1">
      <c r="A34" s="13"/>
      <c r="B34" s="13"/>
      <c r="C34" s="13"/>
    </row>
    <row r="35" spans="1:3" ht="16.5" customHeight="1">
      <c r="A35" s="13"/>
      <c r="B35" s="13"/>
      <c r="C35" s="13"/>
    </row>
    <row r="36" spans="1:3" ht="16.5" customHeight="1">
      <c r="A36" s="13"/>
      <c r="B36" s="13"/>
      <c r="C36" s="13"/>
    </row>
    <row r="37" spans="1:3" ht="16.5" customHeight="1">
      <c r="A37" s="13"/>
      <c r="B37" s="13"/>
      <c r="C37" s="13"/>
    </row>
    <row r="38" spans="1:3" ht="16.5" customHeight="1">
      <c r="A38" s="13"/>
      <c r="B38" s="13"/>
      <c r="C38" s="13"/>
    </row>
    <row r="39" spans="1:3" ht="16.5" customHeight="1">
      <c r="A39" s="13"/>
      <c r="B39" s="13"/>
      <c r="C39" s="13"/>
    </row>
    <row r="40" spans="1:3" ht="16.5" customHeight="1">
      <c r="A40" s="13"/>
      <c r="B40" s="13"/>
      <c r="C40" s="13"/>
    </row>
    <row r="41" spans="1:3" ht="16.5" customHeight="1">
      <c r="A41" s="13"/>
      <c r="B41" s="13"/>
      <c r="C41" s="13"/>
    </row>
    <row r="42" spans="1:3" ht="16.5" customHeight="1">
      <c r="A42" s="13"/>
      <c r="B42" s="13"/>
      <c r="C42" s="13"/>
    </row>
    <row r="43" spans="1:3" ht="16.5" customHeight="1">
      <c r="A43" s="13"/>
      <c r="B43" s="13"/>
      <c r="C43" s="13"/>
    </row>
    <row r="44" spans="1:3" ht="16.5" customHeight="1">
      <c r="A44" s="13"/>
      <c r="B44" s="13"/>
      <c r="C44" s="13"/>
    </row>
    <row r="45" spans="1:3" ht="16.5" customHeight="1">
      <c r="A45" s="13"/>
      <c r="B45" s="13"/>
      <c r="C45" s="13"/>
    </row>
    <row r="46" spans="1:3" ht="16.5" customHeight="1">
      <c r="A46" s="13"/>
      <c r="B46" s="13"/>
      <c r="C46" s="13"/>
    </row>
    <row r="47" spans="1:3" ht="16.5" customHeight="1">
      <c r="A47" s="13"/>
      <c r="B47" s="13"/>
      <c r="C47" s="13"/>
    </row>
    <row r="48" spans="1:3" ht="16.5" customHeight="1">
      <c r="A48" s="13"/>
      <c r="B48" s="13"/>
      <c r="C48" s="13"/>
    </row>
    <row r="49" spans="1:3" ht="16.5" customHeight="1">
      <c r="A49" s="13"/>
      <c r="B49" s="13"/>
      <c r="C49" s="13"/>
    </row>
    <row r="50" spans="1:3" ht="16.5" customHeight="1">
      <c r="A50" s="13"/>
      <c r="B50" s="13"/>
      <c r="C50" s="13"/>
    </row>
    <row r="51" spans="1:3" ht="16.5" customHeight="1">
      <c r="A51" s="13"/>
      <c r="B51" s="13"/>
      <c r="C51" s="13"/>
    </row>
    <row r="52" spans="1:3" ht="16.5" customHeight="1">
      <c r="A52" s="13"/>
      <c r="B52" s="13"/>
      <c r="C52" s="13"/>
    </row>
    <row r="53" spans="1:3" ht="16.5" customHeight="1">
      <c r="A53" s="13"/>
      <c r="B53" s="13"/>
      <c r="C53" s="13"/>
    </row>
    <row r="54" spans="1:3" ht="16.5" customHeight="1">
      <c r="A54" s="13"/>
      <c r="B54" s="13"/>
      <c r="C54" s="13"/>
    </row>
    <row r="55" spans="1:3" ht="16.5" customHeight="1">
      <c r="A55" s="13"/>
      <c r="B55" s="13"/>
      <c r="C55" s="13"/>
    </row>
    <row r="56" spans="1:3" ht="16.5" customHeight="1">
      <c r="A56" s="13"/>
      <c r="B56" s="13"/>
      <c r="C56" s="13"/>
    </row>
    <row r="57" spans="1:3" ht="16.5" customHeight="1">
      <c r="A57" s="13"/>
      <c r="B57" s="13"/>
      <c r="C57" s="13"/>
    </row>
    <row r="58" spans="1:3" ht="16.5" customHeight="1">
      <c r="A58" s="13"/>
      <c r="B58" s="13"/>
      <c r="C58" s="13"/>
    </row>
    <row r="59" spans="1:3" ht="16.5" customHeight="1">
      <c r="A59" s="13"/>
      <c r="B59" s="13"/>
      <c r="C59" s="13"/>
    </row>
    <row r="60" spans="1:3" ht="16.5" customHeight="1">
      <c r="A60" s="13"/>
      <c r="B60" s="13"/>
      <c r="C60" s="13"/>
    </row>
    <row r="61" spans="1:3" ht="16.5" customHeight="1">
      <c r="A61" s="13"/>
      <c r="B61" s="13"/>
      <c r="C61" s="13"/>
    </row>
    <row r="62" spans="1:3" ht="16.5" customHeight="1">
      <c r="A62" s="13"/>
      <c r="B62" s="13"/>
      <c r="C62" s="13"/>
    </row>
    <row r="63" spans="1:3" ht="16.5" customHeight="1">
      <c r="A63" s="13"/>
      <c r="B63" s="13"/>
      <c r="C63" s="13"/>
    </row>
    <row r="64" spans="1:3" ht="16.5" customHeight="1">
      <c r="A64" s="13"/>
      <c r="B64" s="13"/>
      <c r="C64" s="13"/>
    </row>
    <row r="65" spans="1:3" ht="16.5" customHeight="1">
      <c r="A65" s="13"/>
      <c r="B65" s="13"/>
      <c r="C65" s="13"/>
    </row>
    <row r="66" spans="1:3" ht="16.5" customHeight="1">
      <c r="A66" s="13"/>
      <c r="B66" s="13"/>
      <c r="C66" s="13"/>
    </row>
    <row r="67" spans="1:3" ht="16.5" customHeight="1">
      <c r="A67" s="13"/>
      <c r="B67" s="13"/>
      <c r="C67" s="13"/>
    </row>
    <row r="68" spans="1:3" ht="16.5" customHeight="1">
      <c r="A68" s="13"/>
      <c r="B68" s="13"/>
      <c r="C68" s="13"/>
    </row>
    <row r="69" spans="1:3" ht="16.5" customHeight="1">
      <c r="A69" s="13"/>
      <c r="B69" s="13"/>
      <c r="C69" s="13"/>
    </row>
    <row r="70" spans="1:3" ht="16.5" customHeight="1">
      <c r="A70" s="13"/>
      <c r="B70" s="13"/>
      <c r="C70" s="13"/>
    </row>
    <row r="71" spans="1:3" ht="16.5" customHeight="1">
      <c r="A71" s="13"/>
      <c r="B71" s="13"/>
      <c r="C71" s="13"/>
    </row>
    <row r="72" spans="1:3" ht="16.5" customHeight="1">
      <c r="A72" s="13"/>
      <c r="B72" s="13"/>
      <c r="C72" s="13"/>
    </row>
    <row r="73" spans="1:3" ht="16.5" customHeight="1">
      <c r="A73" s="13"/>
      <c r="B73" s="13"/>
      <c r="C73" s="13"/>
    </row>
    <row r="74" spans="1:3" ht="16.5" customHeight="1">
      <c r="A74" s="13"/>
      <c r="B74" s="13"/>
      <c r="C74" s="13"/>
    </row>
    <row r="75" spans="1:3" ht="16.5" customHeight="1">
      <c r="A75" s="13"/>
      <c r="B75" s="13"/>
      <c r="C75" s="13"/>
    </row>
    <row r="76" spans="1:3" ht="16.5" customHeight="1">
      <c r="A76" s="13"/>
      <c r="B76" s="13"/>
      <c r="C76" s="13"/>
    </row>
    <row r="77" spans="1:3" ht="16.5" customHeight="1">
      <c r="A77" s="13"/>
      <c r="B77" s="13"/>
      <c r="C77" s="13"/>
    </row>
    <row r="78" spans="1:3" ht="16.5" customHeight="1">
      <c r="A78" s="13"/>
      <c r="B78" s="13"/>
      <c r="C78" s="13"/>
    </row>
    <row r="79" spans="1:3" ht="16.5" customHeight="1">
      <c r="A79" s="13"/>
      <c r="B79" s="13"/>
      <c r="C79" s="13"/>
    </row>
    <row r="80" spans="1:3" ht="16.5" customHeight="1">
      <c r="A80" s="13"/>
      <c r="B80" s="13"/>
      <c r="C80" s="13"/>
    </row>
    <row r="81" spans="1:3" ht="16.5" customHeight="1">
      <c r="A81" s="13"/>
      <c r="B81" s="13"/>
      <c r="C81" s="13"/>
    </row>
    <row r="82" spans="1:3" ht="16.5" customHeight="1">
      <c r="A82" s="13"/>
      <c r="B82" s="13"/>
      <c r="C82" s="13"/>
    </row>
    <row r="83" spans="1:3" ht="16.5" customHeight="1">
      <c r="A83" s="13"/>
      <c r="B83" s="13"/>
      <c r="C83" s="13"/>
    </row>
    <row r="84" spans="1:3" ht="16.5" customHeight="1">
      <c r="A84" s="13"/>
      <c r="B84" s="13"/>
      <c r="C84" s="13"/>
    </row>
    <row r="85" spans="1:3" ht="16.5" customHeight="1">
      <c r="A85" s="13"/>
      <c r="B85" s="13"/>
      <c r="C85" s="13"/>
    </row>
    <row r="86" spans="1:3" ht="16.5" customHeight="1">
      <c r="A86" s="13"/>
      <c r="B86" s="13"/>
      <c r="C86" s="13"/>
    </row>
    <row r="87" spans="1:3" ht="16.5" customHeight="1">
      <c r="A87" s="13"/>
      <c r="B87" s="13"/>
      <c r="C87" s="13"/>
    </row>
    <row r="88" spans="1:3" ht="16.5" customHeight="1">
      <c r="A88" s="13"/>
      <c r="B88" s="13"/>
      <c r="C88" s="13"/>
    </row>
    <row r="89" spans="1:3" ht="16.5" customHeight="1">
      <c r="A89" s="13"/>
      <c r="B89" s="13"/>
      <c r="C89" s="13"/>
    </row>
    <row r="90" spans="1:3" ht="16.5" customHeight="1">
      <c r="A90" s="13"/>
      <c r="B90" s="13"/>
      <c r="C90" s="13"/>
    </row>
    <row r="91" spans="1:3" ht="16.5" customHeight="1">
      <c r="A91" s="13"/>
      <c r="B91" s="13"/>
      <c r="C91" s="13"/>
    </row>
    <row r="92" spans="1:3" ht="16.5" customHeight="1">
      <c r="A92" s="13"/>
      <c r="B92" s="13"/>
      <c r="C92" s="13"/>
    </row>
    <row r="93" spans="1:3" ht="16.5" customHeight="1">
      <c r="A93" s="13"/>
      <c r="B93" s="13"/>
      <c r="C93" s="13"/>
    </row>
    <row r="94" spans="1:3" ht="16.5" customHeight="1">
      <c r="A94" s="13"/>
      <c r="B94" s="13"/>
      <c r="C94" s="13"/>
    </row>
    <row r="95" spans="1:3" ht="16.5" customHeight="1">
      <c r="A95" s="13"/>
      <c r="B95" s="13"/>
      <c r="C95" s="13"/>
    </row>
    <row r="96" spans="1:3" ht="16.5" customHeight="1">
      <c r="A96" s="13"/>
      <c r="B96" s="13"/>
      <c r="C96" s="13"/>
    </row>
    <row r="97" spans="1:3" ht="16.5" customHeight="1">
      <c r="A97" s="13"/>
      <c r="B97" s="13"/>
      <c r="C97" s="13"/>
    </row>
    <row r="98" spans="1:3" ht="16.5" customHeight="1">
      <c r="A98" s="13"/>
      <c r="B98" s="13"/>
      <c r="C98" s="13"/>
    </row>
    <row r="99" spans="1:3" ht="16.5" customHeight="1">
      <c r="A99" s="13"/>
      <c r="B99" s="13"/>
      <c r="C99" s="13"/>
    </row>
    <row r="100" spans="1:3" ht="16.5" customHeight="1">
      <c r="A100" s="13"/>
      <c r="B100" s="13"/>
      <c r="C100" s="13"/>
    </row>
    <row r="101" spans="1:3" ht="16.5" customHeight="1">
      <c r="A101" s="13"/>
      <c r="B101" s="13"/>
      <c r="C101" s="13"/>
    </row>
    <row r="102" spans="1:3" ht="16.5" customHeight="1">
      <c r="A102" s="13"/>
      <c r="B102" s="13"/>
      <c r="C102" s="13"/>
    </row>
    <row r="103" spans="1:3" ht="16.5" customHeight="1">
      <c r="A103" s="13"/>
      <c r="B103" s="13"/>
      <c r="C103" s="13"/>
    </row>
    <row r="104" spans="1:3" ht="16.5" customHeight="1">
      <c r="A104" s="13"/>
      <c r="B104" s="13"/>
      <c r="C104" s="13"/>
    </row>
    <row r="105" spans="1:3" ht="16.5" customHeight="1">
      <c r="A105" s="13"/>
      <c r="B105" s="13"/>
      <c r="C105" s="13"/>
    </row>
    <row r="106" spans="1:3" ht="16.5" customHeight="1">
      <c r="A106" s="13"/>
      <c r="B106" s="13"/>
      <c r="C106" s="13"/>
    </row>
    <row r="107" spans="1:3" ht="16.5" customHeight="1">
      <c r="A107" s="13"/>
      <c r="B107" s="13"/>
      <c r="C107" s="13"/>
    </row>
    <row r="108" spans="1:3" ht="16.5" customHeight="1">
      <c r="A108" s="13"/>
      <c r="B108" s="13"/>
      <c r="C108" s="13"/>
    </row>
    <row r="109" spans="1:3" ht="16.5" customHeight="1">
      <c r="A109" s="13"/>
      <c r="B109" s="13"/>
      <c r="C109" s="13"/>
    </row>
    <row r="110" spans="1:3" ht="16.5" customHeight="1">
      <c r="A110" s="13"/>
      <c r="B110" s="13"/>
      <c r="C110" s="13"/>
    </row>
    <row r="111" spans="1:3" ht="16.5" customHeight="1">
      <c r="A111" s="13"/>
      <c r="B111" s="13"/>
      <c r="C111" s="13"/>
    </row>
    <row r="112" spans="1:3" ht="16.5" customHeight="1">
      <c r="A112" s="13"/>
      <c r="B112" s="13"/>
      <c r="C112" s="13"/>
    </row>
    <row r="113" spans="1:3" ht="16.5" customHeight="1">
      <c r="A113" s="13"/>
      <c r="B113" s="13"/>
      <c r="C113" s="13"/>
    </row>
    <row r="114" spans="1:3" ht="16.5" customHeight="1">
      <c r="A114" s="13"/>
      <c r="B114" s="13"/>
      <c r="C114" s="13"/>
    </row>
    <row r="115" spans="1:3" ht="16.5" customHeight="1">
      <c r="A115" s="13"/>
      <c r="B115" s="13"/>
      <c r="C115" s="13"/>
    </row>
    <row r="116" spans="1:3" ht="16.5" customHeight="1">
      <c r="A116" s="13"/>
      <c r="B116" s="13"/>
      <c r="C116" s="13"/>
    </row>
    <row r="117" spans="1:3" ht="16.5" customHeight="1">
      <c r="A117" s="13"/>
      <c r="B117" s="13"/>
      <c r="C117" s="13"/>
    </row>
    <row r="118" spans="1:3" ht="16.5" customHeight="1">
      <c r="A118" s="13"/>
      <c r="B118" s="13"/>
      <c r="C118" s="13"/>
    </row>
    <row r="119" spans="1:3" ht="16.5" customHeight="1">
      <c r="A119" s="13"/>
      <c r="B119" s="13"/>
      <c r="C119" s="13"/>
    </row>
    <row r="120" spans="1:3" ht="16.5" customHeight="1">
      <c r="A120" s="13"/>
      <c r="B120" s="13"/>
      <c r="C120" s="13"/>
    </row>
    <row r="121" spans="1:3" ht="16.5" customHeight="1">
      <c r="A121" s="13"/>
      <c r="B121" s="13"/>
      <c r="C121" s="13"/>
    </row>
    <row r="122" spans="1:3" ht="16.5" customHeight="1">
      <c r="A122" s="13"/>
      <c r="B122" s="13"/>
      <c r="C122" s="13"/>
    </row>
    <row r="123" spans="1:3" ht="16.5" customHeight="1">
      <c r="A123" s="13"/>
      <c r="B123" s="13"/>
      <c r="C123" s="13"/>
    </row>
    <row r="124" spans="1:3" ht="16.5" customHeight="1">
      <c r="A124" s="13"/>
      <c r="B124" s="13"/>
      <c r="C124" s="13"/>
    </row>
    <row r="125" spans="1:3" ht="16.5" customHeight="1">
      <c r="A125" s="13"/>
      <c r="B125" s="13"/>
      <c r="C125" s="13"/>
    </row>
    <row r="126" spans="1:3" ht="16.5" customHeight="1">
      <c r="A126" s="13"/>
      <c r="B126" s="13"/>
      <c r="C126" s="13"/>
    </row>
    <row r="127" spans="1:3" ht="16.5" customHeight="1">
      <c r="A127" s="13"/>
      <c r="B127" s="13"/>
      <c r="C127" s="13"/>
    </row>
    <row r="128" spans="1:3" ht="16.5" customHeight="1">
      <c r="A128" s="13"/>
      <c r="B128" s="13"/>
      <c r="C128" s="13"/>
    </row>
    <row r="129" spans="1:3" ht="16.5" customHeight="1">
      <c r="A129" s="13"/>
      <c r="B129" s="13"/>
      <c r="C129" s="13"/>
    </row>
    <row r="130" spans="1:3" ht="16.5" customHeight="1">
      <c r="A130" s="13"/>
      <c r="B130" s="13"/>
      <c r="C130" s="13"/>
    </row>
    <row r="131" spans="1:3" ht="16.5" customHeight="1">
      <c r="A131" s="13"/>
      <c r="B131" s="13"/>
      <c r="C131" s="13"/>
    </row>
    <row r="132" spans="1:3" ht="16.5" customHeight="1">
      <c r="A132" s="13"/>
      <c r="B132" s="13"/>
      <c r="C132" s="13"/>
    </row>
    <row r="133" spans="1:3" ht="16.5" customHeight="1">
      <c r="A133" s="13"/>
      <c r="B133" s="13"/>
      <c r="C133" s="13"/>
    </row>
    <row r="134" spans="1:3" ht="16.5" customHeight="1">
      <c r="A134" s="13"/>
      <c r="B134" s="13"/>
      <c r="C134" s="13"/>
    </row>
    <row r="135" spans="1:3" ht="16.5" customHeight="1">
      <c r="A135" s="13"/>
      <c r="B135" s="13"/>
      <c r="C135" s="13"/>
    </row>
    <row r="136" spans="1:3" ht="16.5" customHeight="1">
      <c r="A136" s="13"/>
      <c r="B136" s="13"/>
      <c r="C136" s="13"/>
    </row>
    <row r="137" spans="1:3" ht="16.5" customHeight="1">
      <c r="A137" s="13"/>
      <c r="B137" s="13"/>
      <c r="C137" s="13"/>
    </row>
    <row r="138" spans="1:3" ht="16.5" customHeight="1">
      <c r="A138" s="13"/>
      <c r="B138" s="13"/>
      <c r="C138" s="13"/>
    </row>
    <row r="139" spans="1:3" ht="16.5" customHeight="1">
      <c r="A139" s="13"/>
      <c r="B139" s="13"/>
      <c r="C139" s="13"/>
    </row>
    <row r="140" spans="1:3" ht="16.5" customHeight="1">
      <c r="A140" s="13"/>
      <c r="B140" s="13"/>
      <c r="C140" s="13"/>
    </row>
    <row r="141" spans="1:3" ht="16.5" customHeight="1">
      <c r="A141" s="13"/>
      <c r="B141" s="13"/>
      <c r="C141" s="13"/>
    </row>
    <row r="142" spans="1:3" ht="16.5" customHeight="1">
      <c r="A142" s="13"/>
      <c r="B142" s="13"/>
      <c r="C142" s="13"/>
    </row>
    <row r="143" spans="1:3" ht="16.5" customHeight="1">
      <c r="A143" s="13"/>
      <c r="B143" s="13"/>
      <c r="C143" s="13"/>
    </row>
    <row r="144" spans="1:3" ht="16.5" customHeight="1">
      <c r="A144" s="13"/>
      <c r="B144" s="13"/>
      <c r="C144" s="13"/>
    </row>
    <row r="145" spans="1:3" ht="16.5" customHeight="1">
      <c r="A145" s="13"/>
      <c r="B145" s="13"/>
      <c r="C145" s="13"/>
    </row>
    <row r="146" spans="1:3" ht="16.5" customHeight="1">
      <c r="A146" s="13"/>
      <c r="B146" s="13"/>
      <c r="C146" s="13"/>
    </row>
    <row r="147" spans="1:3" ht="16.5" customHeight="1">
      <c r="A147" s="13"/>
      <c r="B147" s="13"/>
      <c r="C147" s="13"/>
    </row>
    <row r="148" spans="1:3" ht="16.5" customHeight="1">
      <c r="A148" s="13"/>
      <c r="B148" s="13"/>
      <c r="C148" s="13"/>
    </row>
    <row r="149" spans="1:3" ht="16.5" customHeight="1">
      <c r="A149" s="13"/>
      <c r="B149" s="13"/>
      <c r="C149" s="13"/>
    </row>
    <row r="150" spans="1:3" ht="16.5" customHeight="1">
      <c r="A150" s="13"/>
      <c r="B150" s="13"/>
      <c r="C150" s="13"/>
    </row>
    <row r="151" spans="1:3" ht="16.5" customHeight="1">
      <c r="A151" s="13"/>
      <c r="B151" s="13"/>
      <c r="C151" s="13"/>
    </row>
    <row r="152" spans="1:3" ht="16.5" customHeight="1">
      <c r="A152" s="13"/>
      <c r="B152" s="13"/>
      <c r="C152" s="13"/>
    </row>
    <row r="153" spans="1:3" ht="16.5" customHeight="1">
      <c r="A153" s="13"/>
      <c r="B153" s="13"/>
      <c r="C153" s="13"/>
    </row>
    <row r="154" spans="1:3" ht="16.5" customHeight="1">
      <c r="A154" s="13"/>
      <c r="B154" s="13"/>
      <c r="C154" s="13"/>
    </row>
    <row r="155" spans="1:3" ht="16.5" customHeight="1">
      <c r="A155" s="13"/>
      <c r="B155" s="13"/>
      <c r="C155" s="13"/>
    </row>
    <row r="156" spans="1:3" ht="16.5" customHeight="1">
      <c r="A156" s="13"/>
      <c r="B156" s="13"/>
      <c r="C156" s="13"/>
    </row>
    <row r="157" spans="1:3" ht="16.5" customHeight="1">
      <c r="A157" s="13"/>
      <c r="B157" s="13"/>
      <c r="C157" s="13"/>
    </row>
    <row r="158" spans="1:3" ht="16.5" customHeight="1">
      <c r="A158" s="13"/>
      <c r="B158" s="13"/>
      <c r="C158" s="13"/>
    </row>
    <row r="159" spans="1:3" ht="16.5" customHeight="1">
      <c r="A159" s="13"/>
      <c r="B159" s="13"/>
      <c r="C159" s="13"/>
    </row>
    <row r="160" spans="1:3" ht="16.5" customHeight="1">
      <c r="A160" s="13"/>
      <c r="B160" s="13"/>
      <c r="C160" s="13"/>
    </row>
    <row r="161" spans="1:3" ht="16.5" customHeight="1">
      <c r="A161" s="13"/>
      <c r="B161" s="13"/>
      <c r="C161" s="13"/>
    </row>
    <row r="162" spans="1:3" ht="16.5" customHeight="1">
      <c r="A162" s="13"/>
      <c r="B162" s="13"/>
      <c r="C162" s="13"/>
    </row>
    <row r="163" spans="1:3" ht="16.5" customHeight="1">
      <c r="A163" s="13"/>
      <c r="B163" s="13"/>
      <c r="C163" s="13"/>
    </row>
    <row r="164" spans="1:3" ht="16.5" customHeight="1">
      <c r="A164" s="13"/>
      <c r="B164" s="13"/>
      <c r="C164" s="13"/>
    </row>
    <row r="165" spans="1:3" ht="16.5" customHeight="1">
      <c r="A165" s="13"/>
      <c r="B165" s="13"/>
      <c r="C165" s="13"/>
    </row>
    <row r="166" spans="1:3" ht="16.5" customHeight="1">
      <c r="A166" s="13"/>
      <c r="B166" s="13"/>
      <c r="C166" s="13"/>
    </row>
    <row r="167" spans="1:3" ht="16.5" customHeight="1">
      <c r="A167" s="13"/>
      <c r="B167" s="13"/>
      <c r="C167" s="13"/>
    </row>
    <row r="168" spans="1:3" ht="16.5" customHeight="1">
      <c r="A168" s="13"/>
      <c r="B168" s="13"/>
      <c r="C168" s="13"/>
    </row>
    <row r="169" spans="1:3" ht="16.5" customHeight="1">
      <c r="A169" s="13"/>
      <c r="B169" s="13"/>
      <c r="C169" s="13"/>
    </row>
    <row r="170" spans="1:3" ht="16.5" customHeight="1">
      <c r="A170" s="13"/>
      <c r="B170" s="13"/>
      <c r="C170" s="13"/>
    </row>
    <row r="171" spans="1:3" ht="16.5" customHeight="1">
      <c r="A171" s="13"/>
      <c r="B171" s="13"/>
      <c r="C171" s="13"/>
    </row>
    <row r="172" spans="1:3" ht="16.5" customHeight="1">
      <c r="A172" s="13"/>
      <c r="B172" s="13"/>
      <c r="C172" s="13"/>
    </row>
    <row r="173" spans="1:3" ht="16.5" customHeight="1">
      <c r="A173" s="13"/>
      <c r="B173" s="13"/>
      <c r="C173" s="13"/>
    </row>
    <row r="174" spans="1:3" ht="16.5" customHeight="1">
      <c r="A174" s="13"/>
      <c r="B174" s="13"/>
      <c r="C174" s="13"/>
    </row>
    <row r="175" spans="1:3" ht="16.5" customHeight="1">
      <c r="A175" s="13"/>
      <c r="B175" s="13"/>
      <c r="C175" s="13"/>
    </row>
    <row r="176" spans="1:3" ht="16.5" customHeight="1">
      <c r="A176" s="13"/>
      <c r="B176" s="13"/>
      <c r="C176" s="13"/>
    </row>
    <row r="177" spans="1:3" ht="16.5" customHeight="1">
      <c r="A177" s="13"/>
      <c r="B177" s="13"/>
      <c r="C177" s="13"/>
    </row>
    <row r="178" spans="1:3" ht="16.5" customHeight="1">
      <c r="A178" s="13"/>
      <c r="B178" s="13"/>
      <c r="C178" s="13"/>
    </row>
    <row r="179" spans="1:3" ht="16.5" customHeight="1">
      <c r="A179" s="13"/>
      <c r="B179" s="13"/>
      <c r="C179" s="13"/>
    </row>
    <row r="180" spans="1:3" ht="16.5" customHeight="1">
      <c r="A180" s="13"/>
      <c r="B180" s="13"/>
      <c r="C180" s="13"/>
    </row>
    <row r="181" spans="1:3" ht="16.5" customHeight="1">
      <c r="A181" s="13"/>
      <c r="B181" s="13"/>
      <c r="C181" s="13"/>
    </row>
    <row r="182" spans="1:3" ht="16.5" customHeight="1">
      <c r="A182" s="13"/>
      <c r="B182" s="13"/>
      <c r="C182" s="13"/>
    </row>
    <row r="183" spans="1:3" ht="16.5" customHeight="1">
      <c r="A183" s="13"/>
      <c r="B183" s="13"/>
      <c r="C183" s="13"/>
    </row>
    <row r="184" spans="1:3" ht="16.5" customHeight="1">
      <c r="A184" s="13"/>
      <c r="B184" s="13"/>
      <c r="C184" s="13"/>
    </row>
    <row r="185" spans="1:3" ht="16.5" customHeight="1">
      <c r="A185" s="13"/>
      <c r="B185" s="13"/>
      <c r="C185" s="13"/>
    </row>
    <row r="186" spans="1:3" ht="16.5" customHeight="1">
      <c r="A186" s="13"/>
      <c r="B186" s="13"/>
      <c r="C186" s="13"/>
    </row>
    <row r="187" spans="1:3" ht="16.5" customHeight="1">
      <c r="A187" s="13"/>
      <c r="B187" s="13"/>
      <c r="C187" s="13"/>
    </row>
    <row r="188" spans="1:3" ht="16.5" customHeight="1">
      <c r="A188" s="13"/>
      <c r="B188" s="13"/>
      <c r="C188" s="13"/>
    </row>
    <row r="189" spans="1:3" ht="16.5" customHeight="1">
      <c r="A189" s="13"/>
      <c r="B189" s="13"/>
      <c r="C189" s="13"/>
    </row>
    <row r="190" spans="1:3" ht="16.5" customHeight="1">
      <c r="A190" s="13"/>
      <c r="B190" s="13"/>
      <c r="C190" s="13"/>
    </row>
    <row r="191" spans="1:3" ht="16.5" customHeight="1">
      <c r="A191" s="13"/>
      <c r="B191" s="13"/>
      <c r="C191" s="13"/>
    </row>
    <row r="192" spans="1:3" ht="16.5" customHeight="1">
      <c r="A192" s="13"/>
      <c r="B192" s="13"/>
      <c r="C192" s="13"/>
    </row>
    <row r="193" spans="1:3" ht="16.5" customHeight="1">
      <c r="A193" s="13"/>
      <c r="B193" s="13"/>
      <c r="C193" s="13"/>
    </row>
    <row r="194" spans="1:3" ht="16.5" customHeight="1">
      <c r="A194" s="13"/>
      <c r="B194" s="13"/>
      <c r="C194" s="13"/>
    </row>
    <row r="195" spans="1:3" ht="16.5" customHeight="1">
      <c r="A195" s="13"/>
      <c r="B195" s="13"/>
      <c r="C195" s="13"/>
    </row>
    <row r="196" spans="1:3" ht="16.5" customHeight="1">
      <c r="A196" s="13"/>
      <c r="B196" s="13"/>
      <c r="C196" s="13"/>
    </row>
    <row r="197" spans="1:3" ht="16.5" customHeight="1">
      <c r="A197" s="13"/>
      <c r="B197" s="13"/>
      <c r="C197" s="13"/>
    </row>
    <row r="198" spans="1:3" ht="16.5" customHeight="1">
      <c r="A198" s="13"/>
      <c r="B198" s="13"/>
      <c r="C198" s="13"/>
    </row>
    <row r="199" spans="1:3" ht="16.5" customHeight="1">
      <c r="A199" s="13"/>
      <c r="B199" s="13"/>
      <c r="C199" s="13"/>
    </row>
    <row r="200" spans="1:3" ht="16.5" customHeight="1">
      <c r="A200" s="13"/>
      <c r="B200" s="13"/>
      <c r="C200" s="13"/>
    </row>
    <row r="201" spans="1:3" ht="16.5" customHeight="1">
      <c r="A201" s="13"/>
      <c r="B201" s="13"/>
      <c r="C201" s="13"/>
    </row>
    <row r="202" spans="1:3" ht="16.5" customHeight="1">
      <c r="A202" s="13"/>
      <c r="B202" s="13"/>
      <c r="C202" s="13"/>
    </row>
    <row r="203" spans="1:3" ht="16.5" customHeight="1">
      <c r="A203" s="13"/>
      <c r="B203" s="13"/>
      <c r="C203" s="13"/>
    </row>
    <row r="204" spans="1:3" ht="16.5" customHeight="1">
      <c r="A204" s="13"/>
      <c r="B204" s="13"/>
      <c r="C204" s="13"/>
    </row>
    <row r="205" spans="1:3" ht="16.5" customHeight="1">
      <c r="A205" s="13"/>
      <c r="B205" s="13"/>
      <c r="C205" s="13"/>
    </row>
    <row r="206" spans="1:3" ht="16.5" customHeight="1">
      <c r="A206" s="13"/>
      <c r="B206" s="13"/>
      <c r="C206" s="13"/>
    </row>
    <row r="207" spans="1:3" ht="16.5" customHeight="1">
      <c r="A207" s="13"/>
      <c r="B207" s="13"/>
      <c r="C207" s="13"/>
    </row>
    <row r="208" spans="1:3" ht="16.5" customHeight="1">
      <c r="A208" s="13"/>
      <c r="B208" s="13"/>
      <c r="C208" s="13"/>
    </row>
    <row r="209" spans="1:3" ht="16.5" customHeight="1">
      <c r="A209" s="13"/>
      <c r="B209" s="13"/>
      <c r="C209" s="13"/>
    </row>
    <row r="210" spans="1:3" ht="16.5" customHeight="1">
      <c r="A210" s="13"/>
      <c r="B210" s="13"/>
      <c r="C210" s="13"/>
    </row>
    <row r="211" spans="1:3" ht="16.5" customHeight="1">
      <c r="A211" s="13"/>
      <c r="B211" s="13"/>
      <c r="C211" s="13"/>
    </row>
    <row r="212" spans="1:3" ht="16.5" customHeight="1">
      <c r="A212" s="13"/>
      <c r="B212" s="13"/>
      <c r="C212" s="13"/>
    </row>
    <row r="213" spans="1:3" ht="16.5" customHeight="1">
      <c r="A213" s="13"/>
      <c r="B213" s="13"/>
      <c r="C213" s="13"/>
    </row>
    <row r="214" spans="1:3" ht="16.5" customHeight="1">
      <c r="A214" s="13"/>
      <c r="B214" s="13"/>
      <c r="C214" s="13"/>
    </row>
    <row r="215" spans="1:3" ht="16.5" customHeight="1">
      <c r="A215" s="13"/>
      <c r="B215" s="13"/>
      <c r="C215" s="13"/>
    </row>
    <row r="216" spans="1:3" ht="16.5" customHeight="1">
      <c r="A216" s="13"/>
      <c r="B216" s="13"/>
      <c r="C216" s="13"/>
    </row>
    <row r="217" spans="1:3" ht="16.5" customHeight="1">
      <c r="A217" s="13"/>
      <c r="B217" s="13"/>
      <c r="C217" s="13"/>
    </row>
    <row r="218" spans="1:3" ht="16.5" customHeight="1">
      <c r="A218" s="13"/>
      <c r="B218" s="13"/>
      <c r="C218" s="13"/>
    </row>
    <row r="219" spans="1:3" ht="16.5" customHeight="1">
      <c r="A219" s="13"/>
      <c r="B219" s="13"/>
      <c r="C219" s="13"/>
    </row>
    <row r="220" spans="1:3" ht="16.5" customHeight="1">
      <c r="A220" s="13"/>
      <c r="B220" s="13"/>
      <c r="C220" s="13"/>
    </row>
    <row r="221" spans="1:3" ht="16.5" customHeight="1">
      <c r="A221" s="13"/>
      <c r="B221" s="13"/>
      <c r="C221" s="13"/>
    </row>
    <row r="222" spans="1:3" ht="16.5" customHeight="1">
      <c r="A222" s="13"/>
      <c r="B222" s="13"/>
      <c r="C222" s="13"/>
    </row>
    <row r="223" spans="1:3" ht="16.5" customHeight="1">
      <c r="A223" s="13"/>
      <c r="B223" s="13"/>
      <c r="C223" s="13"/>
    </row>
    <row r="224" spans="1:3" ht="16.5" customHeight="1">
      <c r="A224" s="13"/>
      <c r="B224" s="13"/>
      <c r="C224" s="13"/>
    </row>
    <row r="225" spans="1:3" ht="16.5" customHeight="1">
      <c r="A225" s="13"/>
      <c r="B225" s="13"/>
      <c r="C225" s="13"/>
    </row>
    <row r="226" spans="1:3" ht="16.5" customHeight="1">
      <c r="A226" s="13"/>
      <c r="B226" s="13"/>
      <c r="C226" s="13"/>
    </row>
    <row r="227" spans="1:3" ht="16.5" customHeight="1">
      <c r="A227" s="13"/>
      <c r="B227" s="13"/>
      <c r="C227" s="13"/>
    </row>
    <row r="228" spans="1:3" ht="16.5" customHeight="1">
      <c r="A228" s="13"/>
      <c r="B228" s="13"/>
      <c r="C228" s="13"/>
    </row>
    <row r="229" spans="1:3" ht="16.5" customHeight="1">
      <c r="A229" s="13"/>
      <c r="B229" s="13"/>
      <c r="C229" s="13"/>
    </row>
    <row r="230" spans="1:3" ht="16.5" customHeight="1">
      <c r="A230" s="13"/>
      <c r="B230" s="13"/>
      <c r="C230" s="13"/>
    </row>
    <row r="231" spans="1:3" ht="16.5" customHeight="1">
      <c r="A231" s="13"/>
      <c r="B231" s="13"/>
      <c r="C231" s="13"/>
    </row>
    <row r="232" spans="1:3" ht="16.5" customHeight="1">
      <c r="A232" s="13"/>
      <c r="B232" s="13"/>
      <c r="C232" s="13"/>
    </row>
    <row r="233" spans="1:3" ht="16.5" customHeight="1">
      <c r="A233" s="13"/>
      <c r="B233" s="13"/>
      <c r="C233" s="13"/>
    </row>
    <row r="234" spans="1:3" ht="16.5" customHeight="1">
      <c r="A234" s="13"/>
      <c r="B234" s="13"/>
      <c r="C234" s="13"/>
    </row>
    <row r="235" spans="1:3" ht="16.5" customHeight="1">
      <c r="A235" s="13"/>
      <c r="B235" s="13"/>
      <c r="C235" s="13"/>
    </row>
    <row r="236" spans="1:3" ht="16.5" customHeight="1">
      <c r="A236" s="13"/>
      <c r="B236" s="13"/>
      <c r="C236" s="13"/>
    </row>
    <row r="237" spans="1:3" ht="16.5" customHeight="1">
      <c r="A237" s="13"/>
      <c r="B237" s="13"/>
      <c r="C237" s="13"/>
    </row>
    <row r="238" spans="1:3" ht="16.5" customHeight="1">
      <c r="A238" s="13"/>
      <c r="B238" s="13"/>
      <c r="C238" s="13"/>
    </row>
    <row r="239" spans="1:3" ht="16.5" customHeight="1">
      <c r="A239" s="13"/>
      <c r="B239" s="13"/>
      <c r="C239" s="13"/>
    </row>
    <row r="240" spans="1:3" ht="16.5" customHeight="1">
      <c r="A240" s="13"/>
      <c r="B240" s="13"/>
      <c r="C240" s="13"/>
    </row>
    <row r="241" spans="1:3" ht="16.5" customHeight="1">
      <c r="A241" s="13"/>
      <c r="B241" s="13"/>
      <c r="C241" s="13"/>
    </row>
    <row r="242" spans="1:3" ht="16.5" customHeight="1">
      <c r="A242" s="13"/>
      <c r="B242" s="13"/>
      <c r="C242" s="13"/>
    </row>
    <row r="243" spans="1:3" ht="16.5" customHeight="1">
      <c r="A243" s="13"/>
      <c r="B243" s="13"/>
      <c r="C243" s="13"/>
    </row>
    <row r="244" spans="1:3" ht="16.5" customHeight="1">
      <c r="A244" s="13"/>
      <c r="B244" s="13"/>
      <c r="C244" s="13"/>
    </row>
    <row r="245" spans="1:3" ht="16.5" customHeight="1">
      <c r="A245" s="13"/>
      <c r="B245" s="13"/>
      <c r="C245" s="13"/>
    </row>
    <row r="246" spans="1:3" ht="16.5" customHeight="1">
      <c r="A246" s="13"/>
      <c r="B246" s="13"/>
      <c r="C246" s="13"/>
    </row>
    <row r="247" spans="1:3" ht="16.5" customHeight="1">
      <c r="A247" s="13"/>
      <c r="B247" s="13"/>
      <c r="C247" s="13"/>
    </row>
    <row r="248" spans="1:3" ht="16.5" customHeight="1">
      <c r="A248" s="13"/>
      <c r="B248" s="13"/>
      <c r="C248" s="13"/>
    </row>
    <row r="249" spans="1:3" ht="16.5" customHeight="1">
      <c r="A249" s="13"/>
      <c r="B249" s="13"/>
      <c r="C249" s="13"/>
    </row>
    <row r="250" spans="1:3" ht="16.5" customHeight="1">
      <c r="A250" s="13"/>
      <c r="B250" s="13"/>
      <c r="C250" s="13"/>
    </row>
    <row r="251" spans="1:3" ht="16.5" customHeight="1">
      <c r="A251" s="13"/>
      <c r="B251" s="13"/>
      <c r="C251" s="13"/>
    </row>
    <row r="252" spans="1:3" ht="16.5" customHeight="1">
      <c r="A252" s="13"/>
      <c r="B252" s="13"/>
      <c r="C252" s="13"/>
    </row>
    <row r="253" spans="1:3" ht="16.5" customHeight="1">
      <c r="A253" s="13"/>
      <c r="B253" s="13"/>
      <c r="C253" s="13"/>
    </row>
    <row r="254" spans="1:3" ht="16.5" customHeight="1">
      <c r="A254" s="13"/>
      <c r="B254" s="13"/>
      <c r="C254" s="13"/>
    </row>
    <row r="255" spans="1:3" ht="16.5" customHeight="1">
      <c r="A255" s="13"/>
      <c r="B255" s="13"/>
      <c r="C255" s="13"/>
    </row>
    <row r="256" spans="1:3" ht="16.5" customHeight="1">
      <c r="A256" s="13"/>
      <c r="B256" s="13"/>
      <c r="C256" s="13"/>
    </row>
    <row r="257" spans="1:3" ht="16.5" customHeight="1">
      <c r="A257" s="13"/>
      <c r="B257" s="13"/>
      <c r="C257" s="13"/>
    </row>
    <row r="258" spans="1:3" ht="16.5" customHeight="1">
      <c r="A258" s="13"/>
      <c r="B258" s="13"/>
      <c r="C258" s="13"/>
    </row>
    <row r="259" spans="1:3" ht="16.5" customHeight="1">
      <c r="A259" s="13"/>
      <c r="B259" s="13"/>
      <c r="C259" s="13"/>
    </row>
    <row r="260" spans="1:3" ht="16.5" customHeight="1">
      <c r="A260" s="13"/>
      <c r="B260" s="13"/>
      <c r="C260" s="13"/>
    </row>
    <row r="261" spans="1:3" ht="16.5" customHeight="1">
      <c r="A261" s="13"/>
      <c r="B261" s="13"/>
      <c r="C261" s="13"/>
    </row>
    <row r="262" spans="1:3" ht="16.5" customHeight="1">
      <c r="A262" s="13"/>
      <c r="B262" s="13"/>
      <c r="C262" s="13"/>
    </row>
    <row r="263" spans="1:3" ht="16.5" customHeight="1">
      <c r="A263" s="13"/>
      <c r="B263" s="13"/>
      <c r="C263" s="13"/>
    </row>
    <row r="264" spans="1:3" ht="16.5" customHeight="1">
      <c r="A264" s="13"/>
      <c r="B264" s="13"/>
      <c r="C264" s="13"/>
    </row>
    <row r="265" spans="1:3" ht="16.5" customHeight="1">
      <c r="A265" s="13"/>
      <c r="B265" s="13"/>
      <c r="C265" s="13"/>
    </row>
    <row r="266" spans="1:3" ht="16.5" customHeight="1">
      <c r="A266" s="13"/>
      <c r="B266" s="13"/>
      <c r="C266" s="13"/>
    </row>
    <row r="267" spans="1:3" ht="16.5" customHeight="1">
      <c r="A267" s="13"/>
      <c r="B267" s="13"/>
      <c r="C267" s="13"/>
    </row>
    <row r="268" spans="1:3" ht="16.5" customHeight="1">
      <c r="A268" s="13"/>
      <c r="B268" s="13"/>
      <c r="C268" s="13"/>
    </row>
    <row r="269" spans="1:3" ht="16.5" customHeight="1">
      <c r="A269" s="13"/>
      <c r="B269" s="13"/>
      <c r="C269" s="13"/>
    </row>
    <row r="270" spans="1:3" ht="16.5" customHeight="1">
      <c r="A270" s="13"/>
      <c r="B270" s="13"/>
      <c r="C270" s="13"/>
    </row>
    <row r="271" spans="1:3" ht="16.5" customHeight="1">
      <c r="A271" s="13"/>
      <c r="B271" s="13"/>
      <c r="C271" s="13"/>
    </row>
    <row r="272" spans="1:3" ht="16.5" customHeight="1">
      <c r="A272" s="13"/>
      <c r="B272" s="13"/>
      <c r="C272" s="13"/>
    </row>
    <row r="273" spans="1:3" ht="16.5" customHeight="1">
      <c r="A273" s="13"/>
      <c r="B273" s="13"/>
      <c r="C273" s="13"/>
    </row>
    <row r="274" spans="1:3" ht="16.5" customHeight="1">
      <c r="A274" s="13"/>
      <c r="B274" s="13"/>
      <c r="C274" s="13"/>
    </row>
    <row r="275" spans="1:3" ht="16.5" customHeight="1">
      <c r="A275" s="13"/>
      <c r="B275" s="13"/>
      <c r="C275" s="13"/>
    </row>
    <row r="276" spans="1:3" ht="16.5" customHeight="1">
      <c r="A276" s="13"/>
      <c r="B276" s="13"/>
      <c r="C276" s="13"/>
    </row>
    <row r="277" spans="1:3" ht="16.5" customHeight="1">
      <c r="A277" s="13"/>
      <c r="B277" s="13"/>
      <c r="C277" s="13"/>
    </row>
    <row r="278" spans="1:3" ht="16.5" customHeight="1">
      <c r="A278" s="13"/>
      <c r="B278" s="13"/>
      <c r="C278" s="13"/>
    </row>
    <row r="279" spans="1:3" ht="16.5" customHeight="1">
      <c r="A279" s="13"/>
      <c r="B279" s="13"/>
      <c r="C279" s="13"/>
    </row>
    <row r="280" spans="1:3" ht="16.5" customHeight="1">
      <c r="A280" s="13"/>
      <c r="B280" s="13"/>
      <c r="C280" s="13"/>
    </row>
    <row r="281" spans="1:3" ht="16.5" customHeight="1">
      <c r="A281" s="13"/>
      <c r="B281" s="13"/>
      <c r="C281" s="13"/>
    </row>
    <row r="282" spans="1:3" ht="16.5" customHeight="1">
      <c r="A282" s="13"/>
      <c r="B282" s="13"/>
      <c r="C282" s="13"/>
    </row>
    <row r="283" spans="1:3" ht="16.5" customHeight="1">
      <c r="A283" s="13"/>
      <c r="B283" s="13"/>
      <c r="C283" s="13"/>
    </row>
    <row r="284" spans="1:3" ht="16.5" customHeight="1">
      <c r="A284" s="13"/>
      <c r="B284" s="13"/>
      <c r="C284" s="13"/>
    </row>
    <row r="285" spans="1:3" ht="16.5" customHeight="1">
      <c r="A285" s="13"/>
      <c r="B285" s="13"/>
      <c r="C285" s="13"/>
    </row>
    <row r="286" spans="1:3" ht="16.5" customHeight="1">
      <c r="A286" s="13"/>
      <c r="B286" s="13"/>
      <c r="C286" s="13"/>
    </row>
    <row r="287" spans="1:3" ht="16.5" customHeight="1">
      <c r="A287" s="13"/>
      <c r="B287" s="13"/>
      <c r="C287" s="13"/>
    </row>
    <row r="288" spans="1:3" ht="16.5" customHeight="1">
      <c r="A288" s="13"/>
      <c r="B288" s="13"/>
      <c r="C288" s="13"/>
    </row>
    <row r="289" spans="1:3" ht="16.5" customHeight="1">
      <c r="A289" s="13"/>
      <c r="B289" s="13"/>
      <c r="C289" s="13"/>
    </row>
    <row r="290" spans="1:3" ht="16.5" customHeight="1">
      <c r="A290" s="13"/>
      <c r="B290" s="13"/>
      <c r="C290" s="13"/>
    </row>
    <row r="291" spans="1:3" ht="16.5" customHeight="1">
      <c r="A291" s="13"/>
      <c r="B291" s="13"/>
      <c r="C291" s="13"/>
    </row>
    <row r="292" spans="1:3" ht="16.5" customHeight="1">
      <c r="A292" s="13"/>
      <c r="B292" s="13"/>
      <c r="C292" s="13"/>
    </row>
    <row r="293" spans="1:3" ht="16.5" customHeight="1">
      <c r="A293" s="13"/>
      <c r="B293" s="13"/>
      <c r="C293" s="13"/>
    </row>
    <row r="294" spans="1:3" ht="16.5" customHeight="1">
      <c r="A294" s="13"/>
      <c r="B294" s="13"/>
      <c r="C294" s="13"/>
    </row>
    <row r="295" spans="1:3" ht="16.5" customHeight="1">
      <c r="A295" s="13"/>
      <c r="B295" s="13"/>
      <c r="C295" s="13"/>
    </row>
    <row r="296" spans="1:3" ht="16.5" customHeight="1">
      <c r="A296" s="13"/>
      <c r="B296" s="13"/>
      <c r="C296" s="13"/>
    </row>
    <row r="297" spans="1:3" ht="16.5" customHeight="1">
      <c r="A297" s="13"/>
      <c r="B297" s="13"/>
      <c r="C297" s="13"/>
    </row>
    <row r="298" spans="1:3" ht="16.5" customHeight="1">
      <c r="A298" s="13"/>
      <c r="B298" s="13"/>
      <c r="C298" s="13"/>
    </row>
    <row r="299" spans="1:3" ht="16.5" customHeight="1">
      <c r="A299" s="13"/>
      <c r="B299" s="13"/>
      <c r="C299" s="13"/>
    </row>
    <row r="300" spans="1:3" ht="16.5" customHeight="1">
      <c r="A300" s="13"/>
      <c r="B300" s="13"/>
      <c r="C300" s="13"/>
    </row>
    <row r="301" spans="1:3" ht="16.5" customHeight="1">
      <c r="A301" s="13"/>
      <c r="B301" s="13"/>
      <c r="C301" s="13"/>
    </row>
    <row r="302" spans="1:3" ht="16.5" customHeight="1">
      <c r="A302" s="13"/>
      <c r="B302" s="13"/>
      <c r="C302" s="13"/>
    </row>
    <row r="303" spans="1:3" ht="16.5" customHeight="1">
      <c r="A303" s="13"/>
      <c r="B303" s="13"/>
      <c r="C303" s="13"/>
    </row>
    <row r="304" spans="1:3" ht="16.5" customHeight="1">
      <c r="A304" s="13"/>
      <c r="B304" s="13"/>
      <c r="C304" s="13"/>
    </row>
    <row r="305" spans="1:3" ht="16.5" customHeight="1">
      <c r="A305" s="13"/>
      <c r="B305" s="13"/>
      <c r="C305" s="13"/>
    </row>
    <row r="306" spans="1:3" ht="16.5" customHeight="1">
      <c r="A306" s="13"/>
      <c r="B306" s="13"/>
      <c r="C306" s="13"/>
    </row>
    <row r="307" spans="1:3" ht="16.5" customHeight="1">
      <c r="A307" s="13"/>
      <c r="B307" s="13"/>
      <c r="C307" s="13"/>
    </row>
    <row r="308" spans="1:3" ht="16.5" customHeight="1">
      <c r="A308" s="13"/>
      <c r="B308" s="13"/>
      <c r="C308" s="13"/>
    </row>
    <row r="309" spans="1:3" ht="16.5" customHeight="1">
      <c r="A309" s="13"/>
      <c r="B309" s="13"/>
      <c r="C309" s="13"/>
    </row>
    <row r="310" spans="1:3" ht="16.5" customHeight="1">
      <c r="A310" s="13"/>
      <c r="B310" s="13"/>
      <c r="C310" s="13"/>
    </row>
    <row r="311" spans="1:3" ht="16.5" customHeight="1">
      <c r="A311" s="13"/>
      <c r="B311" s="13"/>
      <c r="C311" s="13"/>
    </row>
    <row r="312" spans="1:3" ht="16.5" customHeight="1">
      <c r="A312" s="13"/>
      <c r="B312" s="13"/>
      <c r="C312" s="13"/>
    </row>
    <row r="313" spans="1:3" ht="16.5" customHeight="1">
      <c r="A313" s="13"/>
      <c r="B313" s="13"/>
      <c r="C313" s="13"/>
    </row>
    <row r="314" spans="1:3" ht="16.5" customHeight="1">
      <c r="A314" s="13"/>
      <c r="B314" s="13"/>
      <c r="C314" s="13"/>
    </row>
    <row r="315" spans="1:3" ht="16.5" customHeight="1">
      <c r="A315" s="13"/>
      <c r="B315" s="13"/>
      <c r="C315" s="13"/>
    </row>
    <row r="316" spans="1:3" ht="16.5" customHeight="1">
      <c r="A316" s="13"/>
      <c r="B316" s="13"/>
      <c r="C316" s="13"/>
    </row>
    <row r="317" spans="1:3" ht="16.5" customHeight="1">
      <c r="A317" s="13"/>
      <c r="B317" s="13"/>
      <c r="C317" s="13"/>
    </row>
    <row r="318" spans="1:3" ht="16.5" customHeight="1">
      <c r="A318" s="13"/>
      <c r="B318" s="13"/>
      <c r="C318" s="13"/>
    </row>
    <row r="319" spans="1:3" ht="16.5" customHeight="1">
      <c r="A319" s="13"/>
      <c r="B319" s="13"/>
      <c r="C319" s="13"/>
    </row>
    <row r="320" spans="1:3" ht="16.5" customHeight="1">
      <c r="A320" s="13"/>
      <c r="B320" s="13"/>
      <c r="C320" s="13"/>
    </row>
    <row r="321" spans="1:3" ht="16.5" customHeight="1">
      <c r="A321" s="13"/>
      <c r="B321" s="13"/>
      <c r="C321" s="13"/>
    </row>
    <row r="322" spans="1:3" ht="16.5" customHeight="1">
      <c r="A322" s="13"/>
      <c r="B322" s="13"/>
      <c r="C322" s="13"/>
    </row>
    <row r="323" spans="1:3" ht="16.5" customHeight="1">
      <c r="A323" s="13"/>
      <c r="B323" s="13"/>
      <c r="C323" s="13"/>
    </row>
    <row r="324" spans="1:3" ht="16.5" customHeight="1">
      <c r="A324" s="13"/>
      <c r="B324" s="13"/>
      <c r="C324" s="13"/>
    </row>
    <row r="325" spans="1:3" ht="16.5" customHeight="1">
      <c r="A325" s="13"/>
      <c r="B325" s="13"/>
      <c r="C325" s="13"/>
    </row>
    <row r="326" spans="1:3" ht="16.5" customHeight="1">
      <c r="A326" s="13"/>
      <c r="B326" s="13"/>
      <c r="C326" s="13"/>
    </row>
    <row r="327" spans="1:3" ht="16.5" customHeight="1">
      <c r="A327" s="13"/>
      <c r="B327" s="13"/>
      <c r="C327" s="13"/>
    </row>
    <row r="328" spans="1:3" ht="16.5" customHeight="1">
      <c r="A328" s="13"/>
      <c r="B328" s="13"/>
      <c r="C328" s="13"/>
    </row>
    <row r="329" spans="1:3" ht="16.5" customHeight="1">
      <c r="A329" s="13"/>
      <c r="B329" s="13"/>
      <c r="C329" s="13"/>
    </row>
    <row r="330" spans="1:3" ht="16.5" customHeight="1">
      <c r="A330" s="13"/>
      <c r="B330" s="13"/>
      <c r="C330" s="13"/>
    </row>
    <row r="331" spans="1:3" ht="16.5" customHeight="1">
      <c r="A331" s="13"/>
      <c r="B331" s="13"/>
      <c r="C331" s="13"/>
    </row>
    <row r="332" spans="1:3" ht="16.5" customHeight="1">
      <c r="A332" s="13"/>
      <c r="B332" s="13"/>
      <c r="C332" s="13"/>
    </row>
    <row r="333" spans="1:3" ht="16.5" customHeight="1">
      <c r="A333" s="13"/>
      <c r="B333" s="13"/>
      <c r="C333" s="13"/>
    </row>
    <row r="334" spans="1:3" ht="16.5" customHeight="1">
      <c r="A334" s="13"/>
      <c r="B334" s="13"/>
      <c r="C334" s="13"/>
    </row>
    <row r="335" spans="1:3" ht="16.5" customHeight="1">
      <c r="A335" s="13"/>
      <c r="B335" s="13"/>
      <c r="C335" s="13"/>
    </row>
    <row r="336" spans="1:3" ht="16.5" customHeight="1">
      <c r="A336" s="13"/>
      <c r="B336" s="13"/>
      <c r="C336" s="13"/>
    </row>
    <row r="337" spans="1:3" ht="16.5" customHeight="1">
      <c r="A337" s="13"/>
      <c r="B337" s="13"/>
      <c r="C337" s="13"/>
    </row>
    <row r="338" spans="1:3" ht="16.5" customHeight="1">
      <c r="A338" s="13"/>
      <c r="B338" s="13"/>
      <c r="C338" s="13"/>
    </row>
    <row r="339" spans="1:3" ht="16.5" customHeight="1">
      <c r="A339" s="13"/>
      <c r="B339" s="13"/>
      <c r="C339" s="13"/>
    </row>
    <row r="340" spans="1:3" ht="16.5" customHeight="1">
      <c r="A340" s="13"/>
      <c r="B340" s="13"/>
      <c r="C340" s="13"/>
    </row>
    <row r="341" spans="1:3" ht="16.5" customHeight="1">
      <c r="A341" s="13"/>
      <c r="B341" s="13"/>
      <c r="C341" s="13"/>
    </row>
    <row r="342" spans="1:3" ht="16.5" customHeight="1">
      <c r="A342" s="13"/>
      <c r="B342" s="13"/>
      <c r="C342" s="13"/>
    </row>
    <row r="343" spans="1:3" ht="16.5" customHeight="1">
      <c r="A343" s="13"/>
      <c r="B343" s="13"/>
      <c r="C343" s="13"/>
    </row>
    <row r="344" spans="1:3" ht="16.5" customHeight="1">
      <c r="A344" s="13"/>
      <c r="B344" s="13"/>
      <c r="C344" s="13"/>
    </row>
    <row r="345" spans="1:3" ht="16.5" customHeight="1">
      <c r="A345" s="13"/>
      <c r="B345" s="13"/>
      <c r="C345" s="13"/>
    </row>
    <row r="346" spans="1:3" ht="16.5" customHeight="1">
      <c r="A346" s="13"/>
      <c r="B346" s="13"/>
      <c r="C346" s="13"/>
    </row>
    <row r="347" spans="1:3" ht="16.5" customHeight="1">
      <c r="A347" s="13"/>
      <c r="B347" s="13"/>
      <c r="C347" s="13"/>
    </row>
    <row r="348" spans="1:3" ht="16.5" customHeight="1">
      <c r="A348" s="13"/>
      <c r="B348" s="13"/>
      <c r="C348" s="13"/>
    </row>
    <row r="349" spans="1:3" ht="16.5" customHeight="1">
      <c r="A349" s="13"/>
      <c r="B349" s="13"/>
      <c r="C349" s="13"/>
    </row>
    <row r="350" spans="1:3" ht="16.5" customHeight="1">
      <c r="A350" s="13"/>
      <c r="B350" s="13"/>
      <c r="C350" s="13"/>
    </row>
    <row r="351" spans="1:3" ht="16.5" customHeight="1">
      <c r="A351" s="13"/>
      <c r="B351" s="13"/>
      <c r="C351" s="13"/>
    </row>
    <row r="352" spans="1:3" ht="16.5" customHeight="1">
      <c r="A352" s="13"/>
      <c r="B352" s="13"/>
      <c r="C352" s="13"/>
    </row>
    <row r="353" spans="1:3" ht="16.5" customHeight="1">
      <c r="A353" s="13"/>
      <c r="B353" s="13"/>
      <c r="C353" s="13"/>
    </row>
    <row r="354" spans="1:3" ht="16.5" customHeight="1">
      <c r="A354" s="13"/>
      <c r="B354" s="13"/>
      <c r="C354" s="13"/>
    </row>
    <row r="355" spans="1:3" ht="16.5" customHeight="1">
      <c r="A355" s="13"/>
      <c r="B355" s="13"/>
      <c r="C355" s="13"/>
    </row>
    <row r="356" spans="1:3" ht="16.5" customHeight="1">
      <c r="A356" s="13"/>
      <c r="B356" s="13"/>
      <c r="C356" s="13"/>
    </row>
    <row r="357" spans="1:3" ht="16.5" customHeight="1">
      <c r="A357" s="13"/>
      <c r="B357" s="13"/>
      <c r="C357" s="13"/>
    </row>
    <row r="358" spans="1:3" ht="16.5" customHeight="1">
      <c r="A358" s="13"/>
      <c r="B358" s="13"/>
      <c r="C358" s="13"/>
    </row>
    <row r="359" spans="1:3" ht="16.5" customHeight="1">
      <c r="A359" s="13"/>
      <c r="B359" s="13"/>
      <c r="C359" s="13"/>
    </row>
    <row r="360" spans="1:3" ht="16.5" customHeight="1">
      <c r="A360" s="13"/>
      <c r="B360" s="13"/>
      <c r="C360" s="13"/>
    </row>
    <row r="361" spans="1:3" ht="16.5" customHeight="1">
      <c r="A361" s="13"/>
      <c r="B361" s="13"/>
      <c r="C361" s="13"/>
    </row>
    <row r="362" spans="1:3" ht="16.5" customHeight="1">
      <c r="A362" s="13"/>
      <c r="B362" s="13"/>
      <c r="C362" s="13"/>
    </row>
    <row r="363" spans="1:3" ht="16.5" customHeight="1">
      <c r="A363" s="13"/>
      <c r="B363" s="13"/>
      <c r="C363" s="13"/>
    </row>
    <row r="364" spans="1:3" ht="16.5" customHeight="1">
      <c r="A364" s="13"/>
      <c r="B364" s="13"/>
      <c r="C364" s="13"/>
    </row>
    <row r="365" spans="1:3" ht="16.5" customHeight="1">
      <c r="A365" s="13"/>
      <c r="B365" s="13"/>
      <c r="C365" s="13"/>
    </row>
    <row r="366" spans="1:3" ht="16.5" customHeight="1">
      <c r="A366" s="13"/>
      <c r="B366" s="13"/>
      <c r="C366" s="13"/>
    </row>
    <row r="367" spans="1:3" ht="16.5" customHeight="1">
      <c r="A367" s="13"/>
      <c r="B367" s="13"/>
      <c r="C367" s="13"/>
    </row>
    <row r="368" spans="1:3" ht="16.5" customHeight="1">
      <c r="A368" s="13"/>
      <c r="B368" s="13"/>
      <c r="C368" s="13"/>
    </row>
    <row r="369" spans="1:3" ht="16.5" customHeight="1">
      <c r="A369" s="13"/>
      <c r="B369" s="13"/>
      <c r="C369" s="13"/>
    </row>
    <row r="370" spans="1:3" ht="16.5" customHeight="1">
      <c r="A370" s="13"/>
      <c r="B370" s="13"/>
      <c r="C370" s="13"/>
    </row>
    <row r="371" spans="1:3" ht="16.5" customHeight="1">
      <c r="A371" s="13"/>
      <c r="B371" s="13"/>
      <c r="C371" s="13"/>
    </row>
    <row r="372" spans="1:3" ht="16.5" customHeight="1">
      <c r="A372" s="13"/>
      <c r="B372" s="13"/>
      <c r="C372" s="13"/>
    </row>
    <row r="373" spans="1:3" ht="16.5" customHeight="1">
      <c r="A373" s="13"/>
      <c r="B373" s="13"/>
      <c r="C373" s="13"/>
    </row>
    <row r="374" spans="1:3" ht="16.5" customHeight="1">
      <c r="A374" s="13"/>
      <c r="B374" s="13"/>
      <c r="C374" s="13"/>
    </row>
    <row r="375" spans="1:3" ht="16.5" customHeight="1">
      <c r="A375" s="13"/>
      <c r="B375" s="13"/>
      <c r="C375" s="13"/>
    </row>
    <row r="376" spans="1:3" ht="16.5" customHeight="1">
      <c r="A376" s="13"/>
      <c r="B376" s="13"/>
      <c r="C376" s="13"/>
    </row>
    <row r="377" spans="1:3" ht="16.5" customHeight="1">
      <c r="A377" s="13"/>
      <c r="B377" s="13"/>
      <c r="C377" s="13"/>
    </row>
    <row r="378" spans="1:3" ht="16.5" customHeight="1">
      <c r="A378" s="13"/>
      <c r="B378" s="13"/>
      <c r="C378" s="13"/>
    </row>
    <row r="379" spans="1:3" ht="16.5" customHeight="1">
      <c r="A379" s="13"/>
      <c r="B379" s="13"/>
      <c r="C379" s="13"/>
    </row>
    <row r="380" spans="1:3" ht="16.5" customHeight="1">
      <c r="A380" s="13"/>
      <c r="B380" s="13"/>
      <c r="C380" s="13"/>
    </row>
    <row r="381" spans="1:3" ht="16.5" customHeight="1">
      <c r="A381" s="13"/>
      <c r="B381" s="13"/>
      <c r="C381" s="13"/>
    </row>
    <row r="382" spans="1:3" ht="16.5" customHeight="1">
      <c r="A382" s="13"/>
      <c r="B382" s="13"/>
      <c r="C382" s="13"/>
    </row>
    <row r="383" spans="1:3" ht="16.5" customHeight="1">
      <c r="A383" s="13"/>
      <c r="B383" s="13"/>
      <c r="C383" s="13"/>
    </row>
    <row r="384" spans="1:3" ht="16.5" customHeight="1">
      <c r="A384" s="13"/>
      <c r="B384" s="13"/>
      <c r="C384" s="13"/>
    </row>
    <row r="385" spans="1:3" ht="16.5" customHeight="1">
      <c r="A385" s="13"/>
      <c r="B385" s="13"/>
      <c r="C385" s="13"/>
    </row>
    <row r="386" spans="1:3" ht="16.5" customHeight="1">
      <c r="A386" s="13"/>
      <c r="B386" s="13"/>
      <c r="C386" s="13"/>
    </row>
    <row r="387" spans="1:3" ht="16.5" customHeight="1">
      <c r="A387" s="13"/>
      <c r="B387" s="13"/>
      <c r="C387" s="13"/>
    </row>
    <row r="388" spans="1:3" ht="16.5" customHeight="1">
      <c r="A388" s="13"/>
      <c r="B388" s="13"/>
      <c r="C388" s="13"/>
    </row>
    <row r="389" spans="1:3" ht="16.5" customHeight="1">
      <c r="A389" s="13"/>
      <c r="B389" s="13"/>
      <c r="C389" s="13"/>
    </row>
    <row r="390" spans="1:3" ht="16.5" customHeight="1">
      <c r="A390" s="13"/>
      <c r="B390" s="13"/>
      <c r="C390" s="13"/>
    </row>
    <row r="391" spans="1:3" ht="16.5" customHeight="1">
      <c r="A391" s="13"/>
      <c r="B391" s="13"/>
      <c r="C391" s="13"/>
    </row>
    <row r="392" spans="1:3" ht="16.5" customHeight="1">
      <c r="A392" s="13"/>
      <c r="B392" s="13"/>
      <c r="C392" s="13"/>
    </row>
    <row r="393" spans="1:3" ht="16.5" customHeight="1">
      <c r="A393" s="13"/>
      <c r="B393" s="13"/>
      <c r="C393" s="13"/>
    </row>
    <row r="394" spans="1:3" ht="16.5" customHeight="1">
      <c r="A394" s="13"/>
      <c r="B394" s="13"/>
      <c r="C394" s="13"/>
    </row>
    <row r="395" spans="1:3" ht="16.5" customHeight="1">
      <c r="A395" s="13"/>
      <c r="B395" s="13"/>
      <c r="C395" s="13"/>
    </row>
    <row r="396" spans="1:3" ht="16.5" customHeight="1">
      <c r="A396" s="13"/>
      <c r="B396" s="13"/>
      <c r="C396" s="13"/>
    </row>
    <row r="397" spans="1:3" ht="16.5" customHeight="1">
      <c r="A397" s="13"/>
      <c r="B397" s="13"/>
      <c r="C397" s="13"/>
    </row>
    <row r="398" spans="1:3" ht="16.5" customHeight="1">
      <c r="A398" s="13"/>
      <c r="B398" s="13"/>
      <c r="C398" s="13"/>
    </row>
    <row r="399" spans="1:3" ht="16.5" customHeight="1">
      <c r="A399" s="13"/>
      <c r="B399" s="13"/>
      <c r="C399" s="13"/>
    </row>
    <row r="400" spans="1:3" ht="16.5" customHeight="1">
      <c r="A400" s="13"/>
      <c r="B400" s="13"/>
      <c r="C400" s="13"/>
    </row>
    <row r="401" spans="1:3" ht="16.5" customHeight="1">
      <c r="A401" s="13"/>
      <c r="B401" s="13"/>
      <c r="C401" s="13"/>
    </row>
    <row r="402" spans="1:3" ht="16.5" customHeight="1">
      <c r="A402" s="13"/>
      <c r="B402" s="13"/>
      <c r="C402" s="13"/>
    </row>
    <row r="403" spans="1:3" ht="16.5" customHeight="1">
      <c r="A403" s="13"/>
      <c r="B403" s="13"/>
      <c r="C403" s="13"/>
    </row>
    <row r="404" spans="1:3" ht="16.5" customHeight="1">
      <c r="A404" s="13"/>
      <c r="B404" s="13"/>
      <c r="C404" s="13"/>
    </row>
    <row r="405" spans="1:3" ht="16.5" customHeight="1">
      <c r="A405" s="13"/>
      <c r="B405" s="13"/>
      <c r="C405" s="13"/>
    </row>
    <row r="406" spans="1:3" ht="16.5" customHeight="1">
      <c r="A406" s="13"/>
      <c r="B406" s="13"/>
      <c r="C406" s="13"/>
    </row>
    <row r="407" spans="1:3" ht="16.5" customHeight="1">
      <c r="A407" s="13"/>
      <c r="B407" s="13"/>
      <c r="C407" s="13"/>
    </row>
    <row r="408" spans="1:3" ht="16.5" customHeight="1">
      <c r="A408" s="13"/>
      <c r="B408" s="13"/>
      <c r="C408" s="13"/>
    </row>
    <row r="409" spans="1:3" ht="16.5" customHeight="1">
      <c r="A409" s="13"/>
      <c r="B409" s="13"/>
      <c r="C409" s="13"/>
    </row>
    <row r="410" spans="1:3" ht="16.5" customHeight="1">
      <c r="A410" s="13"/>
      <c r="B410" s="13"/>
      <c r="C410" s="13"/>
    </row>
    <row r="411" spans="1:3" ht="16.5" customHeight="1">
      <c r="A411" s="13"/>
      <c r="B411" s="13"/>
      <c r="C411" s="13"/>
    </row>
    <row r="412" spans="1:3" ht="16.5" customHeight="1">
      <c r="A412" s="13"/>
      <c r="B412" s="13"/>
      <c r="C412" s="13"/>
    </row>
    <row r="413" spans="1:3" ht="16.5" customHeight="1">
      <c r="A413" s="13"/>
      <c r="B413" s="13"/>
      <c r="C413" s="13"/>
    </row>
    <row r="414" spans="1:3" ht="16.5" customHeight="1">
      <c r="A414" s="13"/>
      <c r="B414" s="13"/>
      <c r="C414" s="13"/>
    </row>
    <row r="415" spans="1:3" ht="16.5" customHeight="1">
      <c r="A415" s="13"/>
      <c r="B415" s="13"/>
      <c r="C415" s="13"/>
    </row>
    <row r="416" spans="1:3" ht="16.5" customHeight="1">
      <c r="A416" s="13"/>
      <c r="B416" s="13"/>
      <c r="C416" s="13"/>
    </row>
    <row r="417" spans="1:3" ht="16.5" customHeight="1">
      <c r="A417" s="13"/>
      <c r="B417" s="13"/>
      <c r="C417" s="13"/>
    </row>
    <row r="418" spans="1:3" ht="16.5" customHeight="1">
      <c r="A418" s="13"/>
      <c r="B418" s="13"/>
      <c r="C418" s="13"/>
    </row>
    <row r="419" spans="1:3" ht="16.5" customHeight="1">
      <c r="A419" s="13"/>
      <c r="B419" s="13"/>
      <c r="C419" s="13"/>
    </row>
    <row r="420" spans="1:3" ht="16.5" customHeight="1">
      <c r="A420" s="13"/>
      <c r="B420" s="13"/>
      <c r="C420" s="13"/>
    </row>
    <row r="421" spans="1:3" ht="16.5" customHeight="1">
      <c r="A421" s="13"/>
      <c r="B421" s="13"/>
      <c r="C421" s="13"/>
    </row>
    <row r="422" spans="1:3" ht="16.5" customHeight="1">
      <c r="A422" s="13"/>
      <c r="B422" s="13"/>
      <c r="C422" s="13"/>
    </row>
    <row r="423" spans="1:3" ht="16.5" customHeight="1">
      <c r="A423" s="13"/>
      <c r="B423" s="13"/>
      <c r="C423" s="13"/>
    </row>
    <row r="424" spans="1:3" ht="16.5" customHeight="1">
      <c r="A424" s="13"/>
      <c r="B424" s="13"/>
      <c r="C424" s="13"/>
    </row>
    <row r="425" spans="1:3" ht="16.5" customHeight="1">
      <c r="A425" s="13"/>
      <c r="B425" s="13"/>
      <c r="C425" s="13"/>
    </row>
    <row r="426" spans="1:3" ht="16.5" customHeight="1">
      <c r="A426" s="13"/>
      <c r="B426" s="13"/>
      <c r="C426" s="13"/>
    </row>
    <row r="427" spans="1:3" ht="16.5" customHeight="1">
      <c r="A427" s="13"/>
      <c r="B427" s="13"/>
      <c r="C427" s="13"/>
    </row>
    <row r="428" spans="1:3" ht="16.5" customHeight="1">
      <c r="A428" s="13"/>
      <c r="B428" s="13"/>
      <c r="C428" s="13"/>
    </row>
    <row r="429" spans="1:3" ht="16.5" customHeight="1">
      <c r="A429" s="13"/>
      <c r="B429" s="13"/>
      <c r="C429" s="13"/>
    </row>
    <row r="430" spans="1:3" ht="16.5" customHeight="1">
      <c r="A430" s="13"/>
      <c r="B430" s="13"/>
      <c r="C430" s="13"/>
    </row>
    <row r="431" spans="1:3" ht="16.5" customHeight="1">
      <c r="A431" s="13"/>
      <c r="B431" s="13"/>
      <c r="C431" s="13"/>
    </row>
    <row r="432" spans="1:3" ht="16.5" customHeight="1">
      <c r="A432" s="13"/>
      <c r="B432" s="13"/>
      <c r="C432" s="13"/>
    </row>
    <row r="433" spans="1:3" ht="16.5" customHeight="1">
      <c r="A433" s="13"/>
      <c r="B433" s="13"/>
      <c r="C433" s="13"/>
    </row>
    <row r="434" spans="1:3" ht="16.5" customHeight="1">
      <c r="A434" s="13"/>
      <c r="B434" s="13"/>
      <c r="C434" s="13"/>
    </row>
    <row r="435" spans="1:3" ht="16.5" customHeight="1">
      <c r="A435" s="13"/>
      <c r="B435" s="13"/>
      <c r="C435" s="13"/>
    </row>
    <row r="436" spans="1:3" ht="16.5" customHeight="1">
      <c r="A436" s="13"/>
      <c r="B436" s="13"/>
      <c r="C436" s="13"/>
    </row>
    <row r="437" spans="1:3" ht="16.5" customHeight="1">
      <c r="A437" s="13"/>
      <c r="B437" s="13"/>
      <c r="C437" s="13"/>
    </row>
    <row r="438" spans="1:3" ht="16.5" customHeight="1">
      <c r="A438" s="13"/>
      <c r="B438" s="13"/>
      <c r="C438" s="13"/>
    </row>
    <row r="439" spans="1:3" ht="16.5" customHeight="1">
      <c r="A439" s="13"/>
      <c r="B439" s="13"/>
      <c r="C439" s="13"/>
    </row>
    <row r="440" spans="1:3" ht="16.5" customHeight="1">
      <c r="A440" s="13"/>
      <c r="B440" s="13"/>
      <c r="C440" s="13"/>
    </row>
    <row r="441" spans="1:3" ht="16.5" customHeight="1">
      <c r="A441" s="13"/>
      <c r="B441" s="13"/>
      <c r="C441" s="13"/>
    </row>
    <row r="442" spans="1:3" ht="16.5" customHeight="1">
      <c r="A442" s="13"/>
      <c r="B442" s="13"/>
      <c r="C442" s="13"/>
    </row>
    <row r="443" spans="1:3" ht="16.5" customHeight="1">
      <c r="A443" s="13"/>
      <c r="B443" s="13"/>
      <c r="C443" s="13"/>
    </row>
    <row r="444" spans="1:3" ht="16.5" customHeight="1">
      <c r="A444" s="13"/>
      <c r="B444" s="13"/>
      <c r="C444" s="13"/>
    </row>
    <row r="445" spans="1:3" ht="16.5" customHeight="1">
      <c r="A445" s="13"/>
      <c r="B445" s="13"/>
      <c r="C445" s="13"/>
    </row>
    <row r="446" spans="1:3" ht="16.5" customHeight="1">
      <c r="A446" s="13"/>
      <c r="B446" s="13"/>
      <c r="C446" s="13"/>
    </row>
    <row r="447" spans="1:3" ht="16.5" customHeight="1">
      <c r="A447" s="13"/>
      <c r="B447" s="13"/>
      <c r="C447" s="13"/>
    </row>
    <row r="448" spans="1:3" ht="16.5" customHeight="1">
      <c r="A448" s="13"/>
      <c r="B448" s="13"/>
      <c r="C448" s="13"/>
    </row>
    <row r="449" spans="1:3" ht="16.5" customHeight="1">
      <c r="A449" s="13"/>
      <c r="B449" s="13"/>
      <c r="C449" s="13"/>
    </row>
    <row r="450" spans="1:3" ht="16.5" customHeight="1">
      <c r="A450" s="13"/>
      <c r="B450" s="13"/>
      <c r="C450" s="13"/>
    </row>
    <row r="451" spans="1:3" ht="16.5" customHeight="1">
      <c r="A451" s="13"/>
      <c r="B451" s="13"/>
      <c r="C451" s="13"/>
    </row>
    <row r="452" spans="1:3" ht="16.5" customHeight="1">
      <c r="A452" s="13"/>
      <c r="B452" s="13"/>
      <c r="C452" s="13"/>
    </row>
    <row r="453" spans="1:3" ht="16.5" customHeight="1">
      <c r="A453" s="13"/>
      <c r="B453" s="13"/>
      <c r="C453" s="13"/>
    </row>
    <row r="454" spans="1:3" ht="16.5" customHeight="1">
      <c r="A454" s="13"/>
      <c r="B454" s="13"/>
      <c r="C454" s="13"/>
    </row>
    <row r="455" spans="1:3" ht="16.5" customHeight="1">
      <c r="A455" s="13"/>
      <c r="B455" s="13"/>
      <c r="C455" s="13"/>
    </row>
    <row r="456" spans="1:3" ht="16.5" customHeight="1">
      <c r="A456" s="13"/>
      <c r="B456" s="13"/>
      <c r="C456" s="13"/>
    </row>
    <row r="457" spans="1:3" ht="16.5" customHeight="1">
      <c r="A457" s="13"/>
      <c r="B457" s="13"/>
      <c r="C457" s="13"/>
    </row>
    <row r="458" spans="1:3" ht="16.5" customHeight="1">
      <c r="A458" s="13"/>
      <c r="B458" s="13"/>
      <c r="C458" s="13"/>
    </row>
    <row r="459" spans="1:3" ht="16.5" customHeight="1">
      <c r="A459" s="13"/>
      <c r="B459" s="13"/>
      <c r="C459" s="13"/>
    </row>
    <row r="460" spans="1:3" ht="16.5" customHeight="1">
      <c r="A460" s="13"/>
      <c r="B460" s="13"/>
      <c r="C460" s="13"/>
    </row>
    <row r="461" spans="1:3" ht="16.5" customHeight="1">
      <c r="A461" s="13"/>
      <c r="B461" s="13"/>
      <c r="C461" s="13"/>
    </row>
    <row r="462" spans="1:3" ht="16.5" customHeight="1">
      <c r="A462" s="13"/>
      <c r="B462" s="13"/>
      <c r="C462" s="13"/>
    </row>
    <row r="463" spans="1:3" ht="16.5" customHeight="1">
      <c r="A463" s="13"/>
      <c r="B463" s="13"/>
      <c r="C463" s="13"/>
    </row>
    <row r="464" spans="1:3" ht="16.5" customHeight="1">
      <c r="A464" s="13"/>
      <c r="B464" s="13"/>
      <c r="C464" s="13"/>
    </row>
    <row r="465" spans="1:3" ht="16.5" customHeight="1">
      <c r="A465" s="13"/>
      <c r="B465" s="13"/>
      <c r="C465" s="13"/>
    </row>
    <row r="466" spans="1:3" ht="16.5" customHeight="1">
      <c r="A466" s="13"/>
      <c r="B466" s="13"/>
      <c r="C466" s="13"/>
    </row>
    <row r="467" spans="1:3" ht="16.5" customHeight="1">
      <c r="A467" s="13"/>
      <c r="B467" s="13"/>
      <c r="C467" s="13"/>
    </row>
    <row r="468" spans="1:3" ht="16.5" customHeight="1">
      <c r="A468" s="13"/>
      <c r="B468" s="13"/>
      <c r="C468" s="13"/>
    </row>
    <row r="469" spans="1:3" ht="16.5" customHeight="1">
      <c r="A469" s="13"/>
      <c r="B469" s="13"/>
      <c r="C469" s="13"/>
    </row>
    <row r="470" spans="1:3" ht="16.5" customHeight="1">
      <c r="A470" s="13"/>
      <c r="B470" s="13"/>
      <c r="C470" s="13"/>
    </row>
    <row r="471" spans="1:3" ht="16.5" customHeight="1">
      <c r="A471" s="13"/>
      <c r="B471" s="13"/>
      <c r="C471" s="13"/>
    </row>
    <row r="472" spans="1:3" ht="16.5" customHeight="1">
      <c r="A472" s="13"/>
      <c r="B472" s="13"/>
      <c r="C472" s="13"/>
    </row>
    <row r="473" spans="1:3" ht="16.5" customHeight="1">
      <c r="A473" s="13"/>
      <c r="B473" s="13"/>
      <c r="C473" s="13"/>
    </row>
    <row r="474" spans="1:3" ht="16.5" customHeight="1">
      <c r="A474" s="13"/>
      <c r="B474" s="13"/>
      <c r="C474" s="13"/>
    </row>
    <row r="475" spans="1:3" ht="16.5" customHeight="1">
      <c r="A475" s="13"/>
      <c r="B475" s="13"/>
      <c r="C475" s="13"/>
    </row>
    <row r="476" spans="1:3" ht="16.5" customHeight="1">
      <c r="A476" s="13"/>
      <c r="B476" s="13"/>
      <c r="C476" s="13"/>
    </row>
    <row r="477" spans="1:3" ht="16.5" customHeight="1">
      <c r="A477" s="13"/>
      <c r="B477" s="13"/>
      <c r="C477" s="13"/>
    </row>
    <row r="478" spans="1:3" ht="16.5" customHeight="1">
      <c r="A478" s="13"/>
      <c r="B478" s="13"/>
      <c r="C478" s="13"/>
    </row>
    <row r="479" spans="1:3" ht="16.5" customHeight="1">
      <c r="A479" s="13"/>
      <c r="B479" s="13"/>
      <c r="C479" s="13"/>
    </row>
    <row r="480" spans="1:3" ht="16.5" customHeight="1">
      <c r="A480" s="13"/>
      <c r="B480" s="13"/>
      <c r="C480" s="13"/>
    </row>
    <row r="481" spans="1:3" ht="16.5" customHeight="1">
      <c r="A481" s="13"/>
      <c r="B481" s="13"/>
      <c r="C481" s="13"/>
    </row>
    <row r="482" spans="1:3" ht="16.5" customHeight="1">
      <c r="A482" s="13"/>
      <c r="B482" s="13"/>
      <c r="C482" s="13"/>
    </row>
    <row r="483" spans="1:3" ht="16.5" customHeight="1">
      <c r="A483" s="13"/>
      <c r="B483" s="13"/>
      <c r="C483" s="13"/>
    </row>
    <row r="484" spans="1:3" ht="16.5" customHeight="1">
      <c r="A484" s="13"/>
      <c r="B484" s="13"/>
      <c r="C484" s="13"/>
    </row>
    <row r="485" spans="1:3" ht="16.5" customHeight="1">
      <c r="A485" s="13"/>
      <c r="B485" s="13"/>
      <c r="C485" s="13"/>
    </row>
    <row r="486" spans="1:3" ht="16.5" customHeight="1">
      <c r="A486" s="13"/>
      <c r="B486" s="13"/>
      <c r="C486" s="13"/>
    </row>
    <row r="487" spans="1:3" ht="16.5" customHeight="1">
      <c r="A487" s="13"/>
      <c r="B487" s="13"/>
      <c r="C487" s="13"/>
    </row>
    <row r="488" spans="1:3" ht="16.5" customHeight="1">
      <c r="A488" s="13"/>
      <c r="B488" s="13"/>
      <c r="C488" s="13"/>
    </row>
    <row r="489" spans="1:3" ht="16.5" customHeight="1">
      <c r="A489" s="13"/>
      <c r="B489" s="13"/>
      <c r="C489" s="13"/>
    </row>
    <row r="490" spans="1:3" ht="16.5" customHeight="1">
      <c r="A490" s="13"/>
      <c r="B490" s="13"/>
      <c r="C490" s="13"/>
    </row>
    <row r="491" spans="1:3" ht="16.5" customHeight="1">
      <c r="A491" s="13"/>
      <c r="B491" s="13"/>
      <c r="C491" s="13"/>
    </row>
    <row r="492" spans="1:3" ht="16.5" customHeight="1">
      <c r="A492" s="13"/>
      <c r="B492" s="13"/>
      <c r="C492" s="13"/>
    </row>
    <row r="493" spans="1:3" ht="16.5" customHeight="1">
      <c r="A493" s="13"/>
      <c r="B493" s="13"/>
      <c r="C493" s="13"/>
    </row>
    <row r="494" spans="1:3" ht="16.5" customHeight="1">
      <c r="A494" s="13"/>
      <c r="B494" s="13"/>
      <c r="C494" s="13"/>
    </row>
    <row r="495" spans="1:3" ht="16.5" customHeight="1">
      <c r="A495" s="13"/>
      <c r="B495" s="13"/>
      <c r="C495" s="13"/>
    </row>
    <row r="496" spans="1:3" ht="16.5" customHeight="1">
      <c r="A496" s="13"/>
      <c r="B496" s="13"/>
      <c r="C496" s="13"/>
    </row>
    <row r="497" spans="1:3" ht="16.5" customHeight="1">
      <c r="A497" s="13"/>
      <c r="B497" s="13"/>
      <c r="C497" s="13"/>
    </row>
    <row r="498" spans="1:3" ht="16.5" customHeight="1">
      <c r="A498" s="13"/>
      <c r="B498" s="13"/>
      <c r="C498" s="13"/>
    </row>
    <row r="499" spans="1:3" ht="16.5" customHeight="1">
      <c r="A499" s="13"/>
      <c r="B499" s="13"/>
      <c r="C499" s="13"/>
    </row>
    <row r="500" spans="1:3" ht="16.5" customHeight="1">
      <c r="A500" s="13"/>
      <c r="B500" s="13"/>
      <c r="C500" s="13"/>
    </row>
    <row r="501" spans="1:3" ht="16.5" customHeight="1">
      <c r="A501" s="13"/>
      <c r="B501" s="13"/>
      <c r="C501" s="13"/>
    </row>
    <row r="502" spans="1:3" ht="16.5" customHeight="1">
      <c r="A502" s="13"/>
      <c r="B502" s="13"/>
      <c r="C502" s="13"/>
    </row>
    <row r="503" spans="1:3" ht="16.5" customHeight="1">
      <c r="A503" s="13"/>
      <c r="B503" s="13"/>
      <c r="C503" s="13"/>
    </row>
    <row r="504" spans="1:3" ht="16.5" customHeight="1">
      <c r="A504" s="13"/>
      <c r="B504" s="13"/>
      <c r="C504" s="13"/>
    </row>
    <row r="505" spans="1:3" ht="16.5" customHeight="1">
      <c r="A505" s="13"/>
      <c r="B505" s="13"/>
      <c r="C505" s="13"/>
    </row>
    <row r="506" spans="1:3" ht="16.5" customHeight="1">
      <c r="A506" s="13"/>
      <c r="B506" s="13"/>
      <c r="C506" s="13"/>
    </row>
    <row r="507" spans="1:3" ht="16.5" customHeight="1">
      <c r="A507" s="13"/>
      <c r="B507" s="13"/>
      <c r="C507" s="13"/>
    </row>
    <row r="508" spans="1:3" ht="16.5" customHeight="1">
      <c r="A508" s="13"/>
      <c r="B508" s="13"/>
      <c r="C508" s="13"/>
    </row>
    <row r="509" spans="1:3" ht="16.5" customHeight="1">
      <c r="A509" s="13"/>
      <c r="B509" s="13"/>
      <c r="C509" s="13"/>
    </row>
    <row r="510" spans="1:3" ht="16.5" customHeight="1">
      <c r="A510" s="13"/>
      <c r="B510" s="13"/>
      <c r="C510" s="13"/>
    </row>
    <row r="511" spans="1:3" ht="16.5" customHeight="1">
      <c r="A511" s="13"/>
      <c r="B511" s="13"/>
      <c r="C511" s="13"/>
    </row>
    <row r="512" spans="1:3" ht="16.5" customHeight="1">
      <c r="A512" s="13"/>
      <c r="B512" s="13"/>
      <c r="C512" s="13"/>
    </row>
    <row r="513" spans="1:3" ht="16.5" customHeight="1">
      <c r="A513" s="13"/>
      <c r="B513" s="13"/>
      <c r="C513" s="13"/>
    </row>
    <row r="514" spans="1:3" ht="16.5" customHeight="1">
      <c r="A514" s="13"/>
      <c r="B514" s="13"/>
      <c r="C514" s="13"/>
    </row>
    <row r="515" spans="1:3" ht="16.5" customHeight="1">
      <c r="A515" s="13"/>
      <c r="B515" s="13"/>
      <c r="C515" s="13"/>
    </row>
    <row r="516" spans="1:3" ht="16.5" customHeight="1">
      <c r="A516" s="13"/>
      <c r="B516" s="13"/>
      <c r="C516" s="13"/>
    </row>
    <row r="517" spans="1:3" ht="16.5" customHeight="1">
      <c r="A517" s="13"/>
      <c r="B517" s="13"/>
      <c r="C517" s="13"/>
    </row>
    <row r="518" spans="1:3" ht="16.5" customHeight="1">
      <c r="A518" s="13"/>
      <c r="B518" s="13"/>
      <c r="C518" s="13"/>
    </row>
    <row r="519" spans="1:3" ht="16.5" customHeight="1">
      <c r="A519" s="13"/>
      <c r="B519" s="13"/>
      <c r="C519" s="13"/>
    </row>
    <row r="520" spans="1:3" ht="16.5" customHeight="1">
      <c r="A520" s="13"/>
      <c r="B520" s="13"/>
      <c r="C520" s="13"/>
    </row>
    <row r="521" spans="1:3" ht="16.5" customHeight="1">
      <c r="A521" s="13"/>
      <c r="B521" s="13"/>
      <c r="C521" s="13"/>
    </row>
    <row r="522" spans="1:3" ht="16.5" customHeight="1">
      <c r="A522" s="13"/>
      <c r="B522" s="13"/>
      <c r="C522" s="13"/>
    </row>
    <row r="523" spans="1:3" ht="16.5" customHeight="1">
      <c r="A523" s="13"/>
      <c r="B523" s="13"/>
      <c r="C523" s="13"/>
    </row>
    <row r="524" spans="1:3" ht="16.5" customHeight="1">
      <c r="A524" s="13"/>
      <c r="B524" s="13"/>
      <c r="C524" s="13"/>
    </row>
    <row r="525" spans="1:3" ht="16.5" customHeight="1">
      <c r="A525" s="13"/>
      <c r="B525" s="13"/>
      <c r="C525" s="13"/>
    </row>
    <row r="526" spans="1:3" ht="16.5" customHeight="1">
      <c r="A526" s="13"/>
      <c r="B526" s="13"/>
      <c r="C526" s="13"/>
    </row>
    <row r="527" spans="1:3" ht="16.5" customHeight="1">
      <c r="A527" s="13"/>
      <c r="B527" s="13"/>
      <c r="C527" s="13"/>
    </row>
    <row r="528" spans="1:3" ht="16.5" customHeight="1">
      <c r="A528" s="13"/>
      <c r="B528" s="13"/>
      <c r="C528" s="13"/>
    </row>
    <row r="529" spans="1:3" ht="16.5" customHeight="1">
      <c r="A529" s="13"/>
      <c r="B529" s="13"/>
      <c r="C529" s="13"/>
    </row>
    <row r="530" spans="1:3" ht="16.5" customHeight="1">
      <c r="A530" s="13"/>
      <c r="B530" s="13"/>
      <c r="C530" s="13"/>
    </row>
    <row r="531" spans="1:3" ht="16.5" customHeight="1">
      <c r="A531" s="13"/>
      <c r="B531" s="13"/>
      <c r="C531" s="13"/>
    </row>
    <row r="532" spans="1:3" ht="16.5" customHeight="1">
      <c r="A532" s="13"/>
      <c r="B532" s="13"/>
      <c r="C532" s="13"/>
    </row>
    <row r="533" spans="1:3" ht="16.5" customHeight="1">
      <c r="A533" s="13"/>
      <c r="B533" s="13"/>
      <c r="C533" s="13"/>
    </row>
    <row r="534" spans="1:3" ht="16.5" customHeight="1">
      <c r="A534" s="13"/>
      <c r="B534" s="13"/>
      <c r="C534" s="13"/>
    </row>
    <row r="535" spans="1:3" ht="16.5" customHeight="1">
      <c r="A535" s="13"/>
      <c r="B535" s="13"/>
      <c r="C535" s="13"/>
    </row>
    <row r="536" spans="1:3" ht="16.5" customHeight="1">
      <c r="A536" s="13"/>
      <c r="B536" s="13"/>
      <c r="C536" s="13"/>
    </row>
    <row r="537" spans="1:3" ht="16.5" customHeight="1">
      <c r="A537" s="13"/>
      <c r="B537" s="13"/>
      <c r="C537" s="13"/>
    </row>
    <row r="538" spans="1:3" ht="16.5" customHeight="1">
      <c r="A538" s="13"/>
      <c r="B538" s="13"/>
      <c r="C538" s="13"/>
    </row>
    <row r="539" spans="1:3" ht="16.5" customHeight="1">
      <c r="A539" s="13"/>
      <c r="B539" s="13"/>
      <c r="C539" s="13"/>
    </row>
    <row r="540" spans="1:3" ht="16.5" customHeight="1">
      <c r="A540" s="13"/>
      <c r="B540" s="13"/>
      <c r="C540" s="13"/>
    </row>
    <row r="541" spans="1:3" ht="16.5" customHeight="1">
      <c r="A541" s="13"/>
      <c r="B541" s="13"/>
      <c r="C541" s="13"/>
    </row>
    <row r="542" spans="1:3" ht="16.5" customHeight="1">
      <c r="A542" s="13"/>
      <c r="B542" s="13"/>
      <c r="C542" s="13"/>
    </row>
    <row r="543" spans="1:3" ht="16.5" customHeight="1">
      <c r="A543" s="13"/>
      <c r="B543" s="13"/>
      <c r="C543" s="13"/>
    </row>
    <row r="544" spans="1:3" ht="16.5" customHeight="1">
      <c r="A544" s="13"/>
      <c r="B544" s="13"/>
      <c r="C544" s="13"/>
    </row>
    <row r="545" spans="1:3" ht="16.5" customHeight="1">
      <c r="A545" s="13"/>
      <c r="B545" s="13"/>
      <c r="C545" s="13"/>
    </row>
    <row r="546" spans="1:3" ht="16.5" customHeight="1">
      <c r="A546" s="13"/>
      <c r="B546" s="13"/>
      <c r="C546" s="13"/>
    </row>
    <row r="547" spans="1:3" ht="16.5" customHeight="1">
      <c r="A547" s="13"/>
      <c r="B547" s="13"/>
      <c r="C547" s="13"/>
    </row>
    <row r="548" spans="1:3" ht="16.5" customHeight="1">
      <c r="A548" s="13"/>
      <c r="B548" s="13"/>
      <c r="C548" s="13"/>
    </row>
    <row r="549" spans="1:3" ht="16.5" customHeight="1">
      <c r="A549" s="13"/>
      <c r="B549" s="13"/>
      <c r="C549" s="13"/>
    </row>
    <row r="550" spans="1:3" ht="16.5" customHeight="1">
      <c r="A550" s="13"/>
      <c r="B550" s="13"/>
      <c r="C550" s="13"/>
    </row>
    <row r="551" spans="1:3" ht="16.5" customHeight="1">
      <c r="A551" s="13"/>
      <c r="B551" s="13"/>
      <c r="C551" s="13"/>
    </row>
    <row r="552" spans="1:3" ht="16.5" customHeight="1">
      <c r="A552" s="13"/>
      <c r="B552" s="13"/>
      <c r="C552" s="13"/>
    </row>
    <row r="553" spans="1:3" ht="16.5" customHeight="1">
      <c r="A553" s="13"/>
      <c r="B553" s="13"/>
      <c r="C553" s="13"/>
    </row>
    <row r="554" spans="1:3" ht="16.5" customHeight="1">
      <c r="A554" s="13"/>
      <c r="B554" s="13"/>
      <c r="C554" s="13"/>
    </row>
    <row r="555" spans="1:3" ht="16.5" customHeight="1">
      <c r="A555" s="13"/>
      <c r="B555" s="13"/>
      <c r="C555" s="13"/>
    </row>
    <row r="556" spans="1:3" ht="16.5" customHeight="1">
      <c r="A556" s="13"/>
      <c r="B556" s="13"/>
      <c r="C556" s="13"/>
    </row>
    <row r="557" spans="1:3" ht="16.5" customHeight="1">
      <c r="A557" s="13"/>
      <c r="B557" s="13"/>
      <c r="C557" s="13"/>
    </row>
    <row r="558" spans="1:3" ht="16.5" customHeight="1">
      <c r="A558" s="13"/>
      <c r="B558" s="13"/>
      <c r="C558" s="13"/>
    </row>
    <row r="559" spans="1:3" ht="16.5" customHeight="1">
      <c r="A559" s="13"/>
      <c r="B559" s="13"/>
      <c r="C559" s="13"/>
    </row>
    <row r="560" spans="1:3" ht="16.5" customHeight="1">
      <c r="A560" s="13"/>
      <c r="B560" s="13"/>
      <c r="C560" s="13"/>
    </row>
    <row r="561" spans="1:3" ht="16.5" customHeight="1">
      <c r="A561" s="13"/>
      <c r="B561" s="13"/>
      <c r="C561" s="13"/>
    </row>
    <row r="562" spans="1:3" ht="16.5" customHeight="1">
      <c r="A562" s="13"/>
      <c r="B562" s="13"/>
      <c r="C562" s="13"/>
    </row>
    <row r="563" spans="1:3" ht="16.5" customHeight="1">
      <c r="A563" s="13"/>
      <c r="B563" s="13"/>
      <c r="C563" s="13"/>
    </row>
    <row r="564" spans="1:3" ht="16.5" customHeight="1">
      <c r="A564" s="13"/>
      <c r="B564" s="13"/>
      <c r="C564" s="13"/>
    </row>
    <row r="565" spans="1:3" ht="16.5" customHeight="1">
      <c r="A565" s="13"/>
      <c r="B565" s="13"/>
      <c r="C565" s="13"/>
    </row>
    <row r="566" spans="1:3" ht="16.5" customHeight="1">
      <c r="A566" s="13"/>
      <c r="B566" s="13"/>
      <c r="C566" s="13"/>
    </row>
    <row r="567" spans="1:3" ht="16.5" customHeight="1">
      <c r="A567" s="13"/>
      <c r="B567" s="13"/>
      <c r="C567" s="13"/>
    </row>
    <row r="568" spans="1:3" ht="16.5" customHeight="1">
      <c r="A568" s="13"/>
      <c r="B568" s="13"/>
      <c r="C568" s="13"/>
    </row>
    <row r="569" spans="1:3" ht="16.5" customHeight="1">
      <c r="A569" s="13"/>
      <c r="B569" s="13"/>
      <c r="C569" s="13"/>
    </row>
    <row r="570" spans="1:3" ht="16.5" customHeight="1">
      <c r="A570" s="13"/>
      <c r="B570" s="13"/>
      <c r="C570" s="13"/>
    </row>
    <row r="571" spans="1:3" ht="16.5" customHeight="1">
      <c r="A571" s="13"/>
      <c r="B571" s="13"/>
      <c r="C571" s="13"/>
    </row>
    <row r="572" spans="1:3" ht="16.5" customHeight="1">
      <c r="A572" s="13"/>
      <c r="B572" s="13"/>
      <c r="C572" s="13"/>
    </row>
    <row r="573" spans="1:3" ht="16.5" customHeight="1">
      <c r="A573" s="13"/>
      <c r="B573" s="13"/>
      <c r="C573" s="13"/>
    </row>
    <row r="574" spans="1:3" ht="16.5" customHeight="1">
      <c r="A574" s="13"/>
      <c r="B574" s="13"/>
      <c r="C574" s="13"/>
    </row>
    <row r="575" spans="1:3" ht="16.5" customHeight="1">
      <c r="A575" s="13"/>
      <c r="B575" s="13"/>
      <c r="C575" s="13"/>
    </row>
    <row r="576" spans="1:3" ht="16.5" customHeight="1">
      <c r="A576" s="13"/>
      <c r="B576" s="13"/>
      <c r="C576" s="13"/>
    </row>
    <row r="577" spans="1:3" ht="16.5" customHeight="1">
      <c r="A577" s="13"/>
      <c r="B577" s="13"/>
      <c r="C577" s="13"/>
    </row>
    <row r="578" spans="1:3" ht="16.5" customHeight="1">
      <c r="A578" s="13"/>
      <c r="B578" s="13"/>
      <c r="C578" s="13"/>
    </row>
    <row r="579" spans="1:3" ht="16.5" customHeight="1">
      <c r="A579" s="13"/>
      <c r="B579" s="13"/>
      <c r="C579" s="13"/>
    </row>
    <row r="580" spans="1:3" ht="16.5" customHeight="1">
      <c r="A580" s="13"/>
      <c r="B580" s="13"/>
      <c r="C580" s="13"/>
    </row>
    <row r="581" spans="1:3" ht="16.5" customHeight="1">
      <c r="A581" s="13"/>
      <c r="B581" s="13"/>
      <c r="C581" s="13"/>
    </row>
    <row r="582" spans="1:3" ht="16.5" customHeight="1">
      <c r="A582" s="13"/>
      <c r="B582" s="13"/>
      <c r="C582" s="13"/>
    </row>
    <row r="583" spans="1:3" ht="16.5" customHeight="1">
      <c r="A583" s="13"/>
      <c r="B583" s="13"/>
      <c r="C583" s="13"/>
    </row>
    <row r="584" spans="1:3" ht="16.5" customHeight="1">
      <c r="A584" s="13"/>
      <c r="B584" s="13"/>
      <c r="C584" s="13"/>
    </row>
    <row r="585" spans="1:3" ht="16.5" customHeight="1">
      <c r="A585" s="13"/>
      <c r="B585" s="13"/>
      <c r="C585" s="13"/>
    </row>
    <row r="586" spans="1:3" ht="16.5" customHeight="1">
      <c r="A586" s="13"/>
      <c r="B586" s="13"/>
      <c r="C586" s="13"/>
    </row>
    <row r="587" spans="1:3" ht="16.5" customHeight="1">
      <c r="A587" s="13"/>
      <c r="B587" s="13"/>
      <c r="C587" s="13"/>
    </row>
    <row r="588" spans="1:3" ht="16.5" customHeight="1">
      <c r="A588" s="13"/>
      <c r="B588" s="13"/>
      <c r="C588" s="13"/>
    </row>
    <row r="589" spans="1:3" ht="16.5" customHeight="1">
      <c r="A589" s="13"/>
      <c r="B589" s="13"/>
      <c r="C589" s="13"/>
    </row>
    <row r="590" spans="1:3" ht="16.5" customHeight="1">
      <c r="A590" s="13"/>
      <c r="B590" s="13"/>
      <c r="C590" s="13"/>
    </row>
    <row r="591" spans="1:3" ht="16.5" customHeight="1">
      <c r="A591" s="13"/>
      <c r="B591" s="13"/>
      <c r="C591" s="13"/>
    </row>
    <row r="592" spans="1:3" ht="16.5" customHeight="1">
      <c r="A592" s="13"/>
      <c r="B592" s="13"/>
      <c r="C592" s="13"/>
    </row>
    <row r="593" spans="1:3" ht="16.5" customHeight="1">
      <c r="A593" s="13"/>
      <c r="B593" s="13"/>
      <c r="C593" s="13"/>
    </row>
    <row r="594" spans="1:3" ht="16.5" customHeight="1">
      <c r="A594" s="13"/>
      <c r="B594" s="13"/>
      <c r="C594" s="13"/>
    </row>
    <row r="595" spans="1:3" ht="16.5" customHeight="1">
      <c r="A595" s="13"/>
      <c r="B595" s="13"/>
      <c r="C595" s="13"/>
    </row>
    <row r="596" spans="1:3" ht="16.5" customHeight="1">
      <c r="A596" s="13"/>
      <c r="B596" s="13"/>
      <c r="C596" s="13"/>
    </row>
    <row r="597" spans="1:3" ht="16.5" customHeight="1">
      <c r="A597" s="13"/>
      <c r="B597" s="13"/>
      <c r="C597" s="13"/>
    </row>
    <row r="598" spans="1:3" ht="16.5" customHeight="1">
      <c r="A598" s="13"/>
      <c r="B598" s="13"/>
      <c r="C598" s="13"/>
    </row>
    <row r="599" spans="1:3" ht="16.5" customHeight="1">
      <c r="A599" s="13"/>
      <c r="B599" s="13"/>
      <c r="C599" s="13"/>
    </row>
    <row r="600" spans="1:3" ht="16.5" customHeight="1">
      <c r="A600" s="13"/>
      <c r="B600" s="13"/>
      <c r="C600" s="13"/>
    </row>
    <row r="601" spans="1:3" ht="16.5" customHeight="1">
      <c r="A601" s="13"/>
      <c r="B601" s="13"/>
      <c r="C601" s="13"/>
    </row>
    <row r="602" spans="1:3" ht="16.5" customHeight="1">
      <c r="A602" s="13"/>
      <c r="B602" s="13"/>
      <c r="C602" s="13"/>
    </row>
    <row r="603" spans="1:3" ht="16.5" customHeight="1">
      <c r="A603" s="13"/>
      <c r="B603" s="13"/>
      <c r="C603" s="13"/>
    </row>
    <row r="604" spans="1:3" ht="16.5" customHeight="1">
      <c r="A604" s="13"/>
      <c r="B604" s="13"/>
      <c r="C604" s="13"/>
    </row>
    <row r="605" spans="1:3" ht="16.5" customHeight="1">
      <c r="A605" s="13"/>
      <c r="B605" s="13"/>
      <c r="C605" s="13"/>
    </row>
    <row r="606" spans="1:3" ht="16.5" customHeight="1">
      <c r="A606" s="13"/>
      <c r="B606" s="13"/>
      <c r="C606" s="13"/>
    </row>
    <row r="607" spans="1:3" ht="16.5" customHeight="1">
      <c r="A607" s="13"/>
      <c r="B607" s="13"/>
      <c r="C607" s="13"/>
    </row>
    <row r="608" spans="1:3" ht="16.5" customHeight="1">
      <c r="A608" s="13"/>
      <c r="B608" s="13"/>
      <c r="C608" s="13"/>
    </row>
    <row r="609" spans="1:3" ht="16.5" customHeight="1">
      <c r="A609" s="13"/>
      <c r="B609" s="13"/>
      <c r="C609" s="13"/>
    </row>
    <row r="610" spans="1:3" ht="16.5" customHeight="1">
      <c r="A610" s="13"/>
      <c r="B610" s="13"/>
      <c r="C610" s="13"/>
    </row>
    <row r="611" spans="1:3" ht="16.5" customHeight="1">
      <c r="A611" s="13"/>
      <c r="B611" s="13"/>
      <c r="C611" s="13"/>
    </row>
    <row r="612" spans="1:3" ht="16.5" customHeight="1">
      <c r="A612" s="13"/>
      <c r="B612" s="13"/>
      <c r="C612" s="13"/>
    </row>
    <row r="613" spans="1:3" ht="16.5" customHeight="1">
      <c r="A613" s="13"/>
      <c r="B613" s="13"/>
      <c r="C613" s="13"/>
    </row>
    <row r="614" spans="1:3" ht="16.5" customHeight="1">
      <c r="A614" s="13"/>
      <c r="B614" s="13"/>
      <c r="C614" s="13"/>
    </row>
    <row r="615" spans="1:3" ht="16.5" customHeight="1">
      <c r="A615" s="13"/>
      <c r="B615" s="13"/>
      <c r="C615" s="13"/>
    </row>
    <row r="616" spans="1:3" ht="16.5" customHeight="1">
      <c r="A616" s="13"/>
      <c r="B616" s="13"/>
      <c r="C616" s="13"/>
    </row>
    <row r="617" spans="1:3" ht="16.5" customHeight="1">
      <c r="A617" s="13"/>
      <c r="B617" s="13"/>
      <c r="C617" s="13"/>
    </row>
    <row r="618" spans="1:3" ht="16.5" customHeight="1">
      <c r="A618" s="13"/>
      <c r="B618" s="13"/>
      <c r="C618" s="13"/>
    </row>
    <row r="619" spans="1:3" ht="16.5" customHeight="1">
      <c r="A619" s="13"/>
      <c r="B619" s="13"/>
      <c r="C619" s="13"/>
    </row>
    <row r="620" spans="1:3" ht="16.5" customHeight="1">
      <c r="A620" s="13"/>
      <c r="B620" s="13"/>
      <c r="C620" s="13"/>
    </row>
    <row r="621" spans="1:3" ht="16.5" customHeight="1">
      <c r="A621" s="13"/>
      <c r="B621" s="13"/>
      <c r="C621" s="13"/>
    </row>
    <row r="622" spans="1:3" ht="16.5" customHeight="1">
      <c r="A622" s="13"/>
      <c r="B622" s="13"/>
      <c r="C622" s="13"/>
    </row>
    <row r="623" spans="1:3" ht="16.5" customHeight="1">
      <c r="A623" s="13"/>
      <c r="B623" s="13"/>
      <c r="C623" s="13"/>
    </row>
    <row r="624" spans="1:3" ht="16.5" customHeight="1">
      <c r="A624" s="13"/>
      <c r="B624" s="13"/>
      <c r="C624" s="13"/>
    </row>
    <row r="625" spans="1:3" ht="16.5" customHeight="1">
      <c r="A625" s="13"/>
      <c r="B625" s="13"/>
      <c r="C625" s="13"/>
    </row>
    <row r="626" spans="1:3" ht="16.5" customHeight="1">
      <c r="A626" s="13"/>
      <c r="B626" s="13"/>
      <c r="C626" s="13"/>
    </row>
    <row r="627" spans="1:3" ht="16.5" customHeight="1">
      <c r="A627" s="13"/>
      <c r="B627" s="13"/>
      <c r="C627" s="13"/>
    </row>
    <row r="628" spans="1:3" ht="16.5" customHeight="1">
      <c r="A628" s="13"/>
      <c r="B628" s="13"/>
      <c r="C628" s="13"/>
    </row>
    <row r="629" spans="1:3" ht="16.5" customHeight="1">
      <c r="A629" s="13"/>
      <c r="B629" s="13"/>
      <c r="C629" s="13"/>
    </row>
    <row r="630" spans="1:3" ht="16.5" customHeight="1">
      <c r="A630" s="13"/>
      <c r="B630" s="13"/>
      <c r="C630" s="13"/>
    </row>
    <row r="631" spans="1:3" ht="16.5" customHeight="1">
      <c r="A631" s="13"/>
      <c r="B631" s="13"/>
      <c r="C631" s="13"/>
    </row>
    <row r="632" spans="1:3" ht="16.5" customHeight="1">
      <c r="A632" s="13"/>
      <c r="B632" s="13"/>
      <c r="C632" s="13"/>
    </row>
    <row r="633" spans="1:3" ht="16.5" customHeight="1">
      <c r="A633" s="13"/>
      <c r="B633" s="13"/>
      <c r="C633" s="13"/>
    </row>
    <row r="634" spans="1:3" ht="16.5" customHeight="1">
      <c r="A634" s="13"/>
      <c r="B634" s="13"/>
      <c r="C634" s="13"/>
    </row>
    <row r="635" spans="1:3" ht="16.5" customHeight="1">
      <c r="A635" s="13"/>
      <c r="B635" s="13"/>
      <c r="C635" s="13"/>
    </row>
    <row r="636" spans="1:3" ht="16.5" customHeight="1">
      <c r="A636" s="13"/>
      <c r="B636" s="13"/>
      <c r="C636" s="13"/>
    </row>
    <row r="637" spans="1:3" ht="16.5" customHeight="1">
      <c r="A637" s="13"/>
      <c r="B637" s="13"/>
      <c r="C637" s="13"/>
    </row>
    <row r="638" spans="1:3" ht="16.5" customHeight="1">
      <c r="A638" s="13"/>
      <c r="B638" s="13"/>
      <c r="C638" s="13"/>
    </row>
    <row r="639" spans="1:3" ht="16.5" customHeight="1">
      <c r="A639" s="13"/>
      <c r="B639" s="13"/>
      <c r="C639" s="13"/>
    </row>
    <row r="640" spans="1:3" ht="16.5" customHeight="1">
      <c r="A640" s="13"/>
      <c r="B640" s="13"/>
      <c r="C640" s="13"/>
    </row>
    <row r="641" spans="1:3" ht="16.5" customHeight="1">
      <c r="A641" s="13"/>
      <c r="B641" s="13"/>
      <c r="C641" s="13"/>
    </row>
    <row r="642" spans="1:3" ht="16.5" customHeight="1">
      <c r="A642" s="13"/>
      <c r="B642" s="13"/>
      <c r="C642" s="13"/>
    </row>
    <row r="643" spans="1:3" ht="16.5" customHeight="1">
      <c r="A643" s="13"/>
      <c r="B643" s="13"/>
      <c r="C643" s="13"/>
    </row>
    <row r="644" spans="1:3" ht="16.5" customHeight="1">
      <c r="A644" s="13"/>
      <c r="B644" s="13"/>
      <c r="C644" s="13"/>
    </row>
    <row r="645" spans="1:3" ht="16.5" customHeight="1">
      <c r="A645" s="13"/>
      <c r="B645" s="13"/>
      <c r="C645" s="13"/>
    </row>
    <row r="646" spans="1:3" ht="16.5" customHeight="1">
      <c r="A646" s="13"/>
      <c r="B646" s="13"/>
      <c r="C646" s="13"/>
    </row>
    <row r="647" spans="1:3" ht="16.5" customHeight="1">
      <c r="A647" s="13"/>
      <c r="B647" s="13"/>
      <c r="C647" s="13"/>
    </row>
    <row r="648" spans="1:3" ht="16.5" customHeight="1">
      <c r="A648" s="13"/>
      <c r="B648" s="13"/>
      <c r="C648" s="13"/>
    </row>
    <row r="649" spans="1:3" ht="16.5" customHeight="1">
      <c r="A649" s="13"/>
      <c r="B649" s="13"/>
      <c r="C649" s="13"/>
    </row>
    <row r="650" spans="1:3" ht="16.5" customHeight="1">
      <c r="A650" s="13"/>
      <c r="B650" s="13"/>
      <c r="C650" s="13"/>
    </row>
    <row r="651" spans="1:3" ht="16.5" customHeight="1">
      <c r="A651" s="13"/>
      <c r="B651" s="13"/>
      <c r="C651" s="13"/>
    </row>
    <row r="652" spans="1:3" ht="16.5" customHeight="1">
      <c r="A652" s="13"/>
      <c r="B652" s="13"/>
      <c r="C652" s="13"/>
    </row>
    <row r="653" spans="1:3" ht="16.5" customHeight="1">
      <c r="A653" s="13"/>
      <c r="B653" s="13"/>
      <c r="C653" s="13"/>
    </row>
    <row r="654" spans="1:3" ht="16.5" customHeight="1">
      <c r="A654" s="13"/>
      <c r="B654" s="13"/>
      <c r="C654" s="13"/>
    </row>
    <row r="655" spans="1:3" ht="16.5" customHeight="1">
      <c r="A655" s="13"/>
      <c r="B655" s="13"/>
      <c r="C655" s="13"/>
    </row>
    <row r="656" spans="1:3" ht="16.5" customHeight="1">
      <c r="A656" s="13"/>
      <c r="B656" s="13"/>
      <c r="C656" s="13"/>
    </row>
    <row r="657" spans="1:3" ht="16.5" customHeight="1">
      <c r="A657" s="13"/>
      <c r="B657" s="13"/>
      <c r="C657" s="13"/>
    </row>
    <row r="658" spans="1:3" ht="16.5" customHeight="1">
      <c r="A658" s="13"/>
      <c r="B658" s="13"/>
      <c r="C658" s="13"/>
    </row>
    <row r="659" spans="1:3" ht="16.5" customHeight="1">
      <c r="A659" s="13"/>
      <c r="B659" s="13"/>
      <c r="C659" s="13"/>
    </row>
    <row r="660" spans="1:3" ht="16.5" customHeight="1">
      <c r="A660" s="13"/>
      <c r="B660" s="13"/>
      <c r="C660" s="13"/>
    </row>
    <row r="661" spans="1:3" ht="16.5" customHeight="1">
      <c r="A661" s="13"/>
      <c r="B661" s="13"/>
      <c r="C661" s="13"/>
    </row>
    <row r="662" spans="1:3" ht="16.5" customHeight="1">
      <c r="A662" s="13"/>
      <c r="B662" s="13"/>
      <c r="C662" s="13"/>
    </row>
    <row r="663" spans="1:3" ht="16.5" customHeight="1">
      <c r="A663" s="13"/>
      <c r="B663" s="13"/>
      <c r="C663" s="13"/>
    </row>
    <row r="664" spans="1:3" ht="16.5" customHeight="1">
      <c r="A664" s="13"/>
      <c r="B664" s="13"/>
      <c r="C664" s="13"/>
    </row>
    <row r="665" spans="1:3" ht="16.5" customHeight="1">
      <c r="A665" s="13"/>
      <c r="B665" s="13"/>
      <c r="C665" s="13"/>
    </row>
    <row r="666" spans="1:3" ht="16.5" customHeight="1">
      <c r="A666" s="13"/>
      <c r="B666" s="13"/>
      <c r="C666" s="13"/>
    </row>
    <row r="667" spans="1:3" ht="16.5" customHeight="1">
      <c r="A667" s="13"/>
      <c r="B667" s="13"/>
      <c r="C667" s="13"/>
    </row>
    <row r="668" spans="1:3" ht="16.5" customHeight="1">
      <c r="A668" s="13"/>
      <c r="B668" s="13"/>
      <c r="C668" s="13"/>
    </row>
    <row r="669" spans="1:3" ht="16.5" customHeight="1">
      <c r="A669" s="13"/>
      <c r="B669" s="13"/>
      <c r="C669" s="13"/>
    </row>
    <row r="670" spans="1:3" ht="16.5" customHeight="1">
      <c r="A670" s="13"/>
      <c r="B670" s="13"/>
      <c r="C670" s="13"/>
    </row>
    <row r="671" spans="1:3" ht="16.5" customHeight="1">
      <c r="A671" s="13"/>
      <c r="B671" s="13"/>
      <c r="C671" s="13"/>
    </row>
    <row r="672" spans="1:3" ht="16.5" customHeight="1">
      <c r="A672" s="13"/>
      <c r="B672" s="13"/>
      <c r="C672" s="13"/>
    </row>
    <row r="673" spans="1:3" ht="16.5" customHeight="1">
      <c r="A673" s="13"/>
      <c r="B673" s="13"/>
      <c r="C673" s="13"/>
    </row>
    <row r="674" spans="1:3" ht="16.5" customHeight="1">
      <c r="A674" s="13"/>
      <c r="B674" s="13"/>
      <c r="C674" s="13"/>
    </row>
    <row r="675" spans="1:3" ht="16.5" customHeight="1">
      <c r="A675" s="13"/>
      <c r="B675" s="13"/>
      <c r="C675" s="13"/>
    </row>
    <row r="676" spans="1:3" ht="16.5" customHeight="1">
      <c r="A676" s="13"/>
      <c r="B676" s="13"/>
      <c r="C676" s="13"/>
    </row>
    <row r="677" spans="1:3" ht="16.5" customHeight="1">
      <c r="A677" s="13"/>
      <c r="B677" s="13"/>
      <c r="C677" s="13"/>
    </row>
    <row r="678" spans="1:3" ht="16.5" customHeight="1">
      <c r="A678" s="13"/>
      <c r="B678" s="13"/>
      <c r="C678" s="13"/>
    </row>
    <row r="679" spans="1:3" ht="16.5" customHeight="1">
      <c r="A679" s="13"/>
      <c r="B679" s="13"/>
      <c r="C679" s="13"/>
    </row>
    <row r="680" spans="1:3" ht="16.5" customHeight="1">
      <c r="A680" s="13"/>
      <c r="B680" s="13"/>
      <c r="C680" s="13"/>
    </row>
    <row r="681" spans="1:3" ht="16.5" customHeight="1">
      <c r="A681" s="13"/>
      <c r="B681" s="13"/>
      <c r="C681" s="13"/>
    </row>
    <row r="682" spans="1:3" ht="16.5" customHeight="1">
      <c r="A682" s="13"/>
      <c r="B682" s="13"/>
      <c r="C682" s="13"/>
    </row>
    <row r="683" spans="1:3" ht="16.5" customHeight="1">
      <c r="A683" s="13"/>
      <c r="B683" s="13"/>
      <c r="C683" s="13"/>
    </row>
    <row r="684" spans="1:3" ht="16.5" customHeight="1">
      <c r="A684" s="13"/>
      <c r="B684" s="13"/>
      <c r="C684" s="13"/>
    </row>
    <row r="685" spans="1:3" ht="16.5" customHeight="1">
      <c r="A685" s="13"/>
      <c r="B685" s="13"/>
      <c r="C685" s="13"/>
    </row>
    <row r="686" spans="1:3" ht="16.5" customHeight="1">
      <c r="A686" s="13"/>
      <c r="B686" s="13"/>
      <c r="C686" s="13"/>
    </row>
    <row r="687" spans="1:3" ht="16.5" customHeight="1">
      <c r="A687" s="13"/>
      <c r="B687" s="13"/>
      <c r="C687" s="13"/>
    </row>
    <row r="688" spans="1:3" ht="16.5" customHeight="1">
      <c r="A688" s="13"/>
      <c r="B688" s="13"/>
      <c r="C688" s="13"/>
    </row>
    <row r="689" spans="1:3" ht="16.5" customHeight="1">
      <c r="A689" s="13"/>
      <c r="B689" s="13"/>
      <c r="C689" s="13"/>
    </row>
    <row r="690" spans="1:3" ht="16.5" customHeight="1">
      <c r="A690" s="13"/>
      <c r="B690" s="13"/>
      <c r="C690" s="13"/>
    </row>
    <row r="691" spans="1:3" ht="16.5" customHeight="1">
      <c r="A691" s="13"/>
      <c r="B691" s="13"/>
      <c r="C691" s="13"/>
    </row>
    <row r="692" spans="1:3" ht="16.5" customHeight="1">
      <c r="A692" s="13"/>
      <c r="B692" s="13"/>
      <c r="C692" s="13"/>
    </row>
    <row r="693" spans="1:3" ht="16.5" customHeight="1">
      <c r="A693" s="13"/>
      <c r="B693" s="13"/>
      <c r="C693" s="13"/>
    </row>
    <row r="694" spans="1:3" ht="16.5" customHeight="1">
      <c r="A694" s="13"/>
      <c r="B694" s="13"/>
      <c r="C694" s="13"/>
    </row>
    <row r="695" spans="1:3" ht="16.5" customHeight="1">
      <c r="A695" s="13"/>
      <c r="B695" s="13"/>
      <c r="C695" s="13"/>
    </row>
    <row r="696" spans="1:3" ht="16.5" customHeight="1">
      <c r="A696" s="13"/>
      <c r="B696" s="13"/>
      <c r="C696" s="13"/>
    </row>
    <row r="697" spans="1:3" ht="16.5" customHeight="1">
      <c r="A697" s="13"/>
      <c r="B697" s="13"/>
      <c r="C697" s="13"/>
    </row>
    <row r="698" spans="1:3" ht="16.5" customHeight="1">
      <c r="A698" s="13"/>
      <c r="B698" s="13"/>
      <c r="C698" s="13"/>
    </row>
    <row r="699" spans="1:3" ht="16.5" customHeight="1">
      <c r="A699" s="13"/>
      <c r="B699" s="13"/>
      <c r="C699" s="13"/>
    </row>
    <row r="700" spans="1:3" ht="16.5" customHeight="1">
      <c r="A700" s="13"/>
      <c r="B700" s="13"/>
      <c r="C700" s="13"/>
    </row>
    <row r="701" spans="1:3" ht="16.5" customHeight="1">
      <c r="A701" s="13"/>
      <c r="B701" s="13"/>
      <c r="C701" s="13"/>
    </row>
    <row r="702" spans="1:3" ht="16.5" customHeight="1">
      <c r="A702" s="13"/>
      <c r="B702" s="13"/>
      <c r="C702" s="13"/>
    </row>
    <row r="703" spans="1:3" ht="16.5" customHeight="1">
      <c r="A703" s="13"/>
      <c r="B703" s="13"/>
      <c r="C703" s="13"/>
    </row>
    <row r="704" spans="1:3" ht="16.5" customHeight="1">
      <c r="A704" s="13"/>
      <c r="B704" s="13"/>
      <c r="C704" s="13"/>
    </row>
    <row r="705" spans="1:3" ht="16.5" customHeight="1">
      <c r="A705" s="13"/>
      <c r="B705" s="13"/>
      <c r="C705" s="13"/>
    </row>
    <row r="706" spans="1:3" ht="16.5" customHeight="1">
      <c r="A706" s="13"/>
      <c r="B706" s="13"/>
      <c r="C706" s="13"/>
    </row>
    <row r="707" spans="1:3" ht="16.5" customHeight="1">
      <c r="A707" s="13"/>
      <c r="B707" s="13"/>
      <c r="C707" s="13"/>
    </row>
    <row r="708" spans="1:3" ht="16.5" customHeight="1">
      <c r="A708" s="13"/>
      <c r="B708" s="13"/>
      <c r="C708" s="13"/>
    </row>
    <row r="709" spans="1:3" ht="16.5" customHeight="1">
      <c r="A709" s="13"/>
      <c r="B709" s="13"/>
      <c r="C709" s="13"/>
    </row>
    <row r="710" spans="1:3" ht="16.5" customHeight="1">
      <c r="A710" s="13"/>
      <c r="B710" s="13"/>
      <c r="C710" s="13"/>
    </row>
    <row r="711" spans="1:3" ht="16.5" customHeight="1">
      <c r="A711" s="13"/>
      <c r="B711" s="13"/>
      <c r="C711" s="13"/>
    </row>
    <row r="712" spans="1:3" ht="16.5" customHeight="1">
      <c r="A712" s="13"/>
      <c r="B712" s="13"/>
      <c r="C712" s="13"/>
    </row>
    <row r="713" spans="1:3" ht="16.5" customHeight="1">
      <c r="A713" s="13"/>
      <c r="B713" s="13"/>
      <c r="C713" s="13"/>
    </row>
    <row r="714" spans="1:3" ht="16.5" customHeight="1">
      <c r="A714" s="13"/>
      <c r="B714" s="13"/>
      <c r="C714" s="13"/>
    </row>
    <row r="715" spans="1:3" ht="16.5" customHeight="1">
      <c r="A715" s="13"/>
      <c r="B715" s="13"/>
      <c r="C715" s="13"/>
    </row>
    <row r="716" spans="1:3" ht="16.5" customHeight="1">
      <c r="A716" s="13"/>
      <c r="B716" s="13"/>
      <c r="C716" s="13"/>
    </row>
    <row r="717" spans="1:3" ht="16.5" customHeight="1">
      <c r="A717" s="13"/>
      <c r="B717" s="13"/>
      <c r="C717" s="13"/>
    </row>
    <row r="718" spans="1:3" ht="16.5" customHeight="1">
      <c r="A718" s="13"/>
      <c r="B718" s="13"/>
      <c r="C718" s="13"/>
    </row>
    <row r="719" spans="1:3" ht="16.5" customHeight="1">
      <c r="A719" s="13"/>
      <c r="B719" s="13"/>
      <c r="C719" s="13"/>
    </row>
    <row r="720" spans="1:3" ht="16.5" customHeight="1">
      <c r="A720" s="13"/>
      <c r="B720" s="13"/>
      <c r="C720" s="13"/>
    </row>
    <row r="721" spans="1:3" ht="16.5" customHeight="1">
      <c r="A721" s="13"/>
      <c r="B721" s="13"/>
      <c r="C721" s="13"/>
    </row>
    <row r="722" spans="1:3" ht="16.5" customHeight="1">
      <c r="A722" s="13"/>
      <c r="B722" s="13"/>
      <c r="C722" s="13"/>
    </row>
    <row r="723" spans="1:3" ht="16.5" customHeight="1">
      <c r="A723" s="13"/>
      <c r="B723" s="13"/>
      <c r="C723" s="13"/>
    </row>
    <row r="724" spans="1:3" ht="16.5" customHeight="1">
      <c r="A724" s="13"/>
      <c r="B724" s="13"/>
      <c r="C724" s="13"/>
    </row>
    <row r="725" spans="1:3" ht="16.5" customHeight="1">
      <c r="A725" s="13"/>
      <c r="B725" s="13"/>
      <c r="C725" s="13"/>
    </row>
    <row r="726" spans="1:3" ht="16.5" customHeight="1">
      <c r="A726" s="13"/>
      <c r="B726" s="13"/>
      <c r="C726" s="13"/>
    </row>
    <row r="727" spans="1:3" ht="16.5" customHeight="1">
      <c r="A727" s="13"/>
      <c r="B727" s="13"/>
      <c r="C727" s="13"/>
    </row>
    <row r="728" spans="1:3" ht="16.5" customHeight="1">
      <c r="A728" s="13"/>
      <c r="B728" s="13"/>
      <c r="C728" s="13"/>
    </row>
    <row r="729" spans="1:3" ht="16.5" customHeight="1">
      <c r="A729" s="13"/>
      <c r="B729" s="13"/>
      <c r="C729" s="13"/>
    </row>
    <row r="730" spans="1:3" ht="16.5" customHeight="1">
      <c r="A730" s="13"/>
      <c r="B730" s="13"/>
      <c r="C730" s="13"/>
    </row>
    <row r="731" spans="1:3" ht="16.5" customHeight="1">
      <c r="A731" s="13"/>
      <c r="B731" s="13"/>
      <c r="C731" s="13"/>
    </row>
    <row r="732" spans="1:3" ht="16.5" customHeight="1">
      <c r="A732" s="13"/>
      <c r="B732" s="13"/>
      <c r="C732" s="13"/>
    </row>
    <row r="733" spans="1:3" ht="16.5" customHeight="1">
      <c r="A733" s="13"/>
      <c r="B733" s="13"/>
      <c r="C733" s="13"/>
    </row>
    <row r="734" spans="1:3" ht="16.5" customHeight="1">
      <c r="A734" s="13"/>
      <c r="B734" s="13"/>
      <c r="C734" s="13"/>
    </row>
    <row r="735" spans="1:3" ht="16.5" customHeight="1">
      <c r="A735" s="13"/>
      <c r="B735" s="13"/>
      <c r="C735" s="13"/>
    </row>
    <row r="736" spans="1:3" ht="16.5" customHeight="1">
      <c r="A736" s="13"/>
      <c r="B736" s="13"/>
      <c r="C736" s="13"/>
    </row>
    <row r="737" spans="1:3" ht="16.5" customHeight="1">
      <c r="A737" s="13"/>
      <c r="B737" s="13"/>
      <c r="C737" s="13"/>
    </row>
    <row r="738" spans="1:3" ht="16.5" customHeight="1">
      <c r="A738" s="13"/>
      <c r="B738" s="13"/>
      <c r="C738" s="13"/>
    </row>
    <row r="739" spans="1:3" ht="16.5" customHeight="1">
      <c r="A739" s="13"/>
      <c r="B739" s="13"/>
      <c r="C739" s="13"/>
    </row>
    <row r="740" spans="1:3" ht="16.5" customHeight="1">
      <c r="A740" s="13"/>
      <c r="B740" s="13"/>
      <c r="C740" s="13"/>
    </row>
    <row r="741" spans="1:3" ht="16.5" customHeight="1">
      <c r="A741" s="13"/>
      <c r="B741" s="13"/>
      <c r="C741" s="13"/>
    </row>
    <row r="742" spans="1:3" ht="16.5" customHeight="1">
      <c r="A742" s="13"/>
      <c r="B742" s="13"/>
      <c r="C742" s="13"/>
    </row>
    <row r="743" spans="1:3" ht="16.5" customHeight="1">
      <c r="A743" s="13"/>
      <c r="B743" s="13"/>
      <c r="C743" s="13"/>
    </row>
    <row r="744" spans="1:3" ht="16.5" customHeight="1">
      <c r="A744" s="13"/>
      <c r="B744" s="13"/>
      <c r="C744" s="13"/>
    </row>
    <row r="745" spans="1:3" ht="16.5" customHeight="1">
      <c r="A745" s="13"/>
      <c r="B745" s="13"/>
      <c r="C745" s="13"/>
    </row>
    <row r="746" spans="1:3" ht="16.5" customHeight="1">
      <c r="A746" s="13"/>
      <c r="B746" s="13"/>
      <c r="C746" s="13"/>
    </row>
    <row r="747" spans="1:3" ht="16.5" customHeight="1">
      <c r="A747" s="13"/>
      <c r="B747" s="13"/>
      <c r="C747" s="13"/>
    </row>
    <row r="748" spans="1:3" ht="16.5" customHeight="1">
      <c r="A748" s="13"/>
      <c r="B748" s="13"/>
      <c r="C748" s="13"/>
    </row>
    <row r="749" spans="1:3" ht="16.5" customHeight="1">
      <c r="A749" s="13"/>
      <c r="B749" s="13"/>
      <c r="C749" s="13"/>
    </row>
    <row r="750" spans="1:3" ht="16.5" customHeight="1">
      <c r="A750" s="13"/>
      <c r="B750" s="13"/>
      <c r="C750" s="13"/>
    </row>
    <row r="751" spans="1:3" ht="16.5" customHeight="1">
      <c r="A751" s="13"/>
      <c r="B751" s="13"/>
      <c r="C751" s="13"/>
    </row>
    <row r="752" spans="1:3" ht="16.5" customHeight="1">
      <c r="A752" s="13"/>
      <c r="B752" s="13"/>
      <c r="C752" s="13"/>
    </row>
    <row r="753" spans="1:3" ht="16.5" customHeight="1">
      <c r="A753" s="13"/>
      <c r="B753" s="13"/>
      <c r="C753" s="13"/>
    </row>
    <row r="754" spans="1:3" ht="16.5" customHeight="1">
      <c r="A754" s="13"/>
      <c r="B754" s="13"/>
      <c r="C754" s="13"/>
    </row>
    <row r="755" spans="1:3" ht="16.5" customHeight="1">
      <c r="A755" s="13"/>
      <c r="B755" s="13"/>
      <c r="C755" s="13"/>
    </row>
    <row r="756" spans="1:3" ht="16.5" customHeight="1">
      <c r="A756" s="13"/>
      <c r="B756" s="13"/>
      <c r="C756" s="13"/>
    </row>
    <row r="757" spans="1:3" ht="16.5" customHeight="1">
      <c r="A757" s="13"/>
      <c r="B757" s="13"/>
      <c r="C757" s="13"/>
    </row>
    <row r="758" spans="1:3" ht="16.5" customHeight="1">
      <c r="A758" s="13"/>
      <c r="B758" s="13"/>
      <c r="C758" s="13"/>
    </row>
    <row r="759" spans="1:3" ht="16.5" customHeight="1">
      <c r="A759" s="13"/>
      <c r="B759" s="13"/>
      <c r="C759" s="13"/>
    </row>
    <row r="760" spans="1:3" ht="16.5" customHeight="1">
      <c r="A760" s="13"/>
      <c r="B760" s="13"/>
      <c r="C760" s="13"/>
    </row>
    <row r="761" spans="1:3" ht="16.5" customHeight="1">
      <c r="A761" s="13"/>
      <c r="B761" s="13"/>
      <c r="C761" s="13"/>
    </row>
    <row r="762" spans="1:3" ht="16.5" customHeight="1">
      <c r="A762" s="13"/>
      <c r="B762" s="13"/>
      <c r="C762" s="13"/>
    </row>
    <row r="763" spans="1:3" ht="16.5" customHeight="1">
      <c r="A763" s="13"/>
      <c r="B763" s="13"/>
      <c r="C763" s="13"/>
    </row>
    <row r="764" spans="1:3" ht="16.5" customHeight="1">
      <c r="A764" s="13"/>
      <c r="B764" s="13"/>
      <c r="C764" s="13"/>
    </row>
    <row r="765" spans="1:3" ht="16.5" customHeight="1">
      <c r="A765" s="13"/>
      <c r="B765" s="13"/>
      <c r="C765" s="13"/>
    </row>
    <row r="766" spans="1:3" ht="16.5" customHeight="1">
      <c r="A766" s="13"/>
      <c r="B766" s="13"/>
      <c r="C766" s="13"/>
    </row>
    <row r="767" spans="1:3" ht="16.5" customHeight="1">
      <c r="A767" s="13"/>
      <c r="B767" s="13"/>
      <c r="C767" s="13"/>
    </row>
    <row r="768" spans="1:3" ht="16.5" customHeight="1">
      <c r="A768" s="13"/>
      <c r="B768" s="13"/>
      <c r="C768" s="13"/>
    </row>
    <row r="769" spans="1:3" ht="16.5" customHeight="1">
      <c r="A769" s="13"/>
      <c r="B769" s="13"/>
      <c r="C769" s="13"/>
    </row>
    <row r="770" spans="1:3" ht="16.5" customHeight="1">
      <c r="A770" s="13"/>
      <c r="B770" s="13"/>
      <c r="C770" s="13"/>
    </row>
    <row r="771" spans="1:3" ht="16.5" customHeight="1">
      <c r="A771" s="13"/>
      <c r="B771" s="13"/>
      <c r="C771" s="13"/>
    </row>
    <row r="772" spans="1:3" ht="16.5" customHeight="1">
      <c r="A772" s="13"/>
      <c r="B772" s="13"/>
      <c r="C772" s="13"/>
    </row>
    <row r="773" spans="1:3" ht="16.5" customHeight="1">
      <c r="A773" s="13"/>
      <c r="B773" s="13"/>
      <c r="C773" s="13"/>
    </row>
    <row r="774" spans="1:3" ht="16.5" customHeight="1">
      <c r="A774" s="13"/>
      <c r="B774" s="13"/>
      <c r="C774" s="13"/>
    </row>
    <row r="775" spans="1:3" ht="16.5" customHeight="1">
      <c r="A775" s="13"/>
      <c r="B775" s="13"/>
      <c r="C775" s="13"/>
    </row>
    <row r="776" spans="1:3" ht="16.5" customHeight="1">
      <c r="A776" s="13"/>
      <c r="B776" s="13"/>
      <c r="C776" s="13"/>
    </row>
    <row r="777" spans="1:3" ht="16.5" customHeight="1">
      <c r="A777" s="13"/>
      <c r="B777" s="13"/>
      <c r="C777" s="13"/>
    </row>
    <row r="778" spans="1:3" ht="16.5" customHeight="1">
      <c r="A778" s="13"/>
      <c r="B778" s="13"/>
      <c r="C778" s="13"/>
    </row>
    <row r="779" spans="1:3" ht="16.5" customHeight="1">
      <c r="A779" s="13"/>
      <c r="B779" s="13"/>
      <c r="C779" s="13"/>
    </row>
    <row r="780" spans="1:3" ht="16.5" customHeight="1">
      <c r="A780" s="13"/>
      <c r="B780" s="13"/>
      <c r="C780" s="13"/>
    </row>
    <row r="781" spans="1:3" ht="16.5" customHeight="1">
      <c r="A781" s="13"/>
      <c r="B781" s="13"/>
      <c r="C781" s="13"/>
    </row>
    <row r="782" spans="1:3" ht="16.5" customHeight="1">
      <c r="A782" s="13"/>
      <c r="B782" s="13"/>
      <c r="C782" s="13"/>
    </row>
    <row r="783" spans="1:3" ht="16.5" customHeight="1">
      <c r="A783" s="13"/>
      <c r="B783" s="13"/>
      <c r="C783" s="13"/>
    </row>
    <row r="784" spans="1:3" ht="16.5" customHeight="1">
      <c r="A784" s="13"/>
      <c r="B784" s="13"/>
      <c r="C784" s="13"/>
    </row>
    <row r="785" spans="1:3" ht="16.5" customHeight="1">
      <c r="A785" s="13"/>
      <c r="B785" s="13"/>
      <c r="C785" s="13"/>
    </row>
    <row r="786" spans="1:3" ht="16.5" customHeight="1">
      <c r="A786" s="13"/>
      <c r="B786" s="13"/>
      <c r="C786" s="13"/>
    </row>
    <row r="787" spans="1:3" ht="16.5" customHeight="1">
      <c r="A787" s="13"/>
      <c r="B787" s="13"/>
      <c r="C787" s="13"/>
    </row>
    <row r="788" spans="1:3" ht="16.5" customHeight="1">
      <c r="A788" s="13"/>
      <c r="B788" s="13"/>
      <c r="C788" s="13"/>
    </row>
    <row r="789" spans="1:3" ht="16.5" customHeight="1">
      <c r="A789" s="13"/>
      <c r="B789" s="13"/>
      <c r="C789" s="13"/>
    </row>
    <row r="790" spans="1:3" ht="16.5" customHeight="1">
      <c r="A790" s="13"/>
      <c r="B790" s="13"/>
      <c r="C790" s="13"/>
    </row>
    <row r="791" spans="1:3" ht="16.5" customHeight="1">
      <c r="A791" s="13"/>
      <c r="B791" s="13"/>
      <c r="C791" s="13"/>
    </row>
    <row r="792" spans="1:3" ht="16.5" customHeight="1">
      <c r="A792" s="13"/>
      <c r="B792" s="13"/>
      <c r="C792" s="13"/>
    </row>
    <row r="793" spans="1:3" ht="16.5" customHeight="1">
      <c r="A793" s="13"/>
      <c r="B793" s="13"/>
      <c r="C793" s="13"/>
    </row>
    <row r="794" spans="1:3" ht="16.5" customHeight="1">
      <c r="A794" s="13"/>
      <c r="B794" s="13"/>
      <c r="C794" s="13"/>
    </row>
    <row r="795" spans="1:3" ht="16.5" customHeight="1">
      <c r="A795" s="13"/>
      <c r="B795" s="13"/>
      <c r="C795" s="13"/>
    </row>
    <row r="796" spans="1:3" ht="16.5" customHeight="1">
      <c r="A796" s="13"/>
      <c r="B796" s="13"/>
      <c r="C796" s="13"/>
    </row>
    <row r="797" spans="1:3" ht="16.5" customHeight="1">
      <c r="A797" s="13"/>
      <c r="B797" s="13"/>
      <c r="C797" s="13"/>
    </row>
    <row r="798" spans="1:3" ht="16.5" customHeight="1">
      <c r="A798" s="13"/>
      <c r="B798" s="13"/>
      <c r="C798" s="13"/>
    </row>
    <row r="799" spans="1:3" ht="16.5" customHeight="1">
      <c r="A799" s="13"/>
      <c r="B799" s="13"/>
      <c r="C799" s="13"/>
    </row>
    <row r="800" spans="1:3" ht="16.5" customHeight="1">
      <c r="A800" s="13"/>
      <c r="B800" s="13"/>
      <c r="C800" s="13"/>
    </row>
    <row r="801" spans="1:3" ht="16.5" customHeight="1">
      <c r="A801" s="13"/>
      <c r="B801" s="13"/>
      <c r="C801" s="13"/>
    </row>
    <row r="802" spans="1:3" ht="16.5" customHeight="1">
      <c r="A802" s="13"/>
      <c r="B802" s="13"/>
      <c r="C802" s="13"/>
    </row>
    <row r="803" spans="1:3" ht="16.5" customHeight="1">
      <c r="A803" s="13"/>
      <c r="B803" s="13"/>
      <c r="C803" s="13"/>
    </row>
    <row r="804" spans="1:3" ht="16.5" customHeight="1">
      <c r="A804" s="13"/>
      <c r="B804" s="13"/>
      <c r="C804" s="13"/>
    </row>
    <row r="805" spans="1:3" ht="16.5" customHeight="1">
      <c r="A805" s="13"/>
      <c r="B805" s="13"/>
      <c r="C805" s="13"/>
    </row>
    <row r="806" spans="1:3" ht="16.5" customHeight="1">
      <c r="A806" s="13"/>
      <c r="B806" s="13"/>
      <c r="C806" s="13"/>
    </row>
    <row r="807" spans="1:3" ht="16.5" customHeight="1">
      <c r="A807" s="13"/>
      <c r="B807" s="13"/>
      <c r="C807" s="13"/>
    </row>
    <row r="808" spans="1:3" ht="16.5" customHeight="1">
      <c r="A808" s="13"/>
      <c r="B808" s="13"/>
      <c r="C808" s="13"/>
    </row>
    <row r="809" spans="1:3" ht="16.5" customHeight="1">
      <c r="A809" s="13"/>
      <c r="B809" s="13"/>
      <c r="C809" s="13"/>
    </row>
    <row r="810" spans="1:3" ht="16.5" customHeight="1">
      <c r="A810" s="13"/>
      <c r="B810" s="13"/>
      <c r="C810" s="13"/>
    </row>
    <row r="811" spans="1:3" ht="16.5" customHeight="1">
      <c r="A811" s="13"/>
      <c r="B811" s="13"/>
      <c r="C811" s="13"/>
    </row>
    <row r="812" spans="1:3" ht="16.5" customHeight="1">
      <c r="A812" s="13"/>
      <c r="B812" s="13"/>
      <c r="C812" s="13"/>
    </row>
    <row r="813" spans="1:3" ht="16.5" customHeight="1">
      <c r="A813" s="13"/>
      <c r="B813" s="13"/>
      <c r="C813" s="13"/>
    </row>
    <row r="814" spans="1:3" ht="16.5" customHeight="1">
      <c r="A814" s="13"/>
      <c r="B814" s="13"/>
      <c r="C814" s="13"/>
    </row>
    <row r="815" spans="1:3" ht="16.5" customHeight="1">
      <c r="A815" s="13"/>
      <c r="B815" s="13"/>
      <c r="C815" s="13"/>
    </row>
    <row r="816" spans="1:3" ht="16.5" customHeight="1">
      <c r="A816" s="13"/>
      <c r="B816" s="13"/>
      <c r="C816" s="13"/>
    </row>
    <row r="817" spans="1:3" ht="16.5" customHeight="1">
      <c r="A817" s="13"/>
      <c r="B817" s="13"/>
      <c r="C817" s="13"/>
    </row>
    <row r="818" spans="1:3" ht="16.5" customHeight="1">
      <c r="A818" s="13"/>
      <c r="B818" s="13"/>
      <c r="C818" s="13"/>
    </row>
    <row r="819" spans="1:3" ht="16.5" customHeight="1">
      <c r="A819" s="13"/>
      <c r="B819" s="13"/>
      <c r="C819" s="13"/>
    </row>
    <row r="820" spans="1:3" ht="16.5" customHeight="1">
      <c r="A820" s="13"/>
      <c r="B820" s="13"/>
      <c r="C820" s="13"/>
    </row>
    <row r="821" spans="1:3" ht="16.5" customHeight="1">
      <c r="A821" s="13"/>
      <c r="B821" s="13"/>
      <c r="C821" s="13"/>
    </row>
    <row r="822" spans="1:3" ht="16.5" customHeight="1">
      <c r="A822" s="13"/>
      <c r="B822" s="13"/>
      <c r="C822" s="13"/>
    </row>
    <row r="823" spans="1:3" ht="16.5" customHeight="1">
      <c r="A823" s="13"/>
      <c r="B823" s="13"/>
      <c r="C823" s="13"/>
    </row>
    <row r="824" spans="1:3" ht="16.5" customHeight="1">
      <c r="A824" s="13"/>
      <c r="B824" s="13"/>
      <c r="C824" s="13"/>
    </row>
    <row r="825" spans="1:3" ht="16.5" customHeight="1">
      <c r="A825" s="13"/>
      <c r="B825" s="13"/>
      <c r="C825" s="13"/>
    </row>
    <row r="826" spans="1:3" ht="16.5" customHeight="1">
      <c r="A826" s="13"/>
      <c r="B826" s="13"/>
      <c r="C826" s="13"/>
    </row>
    <row r="827" spans="1:3" ht="16.5" customHeight="1">
      <c r="A827" s="13"/>
      <c r="B827" s="13"/>
      <c r="C827" s="13"/>
    </row>
    <row r="828" spans="1:3" ht="16.5" customHeight="1">
      <c r="A828" s="13"/>
      <c r="B828" s="13"/>
      <c r="C828" s="13"/>
    </row>
    <row r="829" spans="1:3" ht="16.5" customHeight="1">
      <c r="A829" s="13"/>
      <c r="B829" s="13"/>
      <c r="C829" s="13"/>
    </row>
    <row r="830" spans="1:3" ht="16.5" customHeight="1">
      <c r="A830" s="13"/>
      <c r="B830" s="13"/>
      <c r="C830" s="13"/>
    </row>
    <row r="831" spans="1:3" ht="16.5" customHeight="1">
      <c r="A831" s="13"/>
      <c r="B831" s="13"/>
      <c r="C831" s="13"/>
    </row>
    <row r="832" spans="1:3" ht="16.5" customHeight="1">
      <c r="A832" s="13"/>
      <c r="B832" s="13"/>
      <c r="C832" s="13"/>
    </row>
    <row r="833" spans="1:3" ht="16.5" customHeight="1">
      <c r="A833" s="13"/>
      <c r="B833" s="13"/>
      <c r="C833" s="13"/>
    </row>
    <row r="834" spans="1:3" ht="16.5" customHeight="1">
      <c r="A834" s="13"/>
      <c r="B834" s="13"/>
      <c r="C834" s="13"/>
    </row>
    <row r="835" spans="1:3" ht="16.5" customHeight="1">
      <c r="A835" s="13"/>
      <c r="B835" s="13"/>
      <c r="C835" s="13"/>
    </row>
    <row r="836" spans="1:3" ht="16.5" customHeight="1">
      <c r="A836" s="13"/>
      <c r="B836" s="13"/>
      <c r="C836" s="13"/>
    </row>
    <row r="837" spans="1:3" ht="16.5" customHeight="1">
      <c r="A837" s="13"/>
      <c r="B837" s="13"/>
      <c r="C837" s="13"/>
    </row>
    <row r="838" spans="1:3" ht="16.5" customHeight="1">
      <c r="A838" s="13"/>
      <c r="B838" s="13"/>
      <c r="C838" s="13"/>
    </row>
    <row r="839" spans="1:3" ht="16.5" customHeight="1">
      <c r="A839" s="13"/>
      <c r="B839" s="13"/>
      <c r="C839" s="13"/>
    </row>
    <row r="840" spans="1:3" ht="16.5" customHeight="1">
      <c r="A840" s="13"/>
      <c r="B840" s="13"/>
      <c r="C840" s="13"/>
    </row>
    <row r="841" spans="1:3" ht="16.5" customHeight="1">
      <c r="A841" s="13"/>
      <c r="B841" s="13"/>
      <c r="C841" s="13"/>
    </row>
    <row r="842" spans="1:3" ht="16.5" customHeight="1">
      <c r="A842" s="13"/>
      <c r="B842" s="13"/>
      <c r="C842" s="13"/>
    </row>
    <row r="843" spans="1:3" ht="16.5" customHeight="1">
      <c r="A843" s="13"/>
      <c r="B843" s="13"/>
      <c r="C843" s="13"/>
    </row>
    <row r="844" spans="1:3" ht="16.5" customHeight="1">
      <c r="A844" s="13"/>
      <c r="B844" s="13"/>
      <c r="C844" s="13"/>
    </row>
    <row r="845" spans="1:3" ht="16.5" customHeight="1">
      <c r="A845" s="13"/>
      <c r="B845" s="13"/>
      <c r="C845" s="13"/>
    </row>
    <row r="846" spans="1:3" ht="16.5" customHeight="1">
      <c r="A846" s="13"/>
      <c r="B846" s="13"/>
      <c r="C846" s="13"/>
    </row>
    <row r="847" spans="1:3" ht="16.5" customHeight="1">
      <c r="A847" s="13"/>
      <c r="B847" s="13"/>
      <c r="C847" s="13"/>
    </row>
    <row r="848" spans="1:3" ht="16.5" customHeight="1">
      <c r="A848" s="13"/>
      <c r="B848" s="13"/>
      <c r="C848" s="13"/>
    </row>
    <row r="849" spans="1:3" ht="16.5" customHeight="1">
      <c r="A849" s="13"/>
      <c r="B849" s="13"/>
      <c r="C849" s="13"/>
    </row>
    <row r="850" spans="1:3" ht="16.5" customHeight="1">
      <c r="A850" s="13"/>
      <c r="B850" s="13"/>
      <c r="C850" s="13"/>
    </row>
    <row r="851" spans="1:3" ht="16.5" customHeight="1">
      <c r="A851" s="13"/>
      <c r="B851" s="13"/>
      <c r="C851" s="13"/>
    </row>
    <row r="852" spans="1:3" ht="16.5" customHeight="1">
      <c r="A852" s="13"/>
      <c r="B852" s="13"/>
      <c r="C852" s="13"/>
    </row>
    <row r="853" spans="1:3" ht="16.5" customHeight="1">
      <c r="A853" s="13"/>
      <c r="B853" s="13"/>
      <c r="C853" s="13"/>
    </row>
    <row r="854" spans="1:3" ht="16.5" customHeight="1">
      <c r="A854" s="13"/>
      <c r="B854" s="13"/>
      <c r="C854" s="13"/>
    </row>
    <row r="855" spans="1:3" ht="16.5" customHeight="1">
      <c r="A855" s="13"/>
      <c r="B855" s="13"/>
      <c r="C855" s="13"/>
    </row>
    <row r="856" spans="1:3" ht="16.5" customHeight="1">
      <c r="A856" s="13"/>
      <c r="B856" s="13"/>
      <c r="C856" s="13"/>
    </row>
    <row r="857" spans="1:3" ht="16.5" customHeight="1">
      <c r="A857" s="13"/>
      <c r="B857" s="13"/>
      <c r="C857" s="13"/>
    </row>
    <row r="858" spans="1:3" ht="16.5" customHeight="1">
      <c r="A858" s="13"/>
      <c r="B858" s="13"/>
      <c r="C858" s="13"/>
    </row>
    <row r="859" spans="1:3" ht="16.5" customHeight="1">
      <c r="A859" s="13"/>
      <c r="B859" s="13"/>
      <c r="C859" s="13"/>
    </row>
    <row r="860" spans="1:3" ht="16.5" customHeight="1">
      <c r="A860" s="13"/>
      <c r="B860" s="13"/>
      <c r="C860" s="13"/>
    </row>
    <row r="861" spans="1:3" ht="16.5" customHeight="1">
      <c r="A861" s="13"/>
      <c r="B861" s="13"/>
      <c r="C861" s="13"/>
    </row>
    <row r="862" spans="1:3" ht="16.5" customHeight="1">
      <c r="A862" s="13"/>
      <c r="B862" s="13"/>
      <c r="C862" s="13"/>
    </row>
    <row r="863" spans="1:3" ht="16.5" customHeight="1">
      <c r="A863" s="13"/>
      <c r="B863" s="13"/>
      <c r="C863" s="13"/>
    </row>
    <row r="864" spans="1:3" ht="16.5" customHeight="1">
      <c r="A864" s="13"/>
      <c r="B864" s="13"/>
      <c r="C864" s="13"/>
    </row>
    <row r="865" spans="1:3" ht="16.5" customHeight="1">
      <c r="A865" s="13"/>
      <c r="B865" s="13"/>
      <c r="C865" s="13"/>
    </row>
    <row r="866" spans="1:3" ht="16.5" customHeight="1">
      <c r="A866" s="13"/>
      <c r="B866" s="13"/>
      <c r="C866" s="13"/>
    </row>
    <row r="867" spans="1:3" ht="16.5" customHeight="1">
      <c r="A867" s="13"/>
      <c r="B867" s="13"/>
      <c r="C867" s="13"/>
    </row>
    <row r="868" spans="1:3" ht="16.5" customHeight="1">
      <c r="A868" s="13"/>
      <c r="B868" s="13"/>
      <c r="C868" s="13"/>
    </row>
    <row r="869" spans="1:3" ht="16.5" customHeight="1">
      <c r="A869" s="13"/>
      <c r="B869" s="13"/>
      <c r="C869" s="13"/>
    </row>
    <row r="870" spans="1:3" ht="16.5" customHeight="1">
      <c r="A870" s="13"/>
      <c r="B870" s="13"/>
      <c r="C870" s="13"/>
    </row>
    <row r="871" spans="1:3" ht="16.5" customHeight="1">
      <c r="A871" s="13"/>
      <c r="B871" s="13"/>
      <c r="C871" s="13"/>
    </row>
    <row r="872" spans="1:3" ht="16.5" customHeight="1">
      <c r="A872" s="13"/>
      <c r="B872" s="13"/>
      <c r="C872" s="13"/>
    </row>
    <row r="873" spans="1:3" ht="16.5" customHeight="1">
      <c r="A873" s="13"/>
      <c r="B873" s="13"/>
      <c r="C873" s="13"/>
    </row>
    <row r="874" spans="1:3" ht="16.5" customHeight="1">
      <c r="A874" s="13"/>
      <c r="B874" s="13"/>
      <c r="C874" s="13"/>
    </row>
    <row r="875" spans="1:3" ht="16.5" customHeight="1">
      <c r="A875" s="13"/>
      <c r="B875" s="13"/>
      <c r="C875" s="13"/>
    </row>
    <row r="876" spans="1:3" ht="16.5" customHeight="1">
      <c r="A876" s="13"/>
      <c r="B876" s="13"/>
      <c r="C876" s="13"/>
    </row>
    <row r="877" spans="1:3" ht="16.5" customHeight="1">
      <c r="A877" s="13"/>
      <c r="B877" s="13"/>
      <c r="C877" s="13"/>
    </row>
    <row r="878" spans="1:3" ht="16.5" customHeight="1">
      <c r="A878" s="13"/>
      <c r="B878" s="13"/>
      <c r="C878" s="13"/>
    </row>
    <row r="879" spans="1:3" ht="16.5" customHeight="1">
      <c r="A879" s="13"/>
      <c r="B879" s="13"/>
      <c r="C879" s="13"/>
    </row>
    <row r="880" spans="1:3" ht="16.5" customHeight="1">
      <c r="A880" s="13"/>
      <c r="B880" s="13"/>
      <c r="C880" s="13"/>
    </row>
    <row r="881" spans="1:3" ht="16.5" customHeight="1">
      <c r="A881" s="13"/>
      <c r="B881" s="13"/>
      <c r="C881" s="13"/>
    </row>
    <row r="882" spans="1:3" ht="16.5" customHeight="1">
      <c r="A882" s="13"/>
      <c r="B882" s="13"/>
      <c r="C882" s="13"/>
    </row>
    <row r="883" spans="1:3" ht="16.5" customHeight="1">
      <c r="A883" s="13"/>
      <c r="B883" s="13"/>
      <c r="C883" s="13"/>
    </row>
    <row r="884" spans="1:3" ht="16.5" customHeight="1">
      <c r="A884" s="13"/>
      <c r="B884" s="13"/>
      <c r="C884" s="13"/>
    </row>
    <row r="885" spans="1:3" ht="16.5" customHeight="1">
      <c r="A885" s="13"/>
      <c r="B885" s="13"/>
      <c r="C885" s="13"/>
    </row>
    <row r="886" spans="1:3" ht="16.5" customHeight="1">
      <c r="A886" s="13"/>
      <c r="B886" s="13"/>
      <c r="C886" s="13"/>
    </row>
    <row r="887" spans="1:3" ht="16.5" customHeight="1">
      <c r="A887" s="13"/>
      <c r="B887" s="13"/>
      <c r="C887" s="13"/>
    </row>
    <row r="888" spans="1:3" ht="16.5" customHeight="1">
      <c r="A888" s="13"/>
      <c r="B888" s="13"/>
      <c r="C888" s="13"/>
    </row>
    <row r="889" spans="1:3" ht="16.5" customHeight="1">
      <c r="A889" s="13"/>
      <c r="B889" s="13"/>
      <c r="C889" s="13"/>
    </row>
    <row r="890" spans="1:3" ht="16.5" customHeight="1">
      <c r="A890" s="13"/>
      <c r="B890" s="13"/>
      <c r="C890" s="13"/>
    </row>
    <row r="891" spans="1:3" ht="16.5" customHeight="1">
      <c r="A891" s="13"/>
      <c r="B891" s="13"/>
      <c r="C891" s="13"/>
    </row>
    <row r="892" spans="1:3" ht="16.5" customHeight="1">
      <c r="A892" s="13"/>
      <c r="B892" s="13"/>
      <c r="C892" s="13"/>
    </row>
    <row r="893" spans="1:3" ht="16.5" customHeight="1">
      <c r="A893" s="13"/>
      <c r="B893" s="13"/>
      <c r="C893" s="13"/>
    </row>
    <row r="894" spans="1:3" ht="16.5" customHeight="1">
      <c r="A894" s="13"/>
      <c r="B894" s="13"/>
      <c r="C894" s="13"/>
    </row>
    <row r="895" spans="1:3" ht="16.5" customHeight="1">
      <c r="A895" s="13"/>
      <c r="B895" s="13"/>
      <c r="C895" s="13"/>
    </row>
    <row r="896" spans="1:3" ht="16.5" customHeight="1">
      <c r="A896" s="13"/>
      <c r="B896" s="13"/>
      <c r="C896" s="13"/>
    </row>
    <row r="897" spans="1:3" ht="16.5" customHeight="1">
      <c r="A897" s="13"/>
      <c r="B897" s="13"/>
      <c r="C897" s="13"/>
    </row>
    <row r="898" spans="1:3" ht="16.5" customHeight="1">
      <c r="A898" s="13"/>
      <c r="B898" s="13"/>
      <c r="C898" s="13"/>
    </row>
    <row r="899" spans="1:3" ht="16.5" customHeight="1">
      <c r="A899" s="13"/>
      <c r="B899" s="13"/>
      <c r="C899" s="13"/>
    </row>
    <row r="900" spans="1:3" ht="16.5" customHeight="1">
      <c r="A900" s="13"/>
      <c r="B900" s="13"/>
      <c r="C900" s="13"/>
    </row>
    <row r="901" spans="1:3" ht="16.5" customHeight="1">
      <c r="A901" s="13"/>
      <c r="B901" s="13"/>
      <c r="C901" s="13"/>
    </row>
    <row r="902" spans="1:3" ht="16.5" customHeight="1">
      <c r="A902" s="13"/>
      <c r="B902" s="13"/>
      <c r="C902" s="13"/>
    </row>
    <row r="903" spans="1:3" ht="16.5" customHeight="1">
      <c r="A903" s="13"/>
      <c r="B903" s="13"/>
      <c r="C903" s="13"/>
    </row>
    <row r="904" spans="1:3" ht="16.5" customHeight="1">
      <c r="A904" s="13"/>
      <c r="B904" s="13"/>
      <c r="C904" s="13"/>
    </row>
    <row r="905" spans="1:3" ht="16.5" customHeight="1">
      <c r="A905" s="13"/>
      <c r="B905" s="13"/>
      <c r="C905" s="13"/>
    </row>
    <row r="906" spans="1:3" ht="16.5" customHeight="1">
      <c r="A906" s="13"/>
      <c r="B906" s="13"/>
      <c r="C906" s="13"/>
    </row>
    <row r="907" spans="1:3" ht="16.5" customHeight="1">
      <c r="A907" s="13"/>
      <c r="B907" s="13"/>
      <c r="C907" s="13"/>
    </row>
    <row r="908" spans="1:3" ht="16.5" customHeight="1">
      <c r="A908" s="13"/>
      <c r="B908" s="13"/>
      <c r="C908" s="13"/>
    </row>
    <row r="909" spans="1:3" ht="16.5" customHeight="1">
      <c r="A909" s="13"/>
      <c r="B909" s="13"/>
      <c r="C909" s="13"/>
    </row>
    <row r="910" spans="1:3" ht="16.5" customHeight="1">
      <c r="A910" s="13"/>
      <c r="B910" s="13"/>
      <c r="C910" s="13"/>
    </row>
    <row r="911" spans="1:3" ht="16.5" customHeight="1">
      <c r="A911" s="13"/>
      <c r="B911" s="13"/>
      <c r="C911" s="13"/>
    </row>
    <row r="912" spans="1:3" ht="16.5" customHeight="1">
      <c r="A912" s="13"/>
      <c r="B912" s="13"/>
      <c r="C912" s="13"/>
    </row>
    <row r="913" spans="1:3" ht="16.5" customHeight="1">
      <c r="A913" s="13"/>
      <c r="B913" s="13"/>
      <c r="C913" s="13"/>
    </row>
    <row r="914" spans="1:3" ht="16.5" customHeight="1">
      <c r="A914" s="13"/>
      <c r="B914" s="13"/>
      <c r="C914" s="13"/>
    </row>
    <row r="915" spans="1:3" ht="16.5" customHeight="1">
      <c r="A915" s="13"/>
      <c r="B915" s="13"/>
      <c r="C915" s="13"/>
    </row>
    <row r="916" spans="1:3" ht="16.5" customHeight="1">
      <c r="A916" s="13"/>
      <c r="B916" s="13"/>
      <c r="C916" s="13"/>
    </row>
    <row r="917" spans="1:3" ht="16.5" customHeight="1">
      <c r="A917" s="13"/>
      <c r="B917" s="13"/>
      <c r="C917" s="13"/>
    </row>
    <row r="918" spans="1:3" ht="16.5" customHeight="1">
      <c r="A918" s="13"/>
      <c r="B918" s="13"/>
      <c r="C918" s="13"/>
    </row>
    <row r="919" spans="1:3" ht="16.5" customHeight="1">
      <c r="A919" s="13"/>
      <c r="B919" s="13"/>
      <c r="C919" s="13"/>
    </row>
    <row r="920" spans="1:3" ht="16.5" customHeight="1">
      <c r="A920" s="13"/>
      <c r="B920" s="13"/>
      <c r="C920" s="13"/>
    </row>
    <row r="921" spans="1:3" ht="16.5" customHeight="1">
      <c r="A921" s="13"/>
      <c r="B921" s="13"/>
      <c r="C921" s="13"/>
    </row>
    <row r="922" spans="1:3" ht="16.5" customHeight="1">
      <c r="A922" s="13"/>
      <c r="B922" s="13"/>
      <c r="C922" s="13"/>
    </row>
    <row r="923" spans="1:3" ht="16.5" customHeight="1">
      <c r="A923" s="13"/>
      <c r="B923" s="13"/>
      <c r="C923" s="13"/>
    </row>
    <row r="924" spans="1:3" ht="16.5" customHeight="1">
      <c r="A924" s="13"/>
      <c r="B924" s="13"/>
      <c r="C924" s="13"/>
    </row>
    <row r="925" spans="1:3" ht="16.5" customHeight="1">
      <c r="A925" s="13"/>
      <c r="B925" s="13"/>
      <c r="C925" s="13"/>
    </row>
    <row r="926" spans="1:3" ht="16.5" customHeight="1">
      <c r="A926" s="13"/>
      <c r="B926" s="13"/>
      <c r="C926" s="13"/>
    </row>
    <row r="927" spans="1:3" ht="16.5" customHeight="1">
      <c r="A927" s="13"/>
      <c r="B927" s="13"/>
      <c r="C927" s="13"/>
    </row>
    <row r="928" spans="1:3" ht="16.5" customHeight="1">
      <c r="A928" s="13"/>
      <c r="B928" s="13"/>
      <c r="C928" s="13"/>
    </row>
    <row r="929" spans="1:3" ht="16.5" customHeight="1">
      <c r="A929" s="13"/>
      <c r="B929" s="13"/>
      <c r="C929" s="13"/>
    </row>
    <row r="930" spans="1:3" ht="16.5" customHeight="1">
      <c r="A930" s="13"/>
      <c r="B930" s="13"/>
      <c r="C930" s="13"/>
    </row>
    <row r="931" spans="1:3" ht="16.5" customHeight="1">
      <c r="A931" s="13"/>
      <c r="B931" s="13"/>
      <c r="C931" s="13"/>
    </row>
    <row r="932" spans="1:3" ht="16.5" customHeight="1">
      <c r="A932" s="13"/>
      <c r="B932" s="13"/>
      <c r="C932" s="13"/>
    </row>
    <row r="933" spans="1:3" ht="16.5" customHeight="1">
      <c r="A933" s="13"/>
      <c r="B933" s="13"/>
      <c r="C933" s="13"/>
    </row>
    <row r="934" spans="1:3" ht="16.5" customHeight="1">
      <c r="A934" s="13"/>
      <c r="B934" s="13"/>
      <c r="C934" s="13"/>
    </row>
    <row r="935" spans="1:3" ht="16.5" customHeight="1">
      <c r="A935" s="13"/>
      <c r="B935" s="13"/>
      <c r="C935" s="13"/>
    </row>
    <row r="936" spans="1:3" ht="16.5" customHeight="1">
      <c r="A936" s="13"/>
      <c r="B936" s="13"/>
      <c r="C936" s="13"/>
    </row>
    <row r="937" spans="1:3" ht="16.5" customHeight="1">
      <c r="A937" s="13"/>
      <c r="B937" s="13"/>
      <c r="C937" s="13"/>
    </row>
    <row r="938" spans="1:3" ht="16.5" customHeight="1">
      <c r="A938" s="13"/>
      <c r="B938" s="13"/>
      <c r="C938" s="13"/>
    </row>
    <row r="939" spans="1:3" ht="16.5" customHeight="1">
      <c r="A939" s="13"/>
      <c r="B939" s="13"/>
      <c r="C939" s="13"/>
    </row>
    <row r="940" spans="1:3" ht="16.5" customHeight="1">
      <c r="A940" s="13"/>
      <c r="B940" s="13"/>
      <c r="C940" s="13"/>
    </row>
    <row r="941" spans="1:3" ht="16.5" customHeight="1">
      <c r="A941" s="13"/>
      <c r="B941" s="13"/>
      <c r="C941" s="13"/>
    </row>
    <row r="942" spans="1:3" ht="16.5" customHeight="1">
      <c r="A942" s="13"/>
      <c r="B942" s="13"/>
      <c r="C942" s="13"/>
    </row>
    <row r="943" spans="1:3" ht="16.5" customHeight="1">
      <c r="A943" s="13"/>
      <c r="B943" s="13"/>
      <c r="C943" s="13"/>
    </row>
    <row r="944" spans="1:3" ht="16.5" customHeight="1">
      <c r="A944" s="13"/>
      <c r="B944" s="13"/>
      <c r="C944" s="13"/>
    </row>
    <row r="945" spans="1:3" ht="16.5" customHeight="1">
      <c r="A945" s="13"/>
      <c r="B945" s="13"/>
      <c r="C945" s="13"/>
    </row>
    <row r="946" spans="1:3" ht="16.5" customHeight="1">
      <c r="A946" s="13"/>
      <c r="B946" s="13"/>
      <c r="C946" s="13"/>
    </row>
    <row r="947" spans="1:3" ht="16.5" customHeight="1">
      <c r="A947" s="13"/>
      <c r="B947" s="13"/>
      <c r="C947" s="13"/>
    </row>
    <row r="948" spans="1:3" ht="16.5" customHeight="1">
      <c r="A948" s="13"/>
      <c r="B948" s="13"/>
      <c r="C948" s="13"/>
    </row>
    <row r="949" spans="1:3" ht="16.5" customHeight="1">
      <c r="A949" s="13"/>
      <c r="B949" s="13"/>
      <c r="C949" s="13"/>
    </row>
    <row r="950" spans="1:3" ht="16.5" customHeight="1">
      <c r="A950" s="13"/>
      <c r="B950" s="13"/>
      <c r="C950" s="13"/>
    </row>
    <row r="951" spans="1:3" ht="16.5" customHeight="1">
      <c r="A951" s="13"/>
      <c r="B951" s="13"/>
      <c r="C951" s="13"/>
    </row>
    <row r="952" spans="1:3" ht="16.5" customHeight="1">
      <c r="A952" s="13"/>
      <c r="B952" s="13"/>
      <c r="C952" s="13"/>
    </row>
    <row r="953" spans="1:3" ht="16.5" customHeight="1">
      <c r="A953" s="13"/>
      <c r="B953" s="13"/>
      <c r="C953" s="13"/>
    </row>
    <row r="954" spans="1:3" ht="16.5" customHeight="1">
      <c r="A954" s="13"/>
      <c r="B954" s="13"/>
      <c r="C954" s="13"/>
    </row>
    <row r="955" spans="1:3" ht="16.5" customHeight="1">
      <c r="A955" s="13"/>
      <c r="B955" s="13"/>
      <c r="C955" s="13"/>
    </row>
    <row r="956" spans="1:3" ht="16.5" customHeight="1">
      <c r="A956" s="13"/>
      <c r="B956" s="13"/>
      <c r="C956" s="13"/>
    </row>
    <row r="957" spans="1:3" ht="16.5" customHeight="1">
      <c r="A957" s="13"/>
      <c r="B957" s="13"/>
      <c r="C957" s="13"/>
    </row>
    <row r="958" spans="1:3" ht="16.5" customHeight="1">
      <c r="A958" s="13"/>
      <c r="B958" s="13"/>
      <c r="C958" s="13"/>
    </row>
    <row r="959" spans="1:3" ht="16.5" customHeight="1">
      <c r="A959" s="13"/>
      <c r="B959" s="13"/>
      <c r="C959" s="13"/>
    </row>
    <row r="960" spans="1:3" ht="16.5" customHeight="1">
      <c r="A960" s="13"/>
      <c r="B960" s="13"/>
      <c r="C960" s="13"/>
    </row>
    <row r="961" spans="1:3" ht="16.5" customHeight="1">
      <c r="A961" s="13"/>
      <c r="B961" s="13"/>
      <c r="C961" s="13"/>
    </row>
    <row r="962" spans="1:3" ht="16.5" customHeight="1">
      <c r="A962" s="13"/>
      <c r="B962" s="13"/>
      <c r="C962" s="13"/>
    </row>
    <row r="963" spans="1:3" ht="16.5" customHeight="1">
      <c r="A963" s="13"/>
      <c r="B963" s="13"/>
      <c r="C963" s="13"/>
    </row>
    <row r="964" spans="1:3" ht="16.5" customHeight="1">
      <c r="A964" s="13"/>
      <c r="B964" s="13"/>
      <c r="C964" s="13"/>
    </row>
    <row r="965" spans="1:3" ht="16.5" customHeight="1">
      <c r="A965" s="13"/>
      <c r="B965" s="13"/>
      <c r="C965" s="13"/>
    </row>
    <row r="966" spans="1:3" ht="16.5" customHeight="1">
      <c r="A966" s="13"/>
      <c r="B966" s="13"/>
      <c r="C966" s="13"/>
    </row>
    <row r="967" spans="1:3" ht="16.5" customHeight="1">
      <c r="A967" s="13"/>
      <c r="B967" s="13"/>
      <c r="C967" s="13"/>
    </row>
    <row r="968" spans="1:3" ht="16.5" customHeight="1">
      <c r="A968" s="13"/>
      <c r="B968" s="13"/>
      <c r="C968" s="13"/>
    </row>
    <row r="969" spans="1:3" ht="16.5" customHeight="1">
      <c r="A969" s="13"/>
      <c r="B969" s="13"/>
      <c r="C969" s="13"/>
    </row>
    <row r="970" spans="1:3" ht="16.5" customHeight="1">
      <c r="A970" s="13"/>
      <c r="B970" s="13"/>
      <c r="C970" s="13"/>
    </row>
    <row r="971" spans="1:3" ht="16.5" customHeight="1">
      <c r="A971" s="13"/>
      <c r="B971" s="13"/>
      <c r="C971" s="13"/>
    </row>
    <row r="972" spans="1:3" ht="16.5" customHeight="1">
      <c r="A972" s="13"/>
      <c r="B972" s="13"/>
      <c r="C972" s="13"/>
    </row>
    <row r="973" spans="1:3" ht="16.5" customHeight="1">
      <c r="A973" s="13"/>
      <c r="B973" s="13"/>
      <c r="C973" s="13"/>
    </row>
    <row r="974" spans="1:3" ht="16.5" customHeight="1">
      <c r="A974" s="13"/>
      <c r="B974" s="13"/>
      <c r="C974" s="13"/>
    </row>
    <row r="975" spans="1:3" ht="16.5" customHeight="1">
      <c r="A975" s="13"/>
      <c r="B975" s="13"/>
      <c r="C975" s="13"/>
    </row>
    <row r="976" spans="1:3" ht="16.5" customHeight="1">
      <c r="A976" s="13"/>
      <c r="B976" s="13"/>
      <c r="C976" s="13"/>
    </row>
    <row r="977" spans="1:3" ht="16.5" customHeight="1">
      <c r="A977" s="13"/>
      <c r="B977" s="13"/>
      <c r="C977" s="13"/>
    </row>
    <row r="978" spans="1:3" ht="16.5" customHeight="1">
      <c r="A978" s="13"/>
      <c r="B978" s="13"/>
      <c r="C978" s="13"/>
    </row>
    <row r="979" spans="1:3" ht="16.5" customHeight="1">
      <c r="A979" s="13"/>
      <c r="B979" s="13"/>
      <c r="C979" s="13"/>
    </row>
    <row r="980" spans="1:3" ht="16.5" customHeight="1">
      <c r="A980" s="13"/>
      <c r="B980" s="13"/>
      <c r="C980" s="13"/>
    </row>
    <row r="981" spans="1:3" ht="16.5" customHeight="1">
      <c r="A981" s="13"/>
      <c r="B981" s="13"/>
      <c r="C981" s="13"/>
    </row>
    <row r="982" spans="1:3" ht="16.5" customHeight="1">
      <c r="A982" s="13"/>
      <c r="B982" s="13"/>
      <c r="C982" s="13"/>
    </row>
    <row r="983" spans="1:3" ht="16.5" customHeight="1">
      <c r="A983" s="13"/>
      <c r="B983" s="13"/>
      <c r="C983" s="13"/>
    </row>
    <row r="984" spans="1:3" ht="16.5" customHeight="1">
      <c r="A984" s="13"/>
      <c r="B984" s="13"/>
      <c r="C984" s="13"/>
    </row>
    <row r="985" spans="1:3" ht="16.5" customHeight="1">
      <c r="A985" s="13"/>
      <c r="B985" s="13"/>
      <c r="C985" s="13"/>
    </row>
    <row r="986" spans="1:3" ht="16.5" customHeight="1">
      <c r="A986" s="13"/>
      <c r="B986" s="13"/>
      <c r="C986" s="13"/>
    </row>
    <row r="987" spans="1:3" ht="16.5" customHeight="1">
      <c r="A987" s="13"/>
      <c r="B987" s="13"/>
      <c r="C987" s="13"/>
    </row>
    <row r="988" spans="1:3" ht="16.5" customHeight="1">
      <c r="A988" s="13"/>
      <c r="B988" s="13"/>
      <c r="C988" s="13"/>
    </row>
    <row r="989" spans="1:3" ht="16.5" customHeight="1">
      <c r="A989" s="13"/>
      <c r="B989" s="13"/>
      <c r="C989" s="13"/>
    </row>
    <row r="990" spans="1:3" ht="16.5" customHeight="1">
      <c r="A990" s="13"/>
      <c r="B990" s="13"/>
      <c r="C990" s="13"/>
    </row>
    <row r="991" spans="1:3" ht="16.5" customHeight="1">
      <c r="A991" s="13"/>
      <c r="B991" s="13"/>
      <c r="C991" s="13"/>
    </row>
    <row r="992" spans="1:3" ht="16.5" customHeight="1">
      <c r="A992" s="13"/>
      <c r="B992" s="13"/>
      <c r="C992" s="13"/>
    </row>
    <row r="993" spans="1:3" ht="16.5" customHeight="1">
      <c r="A993" s="13"/>
      <c r="B993" s="13"/>
      <c r="C993" s="13"/>
    </row>
    <row r="994" spans="1:3" ht="16.5" customHeight="1">
      <c r="A994" s="13"/>
      <c r="B994" s="13"/>
      <c r="C994" s="13"/>
    </row>
    <row r="995" spans="1:3" ht="16.5" customHeight="1">
      <c r="A995" s="13"/>
      <c r="B995" s="13"/>
      <c r="C995" s="13"/>
    </row>
    <row r="996" spans="1:3" ht="16.5" customHeight="1">
      <c r="A996" s="13"/>
      <c r="B996" s="13"/>
      <c r="C996" s="13"/>
    </row>
    <row r="997" spans="1:3" ht="16.5" customHeight="1">
      <c r="A997" s="13"/>
      <c r="B997" s="13"/>
      <c r="C997" s="13"/>
    </row>
    <row r="998" spans="1:3" ht="16.5" customHeight="1">
      <c r="A998" s="13"/>
      <c r="B998" s="13"/>
      <c r="C998" s="13"/>
    </row>
    <row r="999" spans="1:3" ht="16.5" customHeight="1">
      <c r="A999" s="13"/>
      <c r="B999" s="13"/>
      <c r="C999" s="13"/>
    </row>
    <row r="1000" spans="1:3" ht="16.5" customHeight="1">
      <c r="A1000" s="13"/>
      <c r="B1000" s="13"/>
      <c r="C1000" s="13"/>
    </row>
  </sheetData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85" sqref="F85"/>
    </sheetView>
  </sheetViews>
  <sheetFormatPr defaultColWidth="14.42578125" defaultRowHeight="15" customHeight="1"/>
  <cols>
    <col min="1" max="1" width="10.7109375" customWidth="1"/>
    <col min="2" max="2" width="12.42578125" customWidth="1"/>
    <col min="3" max="3" width="8.140625" customWidth="1"/>
    <col min="4" max="4" width="37.140625" customWidth="1"/>
    <col min="5" max="5" width="57.7109375" customWidth="1"/>
    <col min="6" max="6" width="87.140625" customWidth="1"/>
    <col min="7" max="7" width="47.5703125" customWidth="1"/>
    <col min="8" max="26" width="8.7109375" customWidth="1"/>
  </cols>
  <sheetData>
    <row r="1" spans="1:26" ht="13.5" customHeight="1">
      <c r="A1" s="1" t="s">
        <v>448</v>
      </c>
      <c r="B1" s="1" t="s">
        <v>452</v>
      </c>
      <c r="C1" s="1" t="s">
        <v>454</v>
      </c>
      <c r="D1" s="1" t="s">
        <v>3</v>
      </c>
      <c r="E1" s="1" t="s">
        <v>4</v>
      </c>
      <c r="F1" s="1" t="s">
        <v>6</v>
      </c>
      <c r="G1" s="1" t="s">
        <v>9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3.5" customHeight="1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3.5" customHeight="1">
      <c r="A3" s="8"/>
      <c r="B3" s="8"/>
      <c r="C3" s="8"/>
      <c r="D3" s="8" t="s">
        <v>492</v>
      </c>
      <c r="E3" s="8" t="s">
        <v>494</v>
      </c>
      <c r="F3" s="8" t="s">
        <v>346</v>
      </c>
      <c r="G3" s="8" t="s">
        <v>496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3.5" customHeight="1">
      <c r="A4" s="8"/>
      <c r="B4" s="8"/>
      <c r="C4" s="8"/>
      <c r="D4" s="8" t="s">
        <v>503</v>
      </c>
      <c r="E4" s="8" t="s">
        <v>505</v>
      </c>
      <c r="F4" s="8" t="s">
        <v>328</v>
      </c>
      <c r="G4" s="8" t="s">
        <v>507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3.5" customHeight="1">
      <c r="A5" s="8"/>
      <c r="B5" s="8"/>
      <c r="C5" s="8"/>
      <c r="D5" s="8" t="s">
        <v>511</v>
      </c>
      <c r="E5" s="8" t="s">
        <v>513</v>
      </c>
      <c r="F5" s="8" t="s">
        <v>338</v>
      </c>
      <c r="G5" s="8" t="s">
        <v>514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3.5" customHeight="1">
      <c r="A6" s="8"/>
      <c r="B6" s="8"/>
      <c r="C6" s="8"/>
      <c r="D6" s="8" t="s">
        <v>521</v>
      </c>
      <c r="E6" s="8" t="s">
        <v>522</v>
      </c>
      <c r="F6" s="8" t="s">
        <v>312</v>
      </c>
      <c r="G6" s="8" t="s">
        <v>525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3.5" customHeight="1">
      <c r="A7" s="8"/>
      <c r="B7" s="8"/>
      <c r="C7" s="8"/>
      <c r="D7" s="8" t="s">
        <v>529</v>
      </c>
      <c r="E7" s="8" t="s">
        <v>530</v>
      </c>
      <c r="F7" s="8" t="s">
        <v>347</v>
      </c>
      <c r="G7" s="8" t="s">
        <v>531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3.5" customHeight="1">
      <c r="A8" s="8"/>
      <c r="B8" s="8"/>
      <c r="C8" s="8"/>
      <c r="D8" s="8" t="s">
        <v>534</v>
      </c>
      <c r="E8" s="8" t="s">
        <v>535</v>
      </c>
      <c r="F8" s="8" t="s">
        <v>332</v>
      </c>
      <c r="G8" s="8" t="s">
        <v>536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3.5" customHeight="1">
      <c r="A9" s="8" t="s">
        <v>539</v>
      </c>
      <c r="B9" s="8" t="s">
        <v>91</v>
      </c>
      <c r="C9" s="8" t="s">
        <v>540</v>
      </c>
      <c r="D9" s="8" t="str">
        <f t="shared" ref="D9:D48" si="0">UPPER(A9)&amp;"_"&amp;UPPER(C9)&amp;"_"&amp;UPPER(B9)</f>
        <v>COURTESY_ETC_LUBU</v>
      </c>
      <c r="E9" s="8" t="s">
        <v>550</v>
      </c>
      <c r="F9" s="8" t="s">
        <v>551</v>
      </c>
      <c r="G9" s="8" t="s">
        <v>552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3.5" customHeight="1">
      <c r="A10" s="8" t="s">
        <v>539</v>
      </c>
      <c r="B10" s="8" t="s">
        <v>8</v>
      </c>
      <c r="C10" s="8" t="s">
        <v>558</v>
      </c>
      <c r="D10" s="8" t="str">
        <f t="shared" si="0"/>
        <v>COURTESY_SHU_GUANYU</v>
      </c>
      <c r="E10" s="8" t="s">
        <v>561</v>
      </c>
      <c r="F10" s="8" t="s">
        <v>563</v>
      </c>
      <c r="G10" s="8" t="s">
        <v>565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3.5" customHeight="1">
      <c r="A11" s="8" t="s">
        <v>539</v>
      </c>
      <c r="B11" s="8" t="s">
        <v>17</v>
      </c>
      <c r="C11" s="8" t="s">
        <v>558</v>
      </c>
      <c r="D11" s="8" t="str">
        <f t="shared" si="0"/>
        <v>COURTESY_SHU_HUANGZHONG</v>
      </c>
      <c r="E11" s="8" t="s">
        <v>575</v>
      </c>
      <c r="F11" s="8" t="s">
        <v>576</v>
      </c>
      <c r="G11" s="8" t="s">
        <v>577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3.5" customHeight="1">
      <c r="A12" s="8" t="s">
        <v>539</v>
      </c>
      <c r="B12" s="8" t="s">
        <v>5</v>
      </c>
      <c r="C12" s="8" t="s">
        <v>558</v>
      </c>
      <c r="D12" s="8" t="str">
        <f t="shared" si="0"/>
        <v>COURTESY_SHU_LIUBEI</v>
      </c>
      <c r="E12" s="8" t="s">
        <v>584</v>
      </c>
      <c r="F12" s="8" t="s">
        <v>585</v>
      </c>
      <c r="G12" s="8" t="s">
        <v>587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3.5" customHeight="1">
      <c r="A13" s="8" t="s">
        <v>539</v>
      </c>
      <c r="B13" s="8" t="s">
        <v>12</v>
      </c>
      <c r="C13" s="8" t="s">
        <v>558</v>
      </c>
      <c r="D13" s="8" t="str">
        <f t="shared" si="0"/>
        <v>COURTESY_SHU_ZHANGFEI</v>
      </c>
      <c r="E13" s="8" t="s">
        <v>588</v>
      </c>
      <c r="F13" s="8" t="s">
        <v>589</v>
      </c>
      <c r="G13" s="8" t="s">
        <v>590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5" customHeight="1">
      <c r="A14" s="8" t="s">
        <v>539</v>
      </c>
      <c r="B14" s="8" t="s">
        <v>14</v>
      </c>
      <c r="C14" s="8" t="s">
        <v>558</v>
      </c>
      <c r="D14" s="8" t="str">
        <f t="shared" si="0"/>
        <v>COURTESY_SHU_ZHAOYUN</v>
      </c>
      <c r="E14" s="8" t="s">
        <v>598</v>
      </c>
      <c r="F14" s="8" t="s">
        <v>599</v>
      </c>
      <c r="G14" s="8" t="s">
        <v>601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5" customHeight="1">
      <c r="A15" s="8" t="s">
        <v>539</v>
      </c>
      <c r="B15" s="8" t="s">
        <v>19</v>
      </c>
      <c r="C15" s="8" t="s">
        <v>558</v>
      </c>
      <c r="D15" s="8" t="str">
        <f t="shared" si="0"/>
        <v>COURTESY_SHU_ZHUGELIANG</v>
      </c>
      <c r="E15" s="8" t="s">
        <v>608</v>
      </c>
      <c r="F15" s="8" t="s">
        <v>611</v>
      </c>
      <c r="G15" s="8" t="s">
        <v>613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5" customHeight="1">
      <c r="A16" s="8" t="s">
        <v>539</v>
      </c>
      <c r="B16" s="8" t="s">
        <v>21</v>
      </c>
      <c r="C16" s="8" t="s">
        <v>622</v>
      </c>
      <c r="D16" s="8" t="str">
        <f t="shared" si="0"/>
        <v>COURTESY_WEI_CAOCAO</v>
      </c>
      <c r="E16" s="8" t="s">
        <v>626</v>
      </c>
      <c r="F16" s="8" t="s">
        <v>627</v>
      </c>
      <c r="G16" s="8" t="s">
        <v>629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5" customHeight="1">
      <c r="A17" s="8" t="s">
        <v>539</v>
      </c>
      <c r="B17" s="8" t="s">
        <v>23</v>
      </c>
      <c r="C17" s="8" t="s">
        <v>622</v>
      </c>
      <c r="D17" s="8" t="str">
        <f t="shared" si="0"/>
        <v>COURTESY_WEI_CAOREN</v>
      </c>
      <c r="E17" s="8" t="s">
        <v>641</v>
      </c>
      <c r="F17" s="8" t="s">
        <v>642</v>
      </c>
      <c r="G17" s="8" t="s">
        <v>644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5" customHeight="1">
      <c r="A18" s="8" t="s">
        <v>539</v>
      </c>
      <c r="B18" s="8" t="s">
        <v>25</v>
      </c>
      <c r="C18" s="8" t="s">
        <v>622</v>
      </c>
      <c r="D18" s="8" t="str">
        <f t="shared" si="0"/>
        <v>COURTESY_WEI_XIAHOUDUN</v>
      </c>
      <c r="E18" s="8" t="s">
        <v>657</v>
      </c>
      <c r="F18" s="8" t="s">
        <v>658</v>
      </c>
      <c r="G18" s="8" t="s">
        <v>659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5" customHeight="1">
      <c r="A19" s="8" t="s">
        <v>539</v>
      </c>
      <c r="B19" s="8" t="s">
        <v>29</v>
      </c>
      <c r="C19" s="8" t="s">
        <v>622</v>
      </c>
      <c r="D19" s="8" t="str">
        <f t="shared" si="0"/>
        <v>COURTESY_WEI_XIAHOUYUAN</v>
      </c>
      <c r="E19" s="8" t="s">
        <v>671</v>
      </c>
      <c r="F19" s="8" t="s">
        <v>674</v>
      </c>
      <c r="G19" s="8" t="s">
        <v>675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5" customHeight="1">
      <c r="A20" s="8" t="s">
        <v>539</v>
      </c>
      <c r="B20" s="8" t="s">
        <v>44</v>
      </c>
      <c r="C20" s="8" t="s">
        <v>622</v>
      </c>
      <c r="D20" s="8" t="str">
        <f t="shared" si="0"/>
        <v>COURTESY_WEI_XUNYU</v>
      </c>
      <c r="E20" s="8" t="s">
        <v>684</v>
      </c>
      <c r="F20" s="8" t="s">
        <v>685</v>
      </c>
      <c r="G20" s="8" t="s">
        <v>686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5" customHeight="1">
      <c r="A21" s="8" t="s">
        <v>539</v>
      </c>
      <c r="B21" s="8" t="s">
        <v>27</v>
      </c>
      <c r="C21" s="8" t="s">
        <v>622</v>
      </c>
      <c r="D21" s="8" t="str">
        <f t="shared" si="0"/>
        <v>COURTESY_WEI_ZHANGLIAO</v>
      </c>
      <c r="E21" s="8" t="s">
        <v>695</v>
      </c>
      <c r="F21" s="8" t="s">
        <v>696</v>
      </c>
      <c r="G21" s="8" t="s">
        <v>698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5" customHeight="1">
      <c r="A22" s="8" t="s">
        <v>539</v>
      </c>
      <c r="B22" s="8" t="s">
        <v>80</v>
      </c>
      <c r="C22" s="8" t="s">
        <v>706</v>
      </c>
      <c r="D22" s="8" t="str">
        <f t="shared" si="0"/>
        <v>COURTESY_WU_HANDANG</v>
      </c>
      <c r="E22" s="8" t="s">
        <v>710</v>
      </c>
      <c r="F22" s="8" t="s">
        <v>711</v>
      </c>
      <c r="G22" s="8" t="s">
        <v>713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5" customHeight="1">
      <c r="A23" s="8" t="s">
        <v>539</v>
      </c>
      <c r="B23" s="8" t="s">
        <v>63</v>
      </c>
      <c r="C23" s="8" t="s">
        <v>706</v>
      </c>
      <c r="D23" s="8" t="str">
        <f t="shared" si="0"/>
        <v>COURTESY_WU_HUANGGAI</v>
      </c>
      <c r="E23" s="8" t="s">
        <v>726</v>
      </c>
      <c r="F23" s="8" t="s">
        <v>728</v>
      </c>
      <c r="G23" s="8" t="s">
        <v>730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5" customHeight="1">
      <c r="A24" s="8" t="s">
        <v>539</v>
      </c>
      <c r="B24" s="8" t="s">
        <v>68</v>
      </c>
      <c r="C24" s="8" t="s">
        <v>706</v>
      </c>
      <c r="D24" s="8" t="str">
        <f t="shared" si="0"/>
        <v>COURTESY_WU_SUNCE</v>
      </c>
      <c r="E24" s="8" t="s">
        <v>739</v>
      </c>
      <c r="F24" s="8" t="s">
        <v>741</v>
      </c>
      <c r="G24" s="8" t="s">
        <v>742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5" customHeight="1">
      <c r="A25" s="8" t="s">
        <v>539</v>
      </c>
      <c r="B25" s="8" t="s">
        <v>51</v>
      </c>
      <c r="C25" s="8" t="s">
        <v>706</v>
      </c>
      <c r="D25" s="8" t="str">
        <f t="shared" si="0"/>
        <v>COURTESY_WU_SUNJIAN</v>
      </c>
      <c r="E25" s="8" t="s">
        <v>756</v>
      </c>
      <c r="F25" s="8" t="s">
        <v>757</v>
      </c>
      <c r="G25" s="8" t="s">
        <v>760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5" customHeight="1">
      <c r="A26" s="8" t="s">
        <v>539</v>
      </c>
      <c r="B26" s="8" t="s">
        <v>56</v>
      </c>
      <c r="C26" s="8" t="s">
        <v>706</v>
      </c>
      <c r="D26" s="8" t="str">
        <f t="shared" si="0"/>
        <v>COURTESY_WU_SUNQUAN</v>
      </c>
      <c r="E26" s="8" t="s">
        <v>775</v>
      </c>
      <c r="F26" s="8" t="s">
        <v>776</v>
      </c>
      <c r="G26" s="8" t="s">
        <v>778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5" customHeight="1">
      <c r="A27" s="8" t="s">
        <v>539</v>
      </c>
      <c r="B27" s="8" t="s">
        <v>74</v>
      </c>
      <c r="C27" s="8" t="s">
        <v>706</v>
      </c>
      <c r="D27" s="8" t="str">
        <f t="shared" si="0"/>
        <v>COURTESY_WU_TAISHICI</v>
      </c>
      <c r="E27" s="8" t="s">
        <v>791</v>
      </c>
      <c r="F27" s="8" t="s">
        <v>792</v>
      </c>
      <c r="G27" s="8" t="s">
        <v>794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5" customHeight="1">
      <c r="A28" s="8" t="s">
        <v>539</v>
      </c>
      <c r="B28" s="8" t="s">
        <v>85</v>
      </c>
      <c r="C28" s="8" t="s">
        <v>706</v>
      </c>
      <c r="D28" s="8" t="str">
        <f t="shared" si="0"/>
        <v>COURTESY_WU_ZHOUYU</v>
      </c>
      <c r="E28" s="8" t="s">
        <v>807</v>
      </c>
      <c r="F28" s="8" t="s">
        <v>808</v>
      </c>
      <c r="G28" s="8" t="s">
        <v>810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5" customHeight="1">
      <c r="A29" s="8" t="s">
        <v>818</v>
      </c>
      <c r="B29" s="8" t="s">
        <v>91</v>
      </c>
      <c r="C29" s="8" t="s">
        <v>540</v>
      </c>
      <c r="D29" s="8" t="str">
        <f t="shared" si="0"/>
        <v>DESC_TALK_ETC_LUBU</v>
      </c>
      <c r="E29" s="8" t="s">
        <v>826</v>
      </c>
      <c r="F29" s="8" t="s">
        <v>827</v>
      </c>
      <c r="G29" s="8" t="s">
        <v>831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5" customHeight="1">
      <c r="A30" s="8" t="s">
        <v>818</v>
      </c>
      <c r="B30" s="8" t="s">
        <v>8</v>
      </c>
      <c r="C30" s="8" t="s">
        <v>558</v>
      </c>
      <c r="D30" s="8" t="str">
        <f t="shared" si="0"/>
        <v>DESC_TALK_SHU_GUANYU</v>
      </c>
      <c r="E30" s="8" t="s">
        <v>845</v>
      </c>
      <c r="F30" s="8" t="s">
        <v>847</v>
      </c>
      <c r="G30" s="8" t="s">
        <v>848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5" customHeight="1">
      <c r="A31" s="8" t="s">
        <v>818</v>
      </c>
      <c r="B31" s="8" t="s">
        <v>5</v>
      </c>
      <c r="C31" s="8" t="s">
        <v>558</v>
      </c>
      <c r="D31" s="8" t="str">
        <f t="shared" si="0"/>
        <v>DESC_TALK_SHU_LIUBEI</v>
      </c>
      <c r="E31" s="8" t="s">
        <v>850</v>
      </c>
      <c r="F31" s="8" t="s">
        <v>851</v>
      </c>
      <c r="G31" s="8" t="s">
        <v>852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5" customHeight="1">
      <c r="A32" s="8" t="s">
        <v>818</v>
      </c>
      <c r="B32" s="8" t="s">
        <v>12</v>
      </c>
      <c r="C32" s="8" t="s">
        <v>558</v>
      </c>
      <c r="D32" s="8" t="str">
        <f t="shared" si="0"/>
        <v>DESC_TALK_SHU_ZHANGFEI</v>
      </c>
      <c r="E32" s="8" t="s">
        <v>862</v>
      </c>
      <c r="F32" s="8" t="s">
        <v>864</v>
      </c>
      <c r="G32" s="8" t="s">
        <v>865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5" customHeight="1">
      <c r="A33" s="8" t="s">
        <v>818</v>
      </c>
      <c r="B33" s="8" t="s">
        <v>14</v>
      </c>
      <c r="C33" s="8" t="s">
        <v>558</v>
      </c>
      <c r="D33" s="8" t="str">
        <f t="shared" si="0"/>
        <v>DESC_TALK_SHU_ZHAOYUN</v>
      </c>
      <c r="E33" s="8" t="s">
        <v>877</v>
      </c>
      <c r="F33" s="8" t="s">
        <v>879</v>
      </c>
      <c r="G33" s="8" t="s">
        <v>880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5" customHeight="1">
      <c r="A34" s="8" t="s">
        <v>818</v>
      </c>
      <c r="B34" s="8" t="s">
        <v>19</v>
      </c>
      <c r="C34" s="8" t="s">
        <v>558</v>
      </c>
      <c r="D34" s="8" t="str">
        <f t="shared" si="0"/>
        <v>DESC_TALK_SHU_ZHUGELIANG</v>
      </c>
      <c r="E34" s="8" t="s">
        <v>890</v>
      </c>
      <c r="F34" s="8" t="s">
        <v>892</v>
      </c>
      <c r="G34" s="8" t="s">
        <v>894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5" customHeight="1">
      <c r="A35" s="8" t="s">
        <v>818</v>
      </c>
      <c r="B35" s="8" t="s">
        <v>17</v>
      </c>
      <c r="C35" s="8" t="s">
        <v>558</v>
      </c>
      <c r="D35" s="8" t="str">
        <f t="shared" si="0"/>
        <v>DESC_TALK_SHU_HUANGZHONG</v>
      </c>
      <c r="E35" s="8" t="s">
        <v>909</v>
      </c>
      <c r="F35" s="8" t="s">
        <v>910</v>
      </c>
      <c r="G35" s="8" t="s">
        <v>911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5" customHeight="1">
      <c r="A36" s="8" t="s">
        <v>818</v>
      </c>
      <c r="B36" s="8" t="s">
        <v>21</v>
      </c>
      <c r="C36" s="8" t="s">
        <v>622</v>
      </c>
      <c r="D36" s="8" t="str">
        <f t="shared" si="0"/>
        <v>DESC_TALK_WEI_CAOCAO</v>
      </c>
      <c r="E36" s="8" t="s">
        <v>918</v>
      </c>
      <c r="F36" s="8" t="s">
        <v>921</v>
      </c>
      <c r="G36" s="8" t="s">
        <v>922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5" customHeight="1">
      <c r="A37" s="8" t="s">
        <v>818</v>
      </c>
      <c r="B37" s="8" t="s">
        <v>23</v>
      </c>
      <c r="C37" s="8" t="s">
        <v>622</v>
      </c>
      <c r="D37" s="8" t="str">
        <f t="shared" si="0"/>
        <v>DESC_TALK_WEI_CAOREN</v>
      </c>
      <c r="E37" s="8" t="s">
        <v>933</v>
      </c>
      <c r="F37" s="8" t="s">
        <v>935</v>
      </c>
      <c r="G37" s="8" t="s">
        <v>937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5" customHeight="1">
      <c r="A38" s="8" t="s">
        <v>818</v>
      </c>
      <c r="B38" s="8" t="s">
        <v>25</v>
      </c>
      <c r="C38" s="8" t="s">
        <v>622</v>
      </c>
      <c r="D38" s="8" t="str">
        <f t="shared" si="0"/>
        <v>DESC_TALK_WEI_XIAHOUDUN</v>
      </c>
      <c r="E38" s="8" t="s">
        <v>946</v>
      </c>
      <c r="F38" s="8" t="s">
        <v>948</v>
      </c>
      <c r="G38" s="8" t="s">
        <v>950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5" customHeight="1">
      <c r="A39" s="8" t="s">
        <v>818</v>
      </c>
      <c r="B39" s="8" t="s">
        <v>29</v>
      </c>
      <c r="C39" s="8" t="s">
        <v>622</v>
      </c>
      <c r="D39" s="8" t="str">
        <f t="shared" si="0"/>
        <v>DESC_TALK_WEI_XIAHOUYUAN</v>
      </c>
      <c r="E39" s="8" t="s">
        <v>960</v>
      </c>
      <c r="F39" s="8" t="s">
        <v>962</v>
      </c>
      <c r="G39" s="8" t="s">
        <v>964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5" customHeight="1">
      <c r="A40" s="8" t="s">
        <v>818</v>
      </c>
      <c r="B40" s="8" t="s">
        <v>44</v>
      </c>
      <c r="C40" s="8" t="s">
        <v>622</v>
      </c>
      <c r="D40" s="8" t="str">
        <f t="shared" si="0"/>
        <v>DESC_TALK_WEI_XUNYU</v>
      </c>
      <c r="E40" s="8" t="s">
        <v>971</v>
      </c>
      <c r="F40" s="8" t="s">
        <v>972</v>
      </c>
      <c r="G40" s="8" t="s">
        <v>974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5" customHeight="1">
      <c r="A41" s="8" t="s">
        <v>818</v>
      </c>
      <c r="B41" s="8" t="s">
        <v>27</v>
      </c>
      <c r="C41" s="8" t="s">
        <v>622</v>
      </c>
      <c r="D41" s="8" t="str">
        <f t="shared" si="0"/>
        <v>DESC_TALK_WEI_ZHANGLIAO</v>
      </c>
      <c r="E41" s="8" t="s">
        <v>985</v>
      </c>
      <c r="F41" s="8" t="s">
        <v>987</v>
      </c>
      <c r="G41" s="8" t="s">
        <v>988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5" customHeight="1">
      <c r="A42" s="8" t="s">
        <v>818</v>
      </c>
      <c r="B42" s="8" t="s">
        <v>80</v>
      </c>
      <c r="C42" s="8" t="s">
        <v>706</v>
      </c>
      <c r="D42" s="8" t="str">
        <f t="shared" si="0"/>
        <v>DESC_TALK_WU_HANDANG</v>
      </c>
      <c r="E42" s="8" t="s">
        <v>999</v>
      </c>
      <c r="F42" s="8" t="s">
        <v>1001</v>
      </c>
      <c r="G42" s="8" t="s">
        <v>1003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5" customHeight="1">
      <c r="A43" s="8" t="s">
        <v>818</v>
      </c>
      <c r="B43" s="8" t="s">
        <v>63</v>
      </c>
      <c r="C43" s="8" t="s">
        <v>706</v>
      </c>
      <c r="D43" s="8" t="str">
        <f t="shared" si="0"/>
        <v>DESC_TALK_WU_HUANGGAI</v>
      </c>
      <c r="E43" s="8" t="s">
        <v>1010</v>
      </c>
      <c r="F43" s="8" t="s">
        <v>1012</v>
      </c>
      <c r="G43" s="8" t="s">
        <v>1014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5" customHeight="1">
      <c r="A44" s="8" t="s">
        <v>818</v>
      </c>
      <c r="B44" s="8" t="s">
        <v>68</v>
      </c>
      <c r="C44" s="8" t="s">
        <v>706</v>
      </c>
      <c r="D44" s="8" t="str">
        <f t="shared" si="0"/>
        <v>DESC_TALK_WU_SUNCE</v>
      </c>
      <c r="E44" s="8" t="s">
        <v>1022</v>
      </c>
      <c r="F44" s="8" t="s">
        <v>1024</v>
      </c>
      <c r="G44" s="8" t="s">
        <v>1026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5" customHeight="1">
      <c r="A45" s="8" t="s">
        <v>818</v>
      </c>
      <c r="B45" s="8" t="s">
        <v>51</v>
      </c>
      <c r="C45" s="8" t="s">
        <v>706</v>
      </c>
      <c r="D45" s="8" t="str">
        <f t="shared" si="0"/>
        <v>DESC_TALK_WU_SUNJIAN</v>
      </c>
      <c r="E45" s="8" t="s">
        <v>1037</v>
      </c>
      <c r="F45" s="8" t="s">
        <v>1039</v>
      </c>
      <c r="G45" s="8" t="s">
        <v>1042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5" customHeight="1">
      <c r="A46" s="8" t="s">
        <v>818</v>
      </c>
      <c r="B46" s="8" t="s">
        <v>56</v>
      </c>
      <c r="C46" s="8" t="s">
        <v>706</v>
      </c>
      <c r="D46" s="8" t="str">
        <f t="shared" si="0"/>
        <v>DESC_TALK_WU_SUNQUAN</v>
      </c>
      <c r="E46" s="8" t="s">
        <v>1052</v>
      </c>
      <c r="F46" s="8" t="s">
        <v>1053</v>
      </c>
      <c r="G46" s="8" t="s">
        <v>1055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5" customHeight="1">
      <c r="A47" s="8" t="s">
        <v>818</v>
      </c>
      <c r="B47" s="8" t="s">
        <v>74</v>
      </c>
      <c r="C47" s="8" t="s">
        <v>706</v>
      </c>
      <c r="D47" s="8" t="str">
        <f t="shared" si="0"/>
        <v>DESC_TALK_WU_TAISHICI</v>
      </c>
      <c r="E47" s="8" t="s">
        <v>1068</v>
      </c>
      <c r="F47" s="8" t="s">
        <v>1070</v>
      </c>
      <c r="G47" s="8" t="s">
        <v>1072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5" customHeight="1">
      <c r="A48" s="8" t="s">
        <v>818</v>
      </c>
      <c r="B48" s="8" t="s">
        <v>85</v>
      </c>
      <c r="C48" s="8" t="s">
        <v>706</v>
      </c>
      <c r="D48" s="8" t="str">
        <f t="shared" si="0"/>
        <v>DESC_TALK_WU_ZHOUYU</v>
      </c>
      <c r="E48" s="8" t="s">
        <v>1088</v>
      </c>
      <c r="F48" s="8" t="s">
        <v>1090</v>
      </c>
      <c r="G48" s="8" t="s">
        <v>1093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5" customHeight="1">
      <c r="A49" s="8"/>
      <c r="B49" s="8"/>
      <c r="C49" s="8"/>
      <c r="D49" s="8" t="s">
        <v>1103</v>
      </c>
      <c r="E49" s="8" t="s">
        <v>1105</v>
      </c>
      <c r="F49" s="8" t="s">
        <v>1107</v>
      </c>
      <c r="G49" s="8" t="s">
        <v>1110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5" customHeight="1">
      <c r="A50" s="8"/>
      <c r="B50" s="8"/>
      <c r="C50" s="8"/>
      <c r="D50" s="8" t="s">
        <v>1116</v>
      </c>
      <c r="E50" s="8" t="s">
        <v>1117</v>
      </c>
      <c r="F50" s="8" t="s">
        <v>1118</v>
      </c>
      <c r="G50" s="8" t="s">
        <v>1119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5" customHeight="1">
      <c r="A51" s="8"/>
      <c r="B51" s="8"/>
      <c r="C51" s="8"/>
      <c r="D51" s="8" t="s">
        <v>1126</v>
      </c>
      <c r="E51" s="8" t="s">
        <v>1127</v>
      </c>
      <c r="F51" s="8" t="s">
        <v>1129</v>
      </c>
      <c r="G51" s="8" t="s">
        <v>1130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5" customHeight="1">
      <c r="A52" s="8"/>
      <c r="B52" s="8"/>
      <c r="C52" s="8"/>
      <c r="D52" s="8" t="s">
        <v>1136</v>
      </c>
      <c r="E52" s="8" t="s">
        <v>1137</v>
      </c>
      <c r="F52" s="8" t="s">
        <v>1138</v>
      </c>
      <c r="G52" s="8" t="s">
        <v>1139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5" customHeight="1">
      <c r="A53" s="8"/>
      <c r="B53" s="8"/>
      <c r="C53" s="8"/>
      <c r="D53" s="8" t="s">
        <v>1140</v>
      </c>
      <c r="E53" s="8" t="s">
        <v>1141</v>
      </c>
      <c r="F53" s="8" t="s">
        <v>1142</v>
      </c>
      <c r="G53" s="8" t="s">
        <v>1143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5" customHeight="1">
      <c r="A54" s="8"/>
      <c r="B54" s="8"/>
      <c r="C54" s="8"/>
      <c r="D54" s="8" t="s">
        <v>1151</v>
      </c>
      <c r="E54" s="8" t="s">
        <v>1152</v>
      </c>
      <c r="F54" s="8" t="s">
        <v>1153</v>
      </c>
      <c r="G54" s="8" t="s">
        <v>1156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5" customHeight="1">
      <c r="A55" s="8"/>
      <c r="B55" s="8"/>
      <c r="C55" s="8"/>
      <c r="D55" s="8" t="s">
        <v>1160</v>
      </c>
      <c r="E55" s="8" t="s">
        <v>1161</v>
      </c>
      <c r="F55" s="8" t="s">
        <v>1162</v>
      </c>
      <c r="G55" s="8" t="s">
        <v>1163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5" customHeight="1">
      <c r="A56" s="8"/>
      <c r="B56" s="8"/>
      <c r="C56" s="8"/>
      <c r="D56" s="8" t="s">
        <v>1168</v>
      </c>
      <c r="E56" s="8" t="s">
        <v>1170</v>
      </c>
      <c r="F56" s="8" t="s">
        <v>1172</v>
      </c>
      <c r="G56" s="8" t="s">
        <v>1174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5" customHeight="1">
      <c r="A57" s="8"/>
      <c r="B57" s="8"/>
      <c r="C57" s="8"/>
      <c r="D57" s="8" t="s">
        <v>1180</v>
      </c>
      <c r="E57" s="8" t="s">
        <v>1181</v>
      </c>
      <c r="F57" s="8" t="s">
        <v>1184</v>
      </c>
      <c r="G57" s="8" t="s">
        <v>1186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5" customHeight="1">
      <c r="A58" s="8"/>
      <c r="B58" s="8"/>
      <c r="C58" s="8"/>
      <c r="D58" s="8" t="s">
        <v>1192</v>
      </c>
      <c r="E58" s="8" t="s">
        <v>1193</v>
      </c>
      <c r="F58" s="8" t="s">
        <v>1195</v>
      </c>
      <c r="G58" s="8" t="s">
        <v>1196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5" customHeight="1">
      <c r="A59" s="8"/>
      <c r="B59" s="8"/>
      <c r="C59" s="8"/>
      <c r="D59" s="8" t="s">
        <v>1202</v>
      </c>
      <c r="E59" s="8" t="s">
        <v>1204</v>
      </c>
      <c r="F59" s="8" t="s">
        <v>1205</v>
      </c>
      <c r="G59" s="8" t="s">
        <v>1206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5" customHeight="1">
      <c r="A60" s="8"/>
      <c r="B60" s="8"/>
      <c r="C60" s="8"/>
      <c r="D60" s="8" t="s">
        <v>1214</v>
      </c>
      <c r="E60" s="8" t="s">
        <v>1215</v>
      </c>
      <c r="F60" s="8" t="s">
        <v>1216</v>
      </c>
      <c r="G60" s="8" t="s">
        <v>1218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5" customHeight="1">
      <c r="A61" s="8" t="s">
        <v>1223</v>
      </c>
      <c r="B61" s="8" t="s">
        <v>91</v>
      </c>
      <c r="C61" s="8" t="s">
        <v>540</v>
      </c>
      <c r="D61" s="8" t="str">
        <f t="shared" ref="D61:D80" si="1">UPPER(A61)&amp;"_"&amp;UPPER(C61)&amp;"_"&amp;UPPER(B61)</f>
        <v>NAME_ETC_LUBU</v>
      </c>
      <c r="E61" s="8" t="s">
        <v>89</v>
      </c>
      <c r="F61" s="8" t="s">
        <v>1231</v>
      </c>
      <c r="G61" s="8" t="s">
        <v>1232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5" customHeight="1">
      <c r="A62" s="8" t="s">
        <v>1223</v>
      </c>
      <c r="B62" s="8" t="s">
        <v>8</v>
      </c>
      <c r="C62" s="8" t="s">
        <v>558</v>
      </c>
      <c r="D62" s="8" t="str">
        <f t="shared" si="1"/>
        <v>NAME_SHU_GUANYU</v>
      </c>
      <c r="E62" s="8" t="s">
        <v>7</v>
      </c>
      <c r="F62" s="8" t="s">
        <v>1242</v>
      </c>
      <c r="G62" s="8" t="s">
        <v>1243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5" customHeight="1">
      <c r="A63" s="8" t="s">
        <v>1223</v>
      </c>
      <c r="B63" s="8" t="s">
        <v>17</v>
      </c>
      <c r="C63" s="8" t="s">
        <v>558</v>
      </c>
      <c r="D63" s="8" t="str">
        <f t="shared" si="1"/>
        <v>NAME_SHU_HUANGZHONG</v>
      </c>
      <c r="E63" s="8" t="s">
        <v>16</v>
      </c>
      <c r="F63" s="8" t="s">
        <v>1247</v>
      </c>
      <c r="G63" s="8" t="s">
        <v>1249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5" customHeight="1">
      <c r="A64" s="8" t="s">
        <v>1223</v>
      </c>
      <c r="B64" s="8" t="s">
        <v>5</v>
      </c>
      <c r="C64" s="8" t="s">
        <v>558</v>
      </c>
      <c r="D64" s="8" t="str">
        <f t="shared" si="1"/>
        <v>NAME_SHU_LIUBEI</v>
      </c>
      <c r="E64" s="8" t="s">
        <v>1</v>
      </c>
      <c r="F64" s="8" t="s">
        <v>1259</v>
      </c>
      <c r="G64" s="8" t="s">
        <v>1261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5" customHeight="1">
      <c r="A65" s="8" t="s">
        <v>1223</v>
      </c>
      <c r="B65" s="8" t="s">
        <v>12</v>
      </c>
      <c r="C65" s="8" t="s">
        <v>558</v>
      </c>
      <c r="D65" s="8" t="str">
        <f t="shared" si="1"/>
        <v>NAME_SHU_ZHANGFEI</v>
      </c>
      <c r="E65" s="8" t="s">
        <v>10</v>
      </c>
      <c r="F65" s="8" t="s">
        <v>1273</v>
      </c>
      <c r="G65" s="8" t="s">
        <v>1274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5" customHeight="1">
      <c r="A66" s="8" t="s">
        <v>1223</v>
      </c>
      <c r="B66" s="8" t="s">
        <v>14</v>
      </c>
      <c r="C66" s="8" t="s">
        <v>558</v>
      </c>
      <c r="D66" s="8" t="str">
        <f t="shared" si="1"/>
        <v>NAME_SHU_ZHAOYUN</v>
      </c>
      <c r="E66" s="8" t="s">
        <v>13</v>
      </c>
      <c r="F66" s="8" t="s">
        <v>1285</v>
      </c>
      <c r="G66" s="8" t="s">
        <v>1287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5" customHeight="1">
      <c r="A67" s="8" t="s">
        <v>1223</v>
      </c>
      <c r="B67" s="8" t="s">
        <v>19</v>
      </c>
      <c r="C67" s="8" t="s">
        <v>558</v>
      </c>
      <c r="D67" s="8" t="str">
        <f t="shared" si="1"/>
        <v>NAME_SHU_ZHUGELIANG</v>
      </c>
      <c r="E67" s="8" t="s">
        <v>18</v>
      </c>
      <c r="F67" s="8" t="s">
        <v>1298</v>
      </c>
      <c r="G67" s="8" t="s">
        <v>1300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5" customHeight="1">
      <c r="A68" s="8" t="s">
        <v>1223</v>
      </c>
      <c r="B68" s="8" t="s">
        <v>21</v>
      </c>
      <c r="C68" s="8" t="s">
        <v>622</v>
      </c>
      <c r="D68" s="8" t="str">
        <f t="shared" si="1"/>
        <v>NAME_WEI_CAOCAO</v>
      </c>
      <c r="E68" s="8" t="s">
        <v>20</v>
      </c>
      <c r="F68" s="8" t="s">
        <v>1311</v>
      </c>
      <c r="G68" s="8" t="s">
        <v>1312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5" customHeight="1">
      <c r="A69" s="8" t="s">
        <v>1223</v>
      </c>
      <c r="B69" s="8" t="s">
        <v>23</v>
      </c>
      <c r="C69" s="8" t="s">
        <v>622</v>
      </c>
      <c r="D69" s="8" t="str">
        <f t="shared" si="1"/>
        <v>NAME_WEI_CAOREN</v>
      </c>
      <c r="E69" s="8" t="s">
        <v>22</v>
      </c>
      <c r="F69" s="8" t="s">
        <v>1325</v>
      </c>
      <c r="G69" s="8" t="s">
        <v>1326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5" customHeight="1">
      <c r="A70" s="8" t="s">
        <v>1223</v>
      </c>
      <c r="B70" s="8" t="s">
        <v>25</v>
      </c>
      <c r="C70" s="8" t="s">
        <v>622</v>
      </c>
      <c r="D70" s="8" t="str">
        <f t="shared" si="1"/>
        <v>NAME_WEI_XIAHOUDUN</v>
      </c>
      <c r="E70" s="8" t="s">
        <v>24</v>
      </c>
      <c r="F70" s="8" t="s">
        <v>1339</v>
      </c>
      <c r="G70" s="8" t="s">
        <v>1340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5" customHeight="1">
      <c r="A71" s="8" t="s">
        <v>1223</v>
      </c>
      <c r="B71" s="8" t="s">
        <v>29</v>
      </c>
      <c r="C71" s="8" t="s">
        <v>622</v>
      </c>
      <c r="D71" s="8" t="str">
        <f t="shared" si="1"/>
        <v>NAME_WEI_XIAHOUYUAN</v>
      </c>
      <c r="E71" s="8" t="s">
        <v>28</v>
      </c>
      <c r="F71" s="8" t="s">
        <v>1356</v>
      </c>
      <c r="G71" s="8" t="s">
        <v>1358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5" customHeight="1">
      <c r="A72" s="8" t="s">
        <v>1223</v>
      </c>
      <c r="B72" s="8" t="s">
        <v>44</v>
      </c>
      <c r="C72" s="8" t="s">
        <v>622</v>
      </c>
      <c r="D72" s="8" t="str">
        <f t="shared" si="1"/>
        <v>NAME_WEI_XUNYU</v>
      </c>
      <c r="E72" s="8" t="s">
        <v>43</v>
      </c>
      <c r="F72" s="8" t="s">
        <v>1366</v>
      </c>
      <c r="G72" s="8" t="s">
        <v>1368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5" customHeight="1">
      <c r="A73" s="8" t="s">
        <v>1223</v>
      </c>
      <c r="B73" s="8" t="s">
        <v>27</v>
      </c>
      <c r="C73" s="8" t="s">
        <v>622</v>
      </c>
      <c r="D73" s="8" t="str">
        <f t="shared" si="1"/>
        <v>NAME_WEI_ZHANGLIAO</v>
      </c>
      <c r="E73" s="8" t="s">
        <v>26</v>
      </c>
      <c r="F73" s="8" t="s">
        <v>1378</v>
      </c>
      <c r="G73" s="8" t="s">
        <v>1380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5" customHeight="1">
      <c r="A74" s="8" t="s">
        <v>1223</v>
      </c>
      <c r="B74" s="8" t="s">
        <v>80</v>
      </c>
      <c r="C74" s="8" t="s">
        <v>706</v>
      </c>
      <c r="D74" s="8" t="str">
        <f t="shared" si="1"/>
        <v>NAME_WU_HANDANG</v>
      </c>
      <c r="E74" s="8" t="s">
        <v>78</v>
      </c>
      <c r="F74" s="8" t="s">
        <v>1386</v>
      </c>
      <c r="G74" s="8" t="s">
        <v>1388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5" customHeight="1">
      <c r="A75" s="8" t="s">
        <v>1223</v>
      </c>
      <c r="B75" s="8" t="s">
        <v>63</v>
      </c>
      <c r="C75" s="8" t="s">
        <v>706</v>
      </c>
      <c r="D75" s="8" t="str">
        <f t="shared" si="1"/>
        <v>NAME_WU_HUANGGAI</v>
      </c>
      <c r="E75" s="8" t="s">
        <v>60</v>
      </c>
      <c r="F75" s="8" t="s">
        <v>1396</v>
      </c>
      <c r="G75" s="8" t="s">
        <v>1398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5" customHeight="1">
      <c r="A76" s="8" t="s">
        <v>1223</v>
      </c>
      <c r="B76" s="8" t="s">
        <v>68</v>
      </c>
      <c r="C76" s="8" t="s">
        <v>706</v>
      </c>
      <c r="D76" s="8" t="str">
        <f t="shared" si="1"/>
        <v>NAME_WU_SUNCE</v>
      </c>
      <c r="E76" s="8" t="s">
        <v>65</v>
      </c>
      <c r="F76" s="8" t="s">
        <v>1410</v>
      </c>
      <c r="G76" s="8" t="s">
        <v>1412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5" customHeight="1">
      <c r="A77" s="8" t="s">
        <v>1223</v>
      </c>
      <c r="B77" s="8" t="s">
        <v>51</v>
      </c>
      <c r="C77" s="8" t="s">
        <v>706</v>
      </c>
      <c r="D77" s="8" t="str">
        <f t="shared" si="1"/>
        <v>NAME_WU_SUNJIAN</v>
      </c>
      <c r="E77" s="8" t="s">
        <v>50</v>
      </c>
      <c r="F77" s="8" t="s">
        <v>1418</v>
      </c>
      <c r="G77" s="8" t="s">
        <v>1420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5" customHeight="1">
      <c r="A78" s="8" t="s">
        <v>1223</v>
      </c>
      <c r="B78" s="8" t="s">
        <v>56</v>
      </c>
      <c r="C78" s="8" t="s">
        <v>706</v>
      </c>
      <c r="D78" s="8" t="str">
        <f t="shared" si="1"/>
        <v>NAME_WU_SUNQUAN</v>
      </c>
      <c r="E78" s="8" t="s">
        <v>55</v>
      </c>
      <c r="F78" s="8" t="s">
        <v>1429</v>
      </c>
      <c r="G78" s="8" t="s">
        <v>1430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5" customHeight="1">
      <c r="A79" s="8" t="s">
        <v>1223</v>
      </c>
      <c r="B79" s="8" t="s">
        <v>74</v>
      </c>
      <c r="C79" s="8" t="s">
        <v>706</v>
      </c>
      <c r="D79" s="8" t="str">
        <f t="shared" si="1"/>
        <v>NAME_WU_TAISHICI</v>
      </c>
      <c r="E79" s="8" t="s">
        <v>72</v>
      </c>
      <c r="F79" s="8" t="s">
        <v>1457</v>
      </c>
      <c r="G79" s="8" t="s">
        <v>1458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5" customHeight="1">
      <c r="A80" s="8" t="s">
        <v>1223</v>
      </c>
      <c r="B80" s="8" t="s">
        <v>85</v>
      </c>
      <c r="C80" s="8" t="s">
        <v>706</v>
      </c>
      <c r="D80" s="8" t="str">
        <f t="shared" si="1"/>
        <v>NAME_WU_ZHOUYU</v>
      </c>
      <c r="E80" s="8" t="s">
        <v>84</v>
      </c>
      <c r="F80" s="8" t="s">
        <v>1470</v>
      </c>
      <c r="G80" s="8" t="s">
        <v>1472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5" customHeight="1">
      <c r="A81" s="8"/>
      <c r="B81" s="8"/>
      <c r="C81" s="8"/>
      <c r="D81" s="8" t="s">
        <v>1474</v>
      </c>
      <c r="E81" s="8" t="s">
        <v>1475</v>
      </c>
      <c r="F81" s="8" t="s">
        <v>1477</v>
      </c>
      <c r="G81" s="8" t="s">
        <v>1479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5" customHeight="1">
      <c r="A82" s="8"/>
      <c r="B82" s="8"/>
      <c r="C82" s="8"/>
      <c r="D82" s="8" t="s">
        <v>1486</v>
      </c>
      <c r="E82" s="8" t="s">
        <v>1488</v>
      </c>
      <c r="F82" s="8" t="s">
        <v>1490</v>
      </c>
      <c r="G82" s="8" t="s">
        <v>1491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5" customHeight="1">
      <c r="A83" s="8"/>
      <c r="B83" s="8"/>
      <c r="C83" s="8"/>
      <c r="D83" s="8" t="s">
        <v>1497</v>
      </c>
      <c r="E83" s="8" t="s">
        <v>1498</v>
      </c>
      <c r="F83" s="8" t="s">
        <v>1500</v>
      </c>
      <c r="G83" s="8" t="s">
        <v>1501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5" customHeight="1">
      <c r="A84" s="8"/>
      <c r="B84" s="8"/>
      <c r="C84" s="8"/>
      <c r="D84" s="8" t="s">
        <v>1507</v>
      </c>
      <c r="E84" s="8" t="s">
        <v>1509</v>
      </c>
      <c r="F84" s="8" t="s">
        <v>1510</v>
      </c>
      <c r="G84" s="8" t="s">
        <v>1513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5" customHeight="1">
      <c r="A85" s="8"/>
      <c r="B85" s="8"/>
      <c r="C85" s="8"/>
      <c r="D85" s="8" t="s">
        <v>1520</v>
      </c>
      <c r="E85" s="8" t="s">
        <v>1522</v>
      </c>
      <c r="F85" s="8" t="s">
        <v>1524</v>
      </c>
      <c r="G85" s="8" t="s">
        <v>1525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5" customHeight="1">
      <c r="A86" s="8"/>
      <c r="B86" s="8"/>
      <c r="C86" s="8"/>
      <c r="D86" s="8" t="s">
        <v>1534</v>
      </c>
      <c r="E86" s="8" t="s">
        <v>1535</v>
      </c>
      <c r="F86" s="8" t="s">
        <v>1537</v>
      </c>
      <c r="G86" s="8" t="s">
        <v>1538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5" customHeight="1">
      <c r="A87" s="8" t="s">
        <v>1223</v>
      </c>
      <c r="B87" s="8" t="s">
        <v>97</v>
      </c>
      <c r="C87" s="8" t="s">
        <v>540</v>
      </c>
      <c r="D87" s="8" t="str">
        <f t="shared" ref="D87:D102" si="2">UPPER(A87)&amp;"_"&amp;UPPER(C87)&amp;"_"&amp;UPPER(B87)</f>
        <v>NAME_ETC_YUANSHAO</v>
      </c>
      <c r="E87" s="8" t="s">
        <v>95</v>
      </c>
      <c r="F87" s="8" t="s">
        <v>1570</v>
      </c>
      <c r="G87" s="8" t="s">
        <v>1571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5" customHeight="1">
      <c r="A88" s="8" t="s">
        <v>1223</v>
      </c>
      <c r="B88" s="8" t="s">
        <v>106</v>
      </c>
      <c r="C88" s="8" t="s">
        <v>540</v>
      </c>
      <c r="D88" s="8" t="str">
        <f t="shared" si="2"/>
        <v>NAME_ETC_YANLIANG</v>
      </c>
      <c r="E88" s="8" t="s">
        <v>104</v>
      </c>
      <c r="F88" s="8" t="s">
        <v>1575</v>
      </c>
      <c r="G88" s="8" t="s">
        <v>1577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5" customHeight="1">
      <c r="A89" s="8" t="s">
        <v>1223</v>
      </c>
      <c r="B89" s="8" t="s">
        <v>111</v>
      </c>
      <c r="C89" s="8" t="s">
        <v>540</v>
      </c>
      <c r="D89" s="8" t="str">
        <f t="shared" si="2"/>
        <v>NAME_ETC_WENCHOU</v>
      </c>
      <c r="E89" s="8" t="s">
        <v>109</v>
      </c>
      <c r="F89" s="8" t="s">
        <v>1578</v>
      </c>
      <c r="G89" s="8" t="s">
        <v>1579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5" customHeight="1">
      <c r="A90" s="8" t="s">
        <v>1223</v>
      </c>
      <c r="B90" s="8" t="s">
        <v>119</v>
      </c>
      <c r="C90" s="8" t="s">
        <v>540</v>
      </c>
      <c r="D90" s="8" t="str">
        <f t="shared" si="2"/>
        <v>NAME_ETC_SONGXIAN</v>
      </c>
      <c r="E90" s="8" t="s">
        <v>118</v>
      </c>
      <c r="F90" s="8" t="s">
        <v>1580</v>
      </c>
      <c r="G90" s="8" t="s">
        <v>1581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5" customHeight="1">
      <c r="A91" s="8" t="s">
        <v>1223</v>
      </c>
      <c r="B91" s="8" t="s">
        <v>123</v>
      </c>
      <c r="C91" s="8" t="s">
        <v>540</v>
      </c>
      <c r="D91" s="8" t="str">
        <f t="shared" si="2"/>
        <v>NAME_ETC_WEIXU</v>
      </c>
      <c r="E91" s="8" t="s">
        <v>122</v>
      </c>
      <c r="F91" s="8" t="s">
        <v>1582</v>
      </c>
      <c r="G91" s="8" t="s">
        <v>1583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5" customHeight="1">
      <c r="A92" s="8" t="s">
        <v>1223</v>
      </c>
      <c r="B92" s="8" t="s">
        <v>130</v>
      </c>
      <c r="C92" s="8" t="s">
        <v>622</v>
      </c>
      <c r="D92" s="8" t="str">
        <f t="shared" si="2"/>
        <v>NAME_WEI_XUHUANG</v>
      </c>
      <c r="E92" s="8" t="s">
        <v>127</v>
      </c>
      <c r="F92" s="8" t="s">
        <v>1584</v>
      </c>
      <c r="G92" s="8" t="s">
        <v>1585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5" customHeight="1">
      <c r="A93" s="8" t="s">
        <v>1223</v>
      </c>
      <c r="B93" s="8" t="s">
        <v>135</v>
      </c>
      <c r="C93" s="8" t="s">
        <v>622</v>
      </c>
      <c r="D93" s="8" t="str">
        <f t="shared" si="2"/>
        <v>NAME_WEI_FANJIANG</v>
      </c>
      <c r="E93" s="8" t="s">
        <v>134</v>
      </c>
      <c r="F93" s="8" t="s">
        <v>1586</v>
      </c>
      <c r="G93" s="8" t="s">
        <v>1587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5" customHeight="1">
      <c r="A94" s="8" t="s">
        <v>1223</v>
      </c>
      <c r="B94" s="8" t="s">
        <v>141</v>
      </c>
      <c r="C94" s="8" t="s">
        <v>622</v>
      </c>
      <c r="D94" s="8" t="str">
        <f t="shared" si="2"/>
        <v>NAME_WEI_ZHANGDA</v>
      </c>
      <c r="E94" s="8" t="s">
        <v>138</v>
      </c>
      <c r="F94" s="8" t="s">
        <v>1588</v>
      </c>
      <c r="G94" s="8" t="s">
        <v>1589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5" customHeight="1">
      <c r="A95" s="8" t="s">
        <v>539</v>
      </c>
      <c r="B95" s="8" t="s">
        <v>97</v>
      </c>
      <c r="C95" s="8" t="s">
        <v>540</v>
      </c>
      <c r="D95" s="8" t="str">
        <f t="shared" si="2"/>
        <v>COURTESY_ETC_YUANSHAO</v>
      </c>
      <c r="E95" s="8" t="s">
        <v>1590</v>
      </c>
      <c r="F95" s="8" t="s">
        <v>1591</v>
      </c>
      <c r="G95" s="8" t="s">
        <v>1592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5" customHeight="1">
      <c r="A96" s="8" t="s">
        <v>539</v>
      </c>
      <c r="B96" s="8" t="s">
        <v>106</v>
      </c>
      <c r="C96" s="8" t="s">
        <v>540</v>
      </c>
      <c r="D96" s="8" t="str">
        <f t="shared" si="2"/>
        <v>COURTESY_ETC_YANLIANG</v>
      </c>
      <c r="E96" s="8" t="s">
        <v>1593</v>
      </c>
      <c r="F96" s="8" t="s">
        <v>1593</v>
      </c>
      <c r="G96" s="8" t="s">
        <v>1593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5" customHeight="1">
      <c r="A97" s="8" t="s">
        <v>539</v>
      </c>
      <c r="B97" s="8" t="s">
        <v>111</v>
      </c>
      <c r="C97" s="8" t="s">
        <v>540</v>
      </c>
      <c r="D97" s="8" t="str">
        <f t="shared" si="2"/>
        <v>COURTESY_ETC_WENCHOU</v>
      </c>
      <c r="E97" s="8" t="s">
        <v>1593</v>
      </c>
      <c r="F97" s="8" t="s">
        <v>1593</v>
      </c>
      <c r="G97" s="8" t="s">
        <v>1593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5" customHeight="1">
      <c r="A98" s="8" t="s">
        <v>539</v>
      </c>
      <c r="B98" s="8" t="s">
        <v>130</v>
      </c>
      <c r="C98" s="8" t="s">
        <v>622</v>
      </c>
      <c r="D98" s="8" t="str">
        <f t="shared" si="2"/>
        <v>COURTESY_WEI_XUHUANG</v>
      </c>
      <c r="E98" s="8" t="s">
        <v>608</v>
      </c>
      <c r="F98" s="8" t="s">
        <v>1594</v>
      </c>
      <c r="G98" s="8" t="s">
        <v>1595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5" customHeight="1">
      <c r="A99" s="8" t="s">
        <v>818</v>
      </c>
      <c r="B99" s="8" t="s">
        <v>97</v>
      </c>
      <c r="C99" s="8" t="s">
        <v>540</v>
      </c>
      <c r="D99" s="8" t="str">
        <f t="shared" si="2"/>
        <v>DESC_TALK_ETC_YUANSHAO</v>
      </c>
      <c r="E99" s="8" t="s">
        <v>1596</v>
      </c>
      <c r="F99" s="8" t="s">
        <v>1597</v>
      </c>
      <c r="G99" s="8" t="s">
        <v>1598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5" customHeight="1">
      <c r="A100" s="8" t="s">
        <v>818</v>
      </c>
      <c r="B100" s="8" t="s">
        <v>106</v>
      </c>
      <c r="C100" s="8" t="s">
        <v>540</v>
      </c>
      <c r="D100" s="8" t="str">
        <f t="shared" si="2"/>
        <v>DESC_TALK_ETC_YANLIANG</v>
      </c>
      <c r="E100" s="8" t="s">
        <v>1599</v>
      </c>
      <c r="F100" s="8" t="s">
        <v>1600</v>
      </c>
      <c r="G100" s="8" t="s">
        <v>1601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3.5" customHeight="1">
      <c r="A101" s="8" t="s">
        <v>818</v>
      </c>
      <c r="B101" s="8" t="s">
        <v>111</v>
      </c>
      <c r="C101" s="8" t="s">
        <v>540</v>
      </c>
      <c r="D101" s="8" t="str">
        <f t="shared" si="2"/>
        <v>DESC_TALK_ETC_WENCHOU</v>
      </c>
      <c r="E101" s="8" t="s">
        <v>1602</v>
      </c>
      <c r="F101" s="8" t="s">
        <v>1603</v>
      </c>
      <c r="G101" s="8" t="s">
        <v>1604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3.5" customHeight="1">
      <c r="A102" s="8" t="s">
        <v>818</v>
      </c>
      <c r="B102" s="8" t="s">
        <v>130</v>
      </c>
      <c r="C102" s="8" t="s">
        <v>622</v>
      </c>
      <c r="D102" s="8" t="str">
        <f t="shared" si="2"/>
        <v>DESC_TALK_WEI_XUHUANG</v>
      </c>
      <c r="E102" s="8" t="s">
        <v>1605</v>
      </c>
      <c r="F102" s="8" t="s">
        <v>1606</v>
      </c>
      <c r="G102" s="8" t="s">
        <v>1607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3.5" customHeight="1">
      <c r="A103" s="8" t="s">
        <v>1608</v>
      </c>
      <c r="B103" s="8" t="s">
        <v>5</v>
      </c>
      <c r="C103" s="8" t="s">
        <v>1115</v>
      </c>
      <c r="D103" s="8" t="str">
        <f t="shared" ref="D103:D104" si="3">A103&amp;"_"&amp;UPPER(B103)&amp;"_"&amp;UPPER(C103)</f>
        <v>SKILL_LIUBEI_TITLE</v>
      </c>
      <c r="E103" s="8" t="s">
        <v>1609</v>
      </c>
      <c r="F103" s="8" t="s">
        <v>1610</v>
      </c>
      <c r="G103" s="8" t="s">
        <v>1611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3.5" customHeight="1">
      <c r="A104" s="8" t="s">
        <v>1608</v>
      </c>
      <c r="B104" s="8" t="s">
        <v>5</v>
      </c>
      <c r="C104" s="8" t="s">
        <v>1612</v>
      </c>
      <c r="D104" s="8" t="str">
        <f t="shared" si="3"/>
        <v>SKILL_LIUBEI_DESC</v>
      </c>
      <c r="E104" s="8" t="s">
        <v>1613</v>
      </c>
      <c r="F104" s="8" t="s">
        <v>1614</v>
      </c>
      <c r="G104" s="8" t="s">
        <v>1615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3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3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3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3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3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3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3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3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3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3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3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3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3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3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3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3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3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3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3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3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3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3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3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3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3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3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3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3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3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3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3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3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3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3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3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3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3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3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3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3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3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3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3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3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3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3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3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3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3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3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3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3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3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3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3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3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3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3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3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3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3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3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3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3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3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3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3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3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3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3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3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3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3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3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3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3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3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3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3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3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3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3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3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3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3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3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3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3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3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3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3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3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3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3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3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3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3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3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3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3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3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3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3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3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3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3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3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3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3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3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3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3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3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3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3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3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3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3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3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3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3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3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3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3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3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3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3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3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3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3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3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3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3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3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3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3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3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3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3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3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3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3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3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3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3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3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3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3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3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3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3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3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3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3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3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3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3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3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3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3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3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3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3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3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3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3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3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3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3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3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3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3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3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3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3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3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3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3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3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3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3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3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3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3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3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3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3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3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3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3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3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3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3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3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3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3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3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3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3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3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3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3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3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3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3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3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3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3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3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3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3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3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3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3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3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3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3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3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3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3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3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3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3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3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3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3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3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3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3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3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3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3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3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3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3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3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3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3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3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3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3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3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3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3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3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3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3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3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3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3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3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3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3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3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3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3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3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3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3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3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3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3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3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3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3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3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3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3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3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3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3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3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3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3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3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3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3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3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3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3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3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3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3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3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3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3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3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3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3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3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3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3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3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3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3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3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3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3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3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3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3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3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3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3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3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3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3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3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3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3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3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3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3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3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3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3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3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3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3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3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3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3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3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3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3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3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3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3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3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3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3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3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3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3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3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3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3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3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3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3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3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3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3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3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3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3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3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3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3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3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3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3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3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3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3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3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3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3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3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3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3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3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3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3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3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3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3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3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3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3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3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3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3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3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3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3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3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3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3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3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3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3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3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3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3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3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3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3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3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3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3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3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3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3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3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3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3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3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3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3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3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3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3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3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3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3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3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3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3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3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3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3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3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3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3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3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3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3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3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3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3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3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3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3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3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3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3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3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3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3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3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3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3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3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3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3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3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3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3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3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3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3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3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3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3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3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3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3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3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3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3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3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3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3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3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3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3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3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3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3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3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3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3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3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3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3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3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3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3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3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3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3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3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3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3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3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3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3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3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3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3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3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3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3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3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3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3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3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3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3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3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3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3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3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3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3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3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3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3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3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3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3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3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3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3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3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3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3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3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3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3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3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3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3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3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3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3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3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3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3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3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3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3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3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3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3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3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3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3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3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3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3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3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3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3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3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3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3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3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3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3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3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3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3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3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3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3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3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3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3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3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3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3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3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3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3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3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3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3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3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3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3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3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3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3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3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3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3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3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3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3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3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3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3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3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3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3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3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3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3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3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3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3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3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3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3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3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3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3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3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3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3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3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3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3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3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3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3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3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3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3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3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3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3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3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3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3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3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3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3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3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3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3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3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3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3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3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3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3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3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3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3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3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3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3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3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3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3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3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3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3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3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3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3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3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3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3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3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3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3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3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3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3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3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3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3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3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3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3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3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3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3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3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3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37.85546875" customWidth="1"/>
    <col min="2" max="2" width="47.5703125" customWidth="1"/>
    <col min="3" max="3" width="13.28515625" customWidth="1"/>
    <col min="4" max="4" width="38.42578125" customWidth="1"/>
    <col min="5" max="5" width="12.5703125" customWidth="1"/>
    <col min="6" max="26" width="9" customWidth="1"/>
  </cols>
  <sheetData>
    <row r="1" spans="1:26" ht="16.5" customHeight="1">
      <c r="A1" s="4" t="s">
        <v>1616</v>
      </c>
      <c r="B1" s="4" t="s">
        <v>3</v>
      </c>
      <c r="C1" s="4" t="s">
        <v>4</v>
      </c>
      <c r="D1" s="4" t="s">
        <v>6</v>
      </c>
      <c r="E1" s="3" t="s">
        <v>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customHeight="1">
      <c r="A2" s="4" t="s">
        <v>11</v>
      </c>
      <c r="B2" s="4" t="s">
        <v>11</v>
      </c>
      <c r="C2" s="4" t="s">
        <v>11</v>
      </c>
      <c r="D2" s="4" t="s">
        <v>11</v>
      </c>
      <c r="E2" s="3" t="s">
        <v>11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>
      <c r="A3" s="19" t="s">
        <v>1617</v>
      </c>
      <c r="B3" s="11" t="str">
        <f t="shared" ref="B3:B47" si="0">"NAME_" &amp; UPPER(A3)</f>
        <v>NAME_LIUTAO</v>
      </c>
      <c r="C3" s="10" t="s">
        <v>1618</v>
      </c>
      <c r="D3" s="11" t="s">
        <v>1619</v>
      </c>
      <c r="E3" s="8" t="s">
        <v>1620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>
      <c r="A4" s="19" t="s">
        <v>1621</v>
      </c>
      <c r="B4" s="11" t="str">
        <f t="shared" si="0"/>
        <v>NAME_SANLUE</v>
      </c>
      <c r="C4" s="10" t="s">
        <v>1622</v>
      </c>
      <c r="D4" s="11" t="s">
        <v>1623</v>
      </c>
      <c r="E4" s="8" t="s">
        <v>1624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 customHeight="1">
      <c r="A5" s="19" t="s">
        <v>1625</v>
      </c>
      <c r="B5" s="11" t="str">
        <f t="shared" si="0"/>
        <v>NAME_WEILIAOZI</v>
      </c>
      <c r="C5" s="10" t="s">
        <v>1626</v>
      </c>
      <c r="D5" s="11" t="s">
        <v>1627</v>
      </c>
      <c r="E5" s="8" t="s">
        <v>1628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 customHeight="1">
      <c r="A6" s="19" t="s">
        <v>1629</v>
      </c>
      <c r="B6" s="11" t="str">
        <f t="shared" si="0"/>
        <v>NAME_COMMANDERS_BANNER</v>
      </c>
      <c r="C6" s="10" t="s">
        <v>1630</v>
      </c>
      <c r="D6" s="11" t="s">
        <v>1631</v>
      </c>
      <c r="E6" s="8" t="s">
        <v>1632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>
      <c r="A7" s="19" t="s">
        <v>1633</v>
      </c>
      <c r="B7" s="11" t="str">
        <f t="shared" si="0"/>
        <v>NAME_TIGER_TALLY</v>
      </c>
      <c r="C7" s="10" t="s">
        <v>1634</v>
      </c>
      <c r="D7" s="11" t="s">
        <v>1635</v>
      </c>
      <c r="E7" s="8" t="s">
        <v>1636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 customHeight="1">
      <c r="A8" s="19" t="s">
        <v>1637</v>
      </c>
      <c r="B8" s="11" t="str">
        <f t="shared" si="0"/>
        <v>NAME_WAR_DRUM_GONG</v>
      </c>
      <c r="C8" s="10" t="s">
        <v>1638</v>
      </c>
      <c r="D8" s="11" t="s">
        <v>1639</v>
      </c>
      <c r="E8" s="8" t="s">
        <v>1640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 customHeight="1">
      <c r="A9" s="19" t="s">
        <v>1641</v>
      </c>
      <c r="B9" s="11" t="str">
        <f t="shared" si="0"/>
        <v>NAME_SIMA_FA</v>
      </c>
      <c r="C9" s="10" t="s">
        <v>1642</v>
      </c>
      <c r="D9" s="11" t="s">
        <v>1643</v>
      </c>
      <c r="E9" s="8" t="s">
        <v>1644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 customHeight="1">
      <c r="A10" s="19" t="s">
        <v>1645</v>
      </c>
      <c r="B10" s="11" t="str">
        <f t="shared" si="0"/>
        <v>NAME_WUZI</v>
      </c>
      <c r="C10" s="10" t="s">
        <v>1646</v>
      </c>
      <c r="D10" s="11" t="s">
        <v>1647</v>
      </c>
      <c r="E10" s="8" t="s">
        <v>1648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 customHeight="1">
      <c r="A11" s="19" t="s">
        <v>1649</v>
      </c>
      <c r="B11" s="11" t="str">
        <f t="shared" si="0"/>
        <v>NAME_RED_CLIFF_FLAME</v>
      </c>
      <c r="C11" s="10" t="s">
        <v>1650</v>
      </c>
      <c r="D11" s="11" t="s">
        <v>1651</v>
      </c>
      <c r="E11" s="8" t="s">
        <v>1652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 customHeight="1">
      <c r="A12" s="19" t="s">
        <v>1653</v>
      </c>
      <c r="B12" s="11" t="str">
        <f t="shared" si="0"/>
        <v>NAME_BANGCHEONHWAGUG_SHARD</v>
      </c>
      <c r="C12" s="10" t="s">
        <v>1654</v>
      </c>
      <c r="D12" s="11" t="s">
        <v>1655</v>
      </c>
      <c r="E12" s="8" t="s">
        <v>1656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 customHeight="1">
      <c r="A13" s="19" t="s">
        <v>1657</v>
      </c>
      <c r="B13" s="11" t="str">
        <f t="shared" si="0"/>
        <v>NAME_GANJIANG_MOYE</v>
      </c>
      <c r="C13" s="10" t="s">
        <v>1658</v>
      </c>
      <c r="D13" s="11" t="s">
        <v>1659</v>
      </c>
      <c r="E13" s="8" t="s">
        <v>1660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6.5" customHeight="1">
      <c r="A14" s="19" t="s">
        <v>1661</v>
      </c>
      <c r="B14" s="11" t="str">
        <f t="shared" si="0"/>
        <v>NAME_CHUNGOU</v>
      </c>
      <c r="C14" s="10" t="s">
        <v>1662</v>
      </c>
      <c r="D14" s="11" t="s">
        <v>1663</v>
      </c>
      <c r="E14" s="8" t="s">
        <v>1664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 customHeight="1">
      <c r="A15" s="19" t="s">
        <v>1665</v>
      </c>
      <c r="B15" s="11" t="str">
        <f t="shared" si="0"/>
        <v>NAME_ZHANLU</v>
      </c>
      <c r="C15" s="10" t="s">
        <v>1666</v>
      </c>
      <c r="D15" s="11" t="s">
        <v>1667</v>
      </c>
      <c r="E15" s="8" t="s">
        <v>1668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 customHeight="1">
      <c r="A16" s="19" t="s">
        <v>1669</v>
      </c>
      <c r="B16" s="11" t="str">
        <f t="shared" si="0"/>
        <v>NAME_YUCHANG</v>
      </c>
      <c r="C16" s="10" t="s">
        <v>1670</v>
      </c>
      <c r="D16" s="11" t="s">
        <v>1671</v>
      </c>
      <c r="E16" s="8" t="s">
        <v>1672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 customHeight="1">
      <c r="A17" s="19" t="s">
        <v>1673</v>
      </c>
      <c r="B17" s="11" t="str">
        <f t="shared" si="0"/>
        <v>NAME_TAIE</v>
      </c>
      <c r="C17" s="10" t="s">
        <v>1674</v>
      </c>
      <c r="D17" s="11" t="s">
        <v>1675</v>
      </c>
      <c r="E17" s="8" t="s">
        <v>1676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 customHeight="1">
      <c r="A18" s="19" t="s">
        <v>1677</v>
      </c>
      <c r="B18" s="11" t="str">
        <f t="shared" si="0"/>
        <v>NAME_JUQUE</v>
      </c>
      <c r="C18" s="10" t="s">
        <v>1678</v>
      </c>
      <c r="D18" s="11" t="s">
        <v>1679</v>
      </c>
      <c r="E18" s="8" t="s">
        <v>1680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 customHeight="1">
      <c r="A19" s="19" t="s">
        <v>1681</v>
      </c>
      <c r="B19" s="11" t="str">
        <f t="shared" si="0"/>
        <v>NAME_SHENGXIE</v>
      </c>
      <c r="C19" s="10" t="s">
        <v>1682</v>
      </c>
      <c r="D19" s="11" t="s">
        <v>1683</v>
      </c>
      <c r="E19" s="8" t="s">
        <v>1684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 customHeight="1">
      <c r="A20" s="19" t="s">
        <v>1685</v>
      </c>
      <c r="B20" s="11" t="str">
        <f t="shared" si="0"/>
        <v>NAME_LORDS_WAR_BOW</v>
      </c>
      <c r="C20" s="10" t="s">
        <v>1686</v>
      </c>
      <c r="D20" s="11" t="s">
        <v>1687</v>
      </c>
      <c r="E20" s="8" t="s">
        <v>1688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6.5" customHeight="1">
      <c r="A21" s="19" t="s">
        <v>1689</v>
      </c>
      <c r="B21" s="11" t="str">
        <f t="shared" si="0"/>
        <v>NAME_WUJANGWON_STAR</v>
      </c>
      <c r="C21" s="10" t="s">
        <v>1690</v>
      </c>
      <c r="D21" s="11" t="s">
        <v>1691</v>
      </c>
      <c r="E21" s="8" t="s">
        <v>1692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6.5" customHeight="1">
      <c r="A22" s="19" t="s">
        <v>1693</v>
      </c>
      <c r="B22" s="11" t="str">
        <f t="shared" si="0"/>
        <v>NAME_ART_OF_WAR</v>
      </c>
      <c r="C22" s="10" t="s">
        <v>1694</v>
      </c>
      <c r="D22" s="11" t="s">
        <v>1695</v>
      </c>
      <c r="E22" s="8" t="s">
        <v>1696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6.5" customHeight="1">
      <c r="A23" s="19" t="s">
        <v>1698</v>
      </c>
      <c r="B23" s="11" t="str">
        <f t="shared" si="0"/>
        <v>NAME_QIMEN_DUNJIA</v>
      </c>
      <c r="C23" s="10" t="s">
        <v>1700</v>
      </c>
      <c r="D23" s="11" t="s">
        <v>1701</v>
      </c>
      <c r="E23" s="8" t="s">
        <v>1703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6.5" customHeight="1">
      <c r="A24" s="19" t="s">
        <v>1705</v>
      </c>
      <c r="B24" s="11" t="str">
        <f t="shared" si="0"/>
        <v>NAME_I_CHING</v>
      </c>
      <c r="C24" s="10" t="s">
        <v>1706</v>
      </c>
      <c r="D24" s="11" t="s">
        <v>1707</v>
      </c>
      <c r="E24" s="8" t="s">
        <v>1708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6.5" customHeight="1">
      <c r="A25" s="19" t="s">
        <v>1710</v>
      </c>
      <c r="B25" s="11" t="str">
        <f t="shared" si="0"/>
        <v>NAME_GUIGUZI</v>
      </c>
      <c r="C25" s="10" t="s">
        <v>1711</v>
      </c>
      <c r="D25" s="11" t="s">
        <v>1712</v>
      </c>
      <c r="E25" s="8" t="s">
        <v>1713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6.5" customHeight="1">
      <c r="A26" s="19" t="s">
        <v>1715</v>
      </c>
      <c r="B26" s="11" t="str">
        <f t="shared" si="0"/>
        <v>NAME_GUANZI</v>
      </c>
      <c r="C26" s="10" t="s">
        <v>1716</v>
      </c>
      <c r="D26" s="11" t="s">
        <v>1717</v>
      </c>
      <c r="E26" s="8" t="s">
        <v>1718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6.5" customHeight="1">
      <c r="A27" s="19" t="s">
        <v>1720</v>
      </c>
      <c r="B27" s="11" t="str">
        <f t="shared" si="0"/>
        <v>NAME_HAN_FEIZI</v>
      </c>
      <c r="C27" s="10" t="s">
        <v>1721</v>
      </c>
      <c r="D27" s="11" t="s">
        <v>1722</v>
      </c>
      <c r="E27" s="8" t="s">
        <v>1723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6.5" customHeight="1">
      <c r="A28" s="19" t="s">
        <v>1725</v>
      </c>
      <c r="B28" s="11" t="str">
        <f t="shared" si="0"/>
        <v>NAME_SU_SHU_OF_HUANGSHI</v>
      </c>
      <c r="C28" s="10" t="s">
        <v>1726</v>
      </c>
      <c r="D28" s="11" t="s">
        <v>1727</v>
      </c>
      <c r="E28" s="8" t="s">
        <v>1728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6.5" customHeight="1">
      <c r="A29" s="19" t="s">
        <v>1729</v>
      </c>
      <c r="B29" s="11" t="str">
        <f t="shared" si="0"/>
        <v>NAME_MOZI</v>
      </c>
      <c r="C29" s="10" t="s">
        <v>1731</v>
      </c>
      <c r="D29" s="11" t="s">
        <v>1732</v>
      </c>
      <c r="E29" s="8" t="s">
        <v>1733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6.5" customHeight="1">
      <c r="A30" s="19" t="s">
        <v>1735</v>
      </c>
      <c r="B30" s="11" t="str">
        <f t="shared" si="0"/>
        <v>NAME_EMPERORS_SEAL</v>
      </c>
      <c r="C30" s="10" t="s">
        <v>1736</v>
      </c>
      <c r="D30" s="11" t="s">
        <v>1737</v>
      </c>
      <c r="E30" s="8" t="s">
        <v>1738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6.5" customHeight="1">
      <c r="A31" s="19" t="s">
        <v>1739</v>
      </c>
      <c r="B31" s="11" t="str">
        <f t="shared" si="0"/>
        <v>NAME_BOOK_OF_LORD_SHANG</v>
      </c>
      <c r="C31" s="10" t="s">
        <v>1740</v>
      </c>
      <c r="D31" s="11" t="s">
        <v>1742</v>
      </c>
      <c r="E31" s="8" t="s">
        <v>1744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6.5" customHeight="1">
      <c r="A32" s="19" t="s">
        <v>1747</v>
      </c>
      <c r="B32" s="11" t="str">
        <f t="shared" si="0"/>
        <v>NAME_LUSHI_CHUNQIU</v>
      </c>
      <c r="C32" s="10" t="s">
        <v>1749</v>
      </c>
      <c r="D32" s="11" t="s">
        <v>1751</v>
      </c>
      <c r="E32" s="8" t="s">
        <v>1753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6.5" customHeight="1">
      <c r="A33" s="19" t="s">
        <v>1758</v>
      </c>
      <c r="B33" s="11" t="str">
        <f t="shared" si="0"/>
        <v>NAME_ANALECTS</v>
      </c>
      <c r="C33" s="10" t="s">
        <v>1759</v>
      </c>
      <c r="D33" s="11" t="s">
        <v>1761</v>
      </c>
      <c r="E33" s="8" t="s">
        <v>1762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6.5" customHeight="1">
      <c r="A34" s="19" t="s">
        <v>1767</v>
      </c>
      <c r="B34" s="11" t="str">
        <f t="shared" si="0"/>
        <v>NAME_WEI_ADMINISTRATIVE_CODE</v>
      </c>
      <c r="C34" s="10" t="s">
        <v>1769</v>
      </c>
      <c r="D34" s="11" t="s">
        <v>1771</v>
      </c>
      <c r="E34" s="8" t="s">
        <v>1772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6.5" customHeight="1">
      <c r="A35" s="19" t="s">
        <v>1780</v>
      </c>
      <c r="B35" s="11" t="str">
        <f t="shared" si="0"/>
        <v>NAME_STRATAGEMS_OF_WARRING_STATES</v>
      </c>
      <c r="C35" s="10" t="s">
        <v>1781</v>
      </c>
      <c r="D35" s="11" t="s">
        <v>1783</v>
      </c>
      <c r="E35" s="8" t="s">
        <v>1785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6.5" customHeight="1">
      <c r="A36" s="19" t="s">
        <v>1790</v>
      </c>
      <c r="B36" s="11" t="str">
        <f t="shared" si="0"/>
        <v>NAME_IMPERIAL_JADE_SEAL</v>
      </c>
      <c r="C36" s="10" t="s">
        <v>1793</v>
      </c>
      <c r="D36" s="11" t="s">
        <v>1795</v>
      </c>
      <c r="E36" s="8" t="s">
        <v>1796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6.5" customHeight="1">
      <c r="A37" s="19" t="s">
        <v>1801</v>
      </c>
      <c r="B37" s="11" t="str">
        <f t="shared" si="0"/>
        <v>NAME_PREFECTS_OFFICIAL_SEAL</v>
      </c>
      <c r="C37" s="10" t="s">
        <v>1803</v>
      </c>
      <c r="D37" s="11" t="s">
        <v>1804</v>
      </c>
      <c r="E37" s="8" t="s">
        <v>1805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6.5" customHeight="1">
      <c r="A38" s="19" t="s">
        <v>1811</v>
      </c>
      <c r="B38" s="11" t="str">
        <f t="shared" si="0"/>
        <v>NAME_HUANGLAO_SILK_MANUSCRIPT</v>
      </c>
      <c r="C38" s="10" t="s">
        <v>1814</v>
      </c>
      <c r="D38" s="11" t="s">
        <v>1815</v>
      </c>
      <c r="E38" s="8" t="s">
        <v>1816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6.5" customHeight="1">
      <c r="A39" s="19" t="s">
        <v>1821</v>
      </c>
      <c r="B39" s="11" t="str">
        <f t="shared" si="0"/>
        <v>NAME_DOEWON_CUP</v>
      </c>
      <c r="C39" s="10" t="s">
        <v>1823</v>
      </c>
      <c r="D39" s="11" t="s">
        <v>1825</v>
      </c>
      <c r="E39" s="8" t="s">
        <v>1827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6.5" customHeight="1">
      <c r="A40" s="19" t="s">
        <v>1835</v>
      </c>
      <c r="B40" s="11" t="str">
        <f t="shared" si="0"/>
        <v>NAME_HES_JADE_DISC</v>
      </c>
      <c r="C40" s="10" t="s">
        <v>1838</v>
      </c>
      <c r="D40" s="11" t="s">
        <v>1839</v>
      </c>
      <c r="E40" s="8" t="s">
        <v>1840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6.5" customHeight="1">
      <c r="A41" s="19" t="s">
        <v>1846</v>
      </c>
      <c r="B41" s="11" t="str">
        <f t="shared" si="0"/>
        <v>NAME_CLASSIC_OF_MOUNTAINS_AND_SEAS</v>
      </c>
      <c r="C41" s="10" t="s">
        <v>1849</v>
      </c>
      <c r="D41" s="11" t="s">
        <v>1850</v>
      </c>
      <c r="E41" s="8" t="s">
        <v>1851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6.5" customHeight="1">
      <c r="A42" s="19" t="s">
        <v>1857</v>
      </c>
      <c r="B42" s="11" t="str">
        <f t="shared" si="0"/>
        <v>NAME_XUANHE_QIN</v>
      </c>
      <c r="C42" s="10" t="s">
        <v>1859</v>
      </c>
      <c r="D42" s="11" t="s">
        <v>1861</v>
      </c>
      <c r="E42" s="8" t="s">
        <v>1863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6.5" customHeight="1">
      <c r="A43" s="19" t="s">
        <v>1868</v>
      </c>
      <c r="B43" s="11" t="str">
        <f t="shared" si="0"/>
        <v>NAME_PHOENIX_JADE_PENDANT</v>
      </c>
      <c r="C43" s="10" t="s">
        <v>1870</v>
      </c>
      <c r="D43" s="11" t="s">
        <v>1871</v>
      </c>
      <c r="E43" s="8" t="s">
        <v>1872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6.5" customHeight="1">
      <c r="A44" s="19" t="s">
        <v>1882</v>
      </c>
      <c r="B44" s="11" t="str">
        <f t="shared" si="0"/>
        <v>NAME_BOOK_OF_RITES</v>
      </c>
      <c r="C44" s="10" t="s">
        <v>1884</v>
      </c>
      <c r="D44" s="11" t="s">
        <v>1885</v>
      </c>
      <c r="E44" s="8" t="s">
        <v>1887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6.5" customHeight="1">
      <c r="A45" s="19" t="s">
        <v>1893</v>
      </c>
      <c r="B45" s="11" t="str">
        <f t="shared" si="0"/>
        <v>NAME_ALLIANCE_LETTER</v>
      </c>
      <c r="C45" s="10" t="s">
        <v>1898</v>
      </c>
      <c r="D45" s="11" t="s">
        <v>1900</v>
      </c>
      <c r="E45" s="8" t="s">
        <v>1902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6.5" customHeight="1">
      <c r="A46" s="19" t="s">
        <v>1907</v>
      </c>
      <c r="B46" s="11" t="str">
        <f t="shared" si="0"/>
        <v>NAME_HETU_LUOSHU</v>
      </c>
      <c r="C46" s="10" t="s">
        <v>1909</v>
      </c>
      <c r="D46" s="11" t="s">
        <v>1910</v>
      </c>
      <c r="E46" s="8" t="s">
        <v>1911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6.5" customHeight="1">
      <c r="A47" s="19" t="s">
        <v>1918</v>
      </c>
      <c r="B47" s="11" t="str">
        <f t="shared" si="0"/>
        <v>NAME_MAP_OF_QUEEN_MOTHER_OF_THE_WEST</v>
      </c>
      <c r="C47" s="10" t="s">
        <v>1920</v>
      </c>
      <c r="D47" s="11" t="s">
        <v>1921</v>
      </c>
      <c r="E47" s="8" t="s">
        <v>1923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6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6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6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6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6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6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6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6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6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6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6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6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6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6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6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6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6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6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6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6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6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6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6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6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6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6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6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6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6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6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6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6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6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6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6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6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6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6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6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6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6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6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6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6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6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6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6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6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6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6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6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6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topLeftCell="A38" workbookViewId="0">
      <selection activeCell="G56" sqref="G56"/>
    </sheetView>
  </sheetViews>
  <sheetFormatPr defaultColWidth="14.42578125" defaultRowHeight="15" customHeight="1"/>
  <cols>
    <col min="1" max="1" width="10.42578125" customWidth="1"/>
    <col min="2" max="2" width="5.42578125" customWidth="1"/>
    <col min="3" max="3" width="15.7109375" customWidth="1"/>
    <col min="4" max="4" width="6.85546875" customWidth="1"/>
    <col min="5" max="5" width="11.140625" customWidth="1"/>
    <col min="6" max="6" width="7.85546875" customWidth="1"/>
    <col min="7" max="7" width="40.140625" customWidth="1"/>
    <col min="8" max="8" width="58.140625" customWidth="1"/>
    <col min="9" max="9" width="50.5703125" customWidth="1"/>
    <col min="10" max="26" width="8.7109375" customWidth="1"/>
  </cols>
  <sheetData>
    <row r="1" spans="1:26">
      <c r="A1" s="4" t="s">
        <v>452</v>
      </c>
      <c r="B1" s="4" t="s">
        <v>1697</v>
      </c>
      <c r="C1" s="4" t="s">
        <v>3</v>
      </c>
      <c r="D1" s="4" t="s">
        <v>1699</v>
      </c>
      <c r="E1" s="4" t="s">
        <v>1702</v>
      </c>
      <c r="F1" s="4" t="s">
        <v>1704</v>
      </c>
      <c r="G1" s="7" t="s">
        <v>4</v>
      </c>
      <c r="H1" s="7" t="s">
        <v>6</v>
      </c>
      <c r="I1" s="3" t="s">
        <v>9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4" t="s">
        <v>11</v>
      </c>
      <c r="B2" s="4" t="s">
        <v>1719</v>
      </c>
      <c r="C2" s="4" t="s">
        <v>11</v>
      </c>
      <c r="D2" s="4" t="s">
        <v>11</v>
      </c>
      <c r="E2" s="4" t="s">
        <v>11</v>
      </c>
      <c r="F2" s="4" t="s">
        <v>11</v>
      </c>
      <c r="G2" s="7" t="s">
        <v>11</v>
      </c>
      <c r="H2" s="7" t="s">
        <v>11</v>
      </c>
      <c r="I2" s="3" t="s">
        <v>11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>
      <c r="A3" s="18" t="s">
        <v>1724</v>
      </c>
      <c r="B3" s="18">
        <v>0</v>
      </c>
      <c r="C3" s="18" t="str">
        <f t="shared" ref="C3:C52" si="0">CONCATENATE(A3, "_", B3, IF(D3&lt;&gt;"", "_"&amp;D3, ""))</f>
        <v>NODE_2_0</v>
      </c>
      <c r="D3" s="18"/>
      <c r="E3" s="18" t="str">
        <f>VLOOKUP(F3,Overview!$A$1:$B$28,2,FALSE)</f>
        <v>CaoRen</v>
      </c>
      <c r="F3" s="18" t="s">
        <v>22</v>
      </c>
      <c r="G3" s="21" t="s">
        <v>1773</v>
      </c>
      <c r="H3" s="21" t="s">
        <v>1778</v>
      </c>
      <c r="I3" s="8" t="s">
        <v>1784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>
      <c r="A4" s="18" t="str">
        <f t="shared" ref="A4:A26" si="1">A3</f>
        <v>NODE_2</v>
      </c>
      <c r="B4" s="18">
        <f t="shared" ref="B4:B26" si="2">B3+1</f>
        <v>1</v>
      </c>
      <c r="C4" s="18" t="str">
        <f t="shared" si="0"/>
        <v>NODE_2_1</v>
      </c>
      <c r="D4" s="18"/>
      <c r="E4" s="18" t="str">
        <f>VLOOKUP(F4,Overview!$A$1:$B$28,2,FALSE)</f>
        <v>CaoRen</v>
      </c>
      <c r="F4" s="18" t="s">
        <v>22</v>
      </c>
      <c r="G4" s="21" t="s">
        <v>1831</v>
      </c>
      <c r="H4" s="21" t="s">
        <v>1833</v>
      </c>
      <c r="I4" s="8" t="s">
        <v>1836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18" t="str">
        <f t="shared" si="1"/>
        <v>NODE_2</v>
      </c>
      <c r="B5" s="18">
        <f t="shared" si="2"/>
        <v>2</v>
      </c>
      <c r="C5" s="18" t="str">
        <f t="shared" si="0"/>
        <v>NODE_2_2</v>
      </c>
      <c r="D5" s="18"/>
      <c r="E5" s="18"/>
      <c r="F5" s="18"/>
      <c r="G5" s="21"/>
      <c r="H5" s="21"/>
      <c r="I5" s="8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18" t="str">
        <f t="shared" si="1"/>
        <v>NODE_2</v>
      </c>
      <c r="B6" s="18">
        <f t="shared" si="2"/>
        <v>3</v>
      </c>
      <c r="C6" s="18" t="str">
        <f t="shared" si="0"/>
        <v>NODE_2_3</v>
      </c>
      <c r="D6" s="18"/>
      <c r="E6" s="18" t="str">
        <f>VLOOKUP(F6,Overview!$A$1:$B$28,2,FALSE)</f>
        <v>CaoRen</v>
      </c>
      <c r="F6" s="18" t="s">
        <v>22</v>
      </c>
      <c r="G6" s="21" t="s">
        <v>1876</v>
      </c>
      <c r="H6" s="21" t="s">
        <v>1878</v>
      </c>
      <c r="I6" s="8" t="s">
        <v>1879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>
      <c r="A7" s="18" t="str">
        <f t="shared" si="1"/>
        <v>NODE_2</v>
      </c>
      <c r="B7" s="18">
        <f t="shared" si="2"/>
        <v>4</v>
      </c>
      <c r="C7" s="18" t="str">
        <f t="shared" si="0"/>
        <v>NODE_2_4</v>
      </c>
      <c r="D7" s="18"/>
      <c r="E7" s="18" t="s">
        <v>1891</v>
      </c>
      <c r="F7" s="18"/>
      <c r="G7" s="21" t="s">
        <v>1894</v>
      </c>
      <c r="H7" s="21" t="s">
        <v>1895</v>
      </c>
      <c r="I7" s="8" t="s">
        <v>1897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>
      <c r="A8" s="18" t="str">
        <f t="shared" si="1"/>
        <v>NODE_2</v>
      </c>
      <c r="B8" s="18">
        <f t="shared" si="2"/>
        <v>5</v>
      </c>
      <c r="C8" s="18" t="str">
        <f t="shared" si="0"/>
        <v>NODE_2_5</v>
      </c>
      <c r="D8" s="18"/>
      <c r="E8" s="18" t="str">
        <f>VLOOKUP(F8,Overview!$A$1:$B$28,2,FALSE)</f>
        <v>CaoRen</v>
      </c>
      <c r="F8" s="18" t="s">
        <v>22</v>
      </c>
      <c r="G8" s="21" t="s">
        <v>1924</v>
      </c>
      <c r="H8" s="21" t="s">
        <v>1926</v>
      </c>
      <c r="I8" s="8" t="s">
        <v>1928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18" t="str">
        <f t="shared" si="1"/>
        <v>NODE_2</v>
      </c>
      <c r="B9" s="18">
        <f t="shared" si="2"/>
        <v>6</v>
      </c>
      <c r="C9" s="18" t="str">
        <f t="shared" si="0"/>
        <v>NODE_2_6</v>
      </c>
      <c r="D9" s="18"/>
      <c r="E9" s="18" t="str">
        <f>VLOOKUP(F9,Overview!$A$1:$B$28,2,FALSE)</f>
        <v>CaoRen</v>
      </c>
      <c r="F9" s="18" t="s">
        <v>22</v>
      </c>
      <c r="G9" s="21" t="s">
        <v>1940</v>
      </c>
      <c r="H9" s="21" t="s">
        <v>1942</v>
      </c>
      <c r="I9" s="8" t="s">
        <v>1944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>
      <c r="A10" s="18" t="str">
        <f t="shared" si="1"/>
        <v>NODE_2</v>
      </c>
      <c r="B10" s="18">
        <f t="shared" si="2"/>
        <v>7</v>
      </c>
      <c r="C10" s="18" t="str">
        <f t="shared" si="0"/>
        <v>NODE_2_7</v>
      </c>
      <c r="D10" s="18"/>
      <c r="E10" s="18"/>
      <c r="F10" s="18"/>
      <c r="G10" s="21"/>
      <c r="H10" s="21"/>
      <c r="I10" s="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18" t="str">
        <f t="shared" si="1"/>
        <v>NODE_2</v>
      </c>
      <c r="B11" s="18">
        <f t="shared" si="2"/>
        <v>8</v>
      </c>
      <c r="C11" s="18" t="str">
        <f t="shared" si="0"/>
        <v>NODE_2_8</v>
      </c>
      <c r="D11" s="18"/>
      <c r="E11" s="18" t="str">
        <f>VLOOKUP(F11,Overview!$A$1:$B$28,2,FALSE)</f>
        <v>CaoCao</v>
      </c>
      <c r="F11" s="18" t="s">
        <v>20</v>
      </c>
      <c r="G11" s="21" t="s">
        <v>1962</v>
      </c>
      <c r="H11" s="21" t="s">
        <v>1963</v>
      </c>
      <c r="I11" s="8" t="s">
        <v>1964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18" t="str">
        <f t="shared" si="1"/>
        <v>NODE_2</v>
      </c>
      <c r="B12" s="18">
        <f t="shared" si="2"/>
        <v>9</v>
      </c>
      <c r="C12" s="18" t="str">
        <f t="shared" si="0"/>
        <v>NODE_2_9</v>
      </c>
      <c r="D12" s="18"/>
      <c r="E12" s="18" t="str">
        <f>VLOOKUP(F12,Overview!$A$1:$B$28,2,FALSE)</f>
        <v>XiahouDun</v>
      </c>
      <c r="F12" s="18" t="s">
        <v>24</v>
      </c>
      <c r="G12" s="21" t="s">
        <v>1978</v>
      </c>
      <c r="H12" s="21" t="s">
        <v>1979</v>
      </c>
      <c r="I12" s="8" t="s">
        <v>1980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>
      <c r="A13" s="18" t="str">
        <f t="shared" si="1"/>
        <v>NODE_2</v>
      </c>
      <c r="B13" s="18">
        <f t="shared" si="2"/>
        <v>10</v>
      </c>
      <c r="C13" s="18" t="str">
        <f t="shared" si="0"/>
        <v>NODE_2_10</v>
      </c>
      <c r="D13" s="18"/>
      <c r="E13" s="18" t="str">
        <f>VLOOKUP(F13,Overview!$A$1:$B$28,2,FALSE)</f>
        <v>XiahouYuan</v>
      </c>
      <c r="F13" s="18" t="s">
        <v>28</v>
      </c>
      <c r="G13" s="21" t="s">
        <v>1988</v>
      </c>
      <c r="H13" s="21" t="s">
        <v>1990</v>
      </c>
      <c r="I13" s="8" t="s">
        <v>1992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18" t="str">
        <f t="shared" si="1"/>
        <v>NODE_2</v>
      </c>
      <c r="B14" s="18">
        <f t="shared" si="2"/>
        <v>11</v>
      </c>
      <c r="C14" s="18" t="str">
        <f t="shared" si="0"/>
        <v>NODE_2_11</v>
      </c>
      <c r="D14" s="18"/>
      <c r="E14" s="18" t="str">
        <f>VLOOKUP(F14,Overview!$A$1:$B$28,2,FALSE)</f>
        <v>XiahouDun</v>
      </c>
      <c r="F14" s="18" t="s">
        <v>24</v>
      </c>
      <c r="G14" s="21" t="s">
        <v>2002</v>
      </c>
      <c r="H14" s="21" t="s">
        <v>2003</v>
      </c>
      <c r="I14" s="8" t="s">
        <v>2005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18" t="str">
        <f t="shared" si="1"/>
        <v>NODE_2</v>
      </c>
      <c r="B15" s="18">
        <f t="shared" si="2"/>
        <v>12</v>
      </c>
      <c r="C15" s="18" t="str">
        <f t="shared" si="0"/>
        <v>NODE_2_12</v>
      </c>
      <c r="D15" s="18"/>
      <c r="E15" s="18" t="str">
        <f>VLOOKUP(F15,Overview!$A$1:$B$28,2,FALSE)</f>
        <v>CaoCao</v>
      </c>
      <c r="F15" s="18" t="s">
        <v>20</v>
      </c>
      <c r="G15" s="21" t="s">
        <v>2014</v>
      </c>
      <c r="H15" s="21" t="s">
        <v>2015</v>
      </c>
      <c r="I15" s="8" t="s">
        <v>2016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18" t="str">
        <f t="shared" si="1"/>
        <v>NODE_2</v>
      </c>
      <c r="B16" s="18">
        <f t="shared" si="2"/>
        <v>13</v>
      </c>
      <c r="C16" s="18" t="str">
        <f t="shared" si="0"/>
        <v>NODE_2_13</v>
      </c>
      <c r="D16" s="18"/>
      <c r="E16" s="18" t="s">
        <v>1891</v>
      </c>
      <c r="F16" s="18"/>
      <c r="G16" s="21" t="s">
        <v>2021</v>
      </c>
      <c r="H16" s="21" t="s">
        <v>2023</v>
      </c>
      <c r="I16" s="8" t="s">
        <v>2024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18" t="str">
        <f t="shared" si="1"/>
        <v>NODE_2</v>
      </c>
      <c r="B17" s="18">
        <f t="shared" si="2"/>
        <v>14</v>
      </c>
      <c r="C17" s="18" t="str">
        <f t="shared" si="0"/>
        <v>NODE_2_14</v>
      </c>
      <c r="D17" s="18"/>
      <c r="E17" s="18" t="str">
        <f>VLOOKUP(F17,Overview!$A$1:$B$28,2,FALSE)</f>
        <v>XiahouYuan</v>
      </c>
      <c r="F17" s="18" t="s">
        <v>28</v>
      </c>
      <c r="G17" s="21" t="s">
        <v>2032</v>
      </c>
      <c r="H17" s="21" t="s">
        <v>2033</v>
      </c>
      <c r="I17" s="8" t="s">
        <v>2034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18" t="str">
        <f t="shared" si="1"/>
        <v>NODE_2</v>
      </c>
      <c r="B18" s="18">
        <f t="shared" si="2"/>
        <v>15</v>
      </c>
      <c r="C18" s="18" t="str">
        <f t="shared" si="0"/>
        <v>NODE_2_15</v>
      </c>
      <c r="D18" s="18"/>
      <c r="E18" s="18" t="str">
        <f>VLOOKUP(F18,Overview!$A$1:$B$28,2,FALSE)</f>
        <v>CaoCao</v>
      </c>
      <c r="F18" s="18" t="s">
        <v>20</v>
      </c>
      <c r="G18" s="21" t="s">
        <v>2044</v>
      </c>
      <c r="H18" s="21" t="s">
        <v>2045</v>
      </c>
      <c r="I18" s="8" t="s">
        <v>2046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18" t="str">
        <f t="shared" si="1"/>
        <v>NODE_2</v>
      </c>
      <c r="B19" s="18">
        <f t="shared" si="2"/>
        <v>16</v>
      </c>
      <c r="C19" s="18" t="str">
        <f t="shared" si="0"/>
        <v>NODE_2_16</v>
      </c>
      <c r="D19" s="18"/>
      <c r="E19" s="18"/>
      <c r="F19" s="18"/>
      <c r="G19" s="21"/>
      <c r="H19" s="21"/>
      <c r="I19" s="8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A20" s="18" t="str">
        <f t="shared" si="1"/>
        <v>NODE_2</v>
      </c>
      <c r="B20" s="18">
        <f t="shared" si="2"/>
        <v>17</v>
      </c>
      <c r="C20" s="18" t="str">
        <f t="shared" si="0"/>
        <v>NODE_2_17</v>
      </c>
      <c r="D20" s="18"/>
      <c r="E20" s="18" t="str">
        <f>VLOOKUP(F20,Overview!$A$1:$B$28,2,FALSE)</f>
        <v>CaoRen</v>
      </c>
      <c r="F20" s="18" t="s">
        <v>22</v>
      </c>
      <c r="G20" s="21" t="s">
        <v>2064</v>
      </c>
      <c r="H20" s="21" t="s">
        <v>2066</v>
      </c>
      <c r="I20" s="8" t="s">
        <v>2067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>
      <c r="A21" s="18" t="str">
        <f t="shared" si="1"/>
        <v>NODE_2</v>
      </c>
      <c r="B21" s="18">
        <f t="shared" si="2"/>
        <v>18</v>
      </c>
      <c r="C21" s="18" t="str">
        <f t="shared" si="0"/>
        <v>NODE_2_18</v>
      </c>
      <c r="D21" s="18"/>
      <c r="E21" s="18" t="str">
        <f>VLOOKUP(F21,Overview!$A$1:$B$28,2,FALSE)</f>
        <v>XiahouDun</v>
      </c>
      <c r="F21" s="18" t="s">
        <v>24</v>
      </c>
      <c r="G21" s="21" t="s">
        <v>2077</v>
      </c>
      <c r="H21" s="21" t="s">
        <v>2078</v>
      </c>
      <c r="I21" s="8" t="s">
        <v>2080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>
      <c r="A22" s="18" t="str">
        <f t="shared" si="1"/>
        <v>NODE_2</v>
      </c>
      <c r="B22" s="18">
        <f t="shared" si="2"/>
        <v>19</v>
      </c>
      <c r="C22" s="18" t="str">
        <f t="shared" si="0"/>
        <v>NODE_2_19</v>
      </c>
      <c r="D22" s="18"/>
      <c r="E22" s="18" t="str">
        <f>VLOOKUP(F22,Overview!$A$1:$B$28,2,FALSE)</f>
        <v>CaoCao</v>
      </c>
      <c r="F22" s="18" t="s">
        <v>20</v>
      </c>
      <c r="G22" s="21" t="s">
        <v>2092</v>
      </c>
      <c r="H22" s="21" t="s">
        <v>2093</v>
      </c>
      <c r="I22" s="8" t="s">
        <v>2094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>
      <c r="A23" s="18" t="str">
        <f t="shared" si="1"/>
        <v>NODE_2</v>
      </c>
      <c r="B23" s="18">
        <f t="shared" si="2"/>
        <v>20</v>
      </c>
      <c r="C23" s="18" t="str">
        <f t="shared" si="0"/>
        <v>NODE_2_20</v>
      </c>
      <c r="D23" s="18"/>
      <c r="E23" s="18" t="str">
        <f>VLOOKUP(F23,Overview!$A$1:$B$28,2,FALSE)</f>
        <v>CaoRen</v>
      </c>
      <c r="F23" s="18" t="s">
        <v>22</v>
      </c>
      <c r="G23" s="21" t="s">
        <v>2104</v>
      </c>
      <c r="H23" s="21" t="s">
        <v>2105</v>
      </c>
      <c r="I23" s="8" t="s">
        <v>2106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>
      <c r="A24" s="18" t="str">
        <f t="shared" si="1"/>
        <v>NODE_2</v>
      </c>
      <c r="B24" s="18">
        <f t="shared" si="2"/>
        <v>21</v>
      </c>
      <c r="C24" s="18" t="str">
        <f t="shared" si="0"/>
        <v>NODE_2_21</v>
      </c>
      <c r="D24" s="18"/>
      <c r="E24" s="18" t="str">
        <f>VLOOKUP(F24,Overview!$A$1:$B$28,2,FALSE)</f>
        <v>CaoRen</v>
      </c>
      <c r="F24" s="18" t="s">
        <v>22</v>
      </c>
      <c r="G24" s="21" t="s">
        <v>2117</v>
      </c>
      <c r="H24" s="21" t="s">
        <v>2119</v>
      </c>
      <c r="I24" s="8" t="s">
        <v>2121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>
      <c r="A25" s="18" t="str">
        <f t="shared" si="1"/>
        <v>NODE_2</v>
      </c>
      <c r="B25" s="18">
        <f t="shared" si="2"/>
        <v>22</v>
      </c>
      <c r="C25" s="18" t="str">
        <f t="shared" si="0"/>
        <v>NODE_2_22</v>
      </c>
      <c r="D25" s="18"/>
      <c r="E25" s="18" t="str">
        <f>VLOOKUP(F25,Overview!$A$1:$B$28,2,FALSE)</f>
        <v>CaoCao</v>
      </c>
      <c r="F25" s="18" t="s">
        <v>20</v>
      </c>
      <c r="G25" s="21" t="s">
        <v>2129</v>
      </c>
      <c r="H25" s="21" t="s">
        <v>2130</v>
      </c>
      <c r="I25" s="8" t="s">
        <v>2131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>
      <c r="A26" s="18" t="str">
        <f t="shared" si="1"/>
        <v>NODE_2</v>
      </c>
      <c r="B26" s="18">
        <f t="shared" si="2"/>
        <v>23</v>
      </c>
      <c r="C26" s="18" t="str">
        <f t="shared" si="0"/>
        <v>NODE_2_23</v>
      </c>
      <c r="D26" s="18"/>
      <c r="E26" s="18" t="str">
        <f>VLOOKUP(F26,Overview!$A$1:$B$28,2,FALSE)</f>
        <v>CaoRen</v>
      </c>
      <c r="F26" s="18" t="s">
        <v>22</v>
      </c>
      <c r="G26" s="21" t="s">
        <v>2132</v>
      </c>
      <c r="H26" s="21" t="s">
        <v>2133</v>
      </c>
      <c r="I26" s="8" t="s">
        <v>2134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>
      <c r="A27" s="18" t="s">
        <v>2135</v>
      </c>
      <c r="B27" s="18">
        <v>0</v>
      </c>
      <c r="C27" s="18" t="str">
        <f t="shared" si="0"/>
        <v>NODE_30B_0</v>
      </c>
      <c r="D27" s="18"/>
      <c r="E27" s="18" t="str">
        <f>VLOOKUP(F27,Overview!$A$1:$B$28,2,FALSE)</f>
        <v>LiuBei</v>
      </c>
      <c r="F27" s="18" t="s">
        <v>1</v>
      </c>
      <c r="G27" s="21" t="s">
        <v>2136</v>
      </c>
      <c r="H27" s="21" t="s">
        <v>2137</v>
      </c>
      <c r="I27" s="8" t="s">
        <v>2138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>
      <c r="A28" s="18" t="str">
        <f t="shared" ref="A28:A52" si="3">A27</f>
        <v>NODE_30B</v>
      </c>
      <c r="B28" s="18">
        <f t="shared" ref="B28:B52" si="4">B27+1</f>
        <v>1</v>
      </c>
      <c r="C28" s="18" t="str">
        <f t="shared" si="0"/>
        <v>NODE_30B_1</v>
      </c>
      <c r="D28" s="18"/>
      <c r="E28" s="18" t="str">
        <f>VLOOKUP(F28,Overview!$A$1:$B$28,2,FALSE)</f>
        <v>LiuBei</v>
      </c>
      <c r="F28" s="18" t="s">
        <v>1</v>
      </c>
      <c r="G28" s="21" t="s">
        <v>2139</v>
      </c>
      <c r="H28" s="21" t="s">
        <v>2140</v>
      </c>
      <c r="I28" s="8" t="s">
        <v>2141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>
      <c r="A29" s="18" t="str">
        <f t="shared" si="3"/>
        <v>NODE_30B</v>
      </c>
      <c r="B29" s="18">
        <f t="shared" si="4"/>
        <v>2</v>
      </c>
      <c r="C29" s="18" t="str">
        <f t="shared" si="0"/>
        <v>NODE_30B_2</v>
      </c>
      <c r="D29" s="18"/>
      <c r="E29" s="18" t="str">
        <f>VLOOKUP(F29,Overview!$A$1:$B$28,2,FALSE)</f>
        <v>ZhangFei</v>
      </c>
      <c r="F29" s="18" t="s">
        <v>10</v>
      </c>
      <c r="G29" s="21" t="s">
        <v>2142</v>
      </c>
      <c r="H29" s="21" t="s">
        <v>2143</v>
      </c>
      <c r="I29" s="8" t="s">
        <v>2144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>
      <c r="A30" s="18" t="str">
        <f t="shared" si="3"/>
        <v>NODE_30B</v>
      </c>
      <c r="B30" s="18">
        <f t="shared" si="4"/>
        <v>3</v>
      </c>
      <c r="C30" s="18" t="str">
        <f t="shared" si="0"/>
        <v>NODE_30B_3</v>
      </c>
      <c r="D30" s="18"/>
      <c r="E30" s="18" t="str">
        <f>VLOOKUP(F30,Overview!$A$1:$B$28,2,FALSE)</f>
        <v>LiuBei</v>
      </c>
      <c r="F30" s="18" t="s">
        <v>1</v>
      </c>
      <c r="G30" s="21" t="s">
        <v>2147</v>
      </c>
      <c r="H30" s="21" t="s">
        <v>2149</v>
      </c>
      <c r="I30" s="8" t="s">
        <v>2150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>
      <c r="A31" s="18" t="str">
        <f t="shared" si="3"/>
        <v>NODE_30B</v>
      </c>
      <c r="B31" s="18">
        <f t="shared" si="4"/>
        <v>4</v>
      </c>
      <c r="C31" s="18" t="str">
        <f t="shared" si="0"/>
        <v>NODE_30B_4</v>
      </c>
      <c r="D31" s="18"/>
      <c r="E31" s="18" t="str">
        <f>VLOOKUP(F31,Overview!$A$1:$B$28,2,FALSE)</f>
        <v>GuanYu</v>
      </c>
      <c r="F31" s="18" t="s">
        <v>7</v>
      </c>
      <c r="G31" s="21" t="s">
        <v>2154</v>
      </c>
      <c r="H31" s="21" t="s">
        <v>2154</v>
      </c>
      <c r="I31" s="8" t="s">
        <v>2155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>
      <c r="A32" s="18" t="str">
        <f t="shared" si="3"/>
        <v>NODE_30B</v>
      </c>
      <c r="B32" s="18">
        <f t="shared" si="4"/>
        <v>5</v>
      </c>
      <c r="C32" s="18" t="str">
        <f t="shared" si="0"/>
        <v>NODE_30B_5</v>
      </c>
      <c r="D32" s="18"/>
      <c r="E32" s="18" t="str">
        <f>VLOOKUP(F32,Overview!$A$1:$B$28,2,FALSE)</f>
        <v>LiuBei</v>
      </c>
      <c r="F32" s="18" t="s">
        <v>1</v>
      </c>
      <c r="G32" s="21" t="s">
        <v>2156</v>
      </c>
      <c r="H32" s="21" t="s">
        <v>2157</v>
      </c>
      <c r="I32" s="8" t="s">
        <v>2158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>
      <c r="A33" s="18" t="str">
        <f t="shared" si="3"/>
        <v>NODE_30B</v>
      </c>
      <c r="B33" s="18">
        <f t="shared" si="4"/>
        <v>6</v>
      </c>
      <c r="C33" s="18" t="str">
        <f t="shared" si="0"/>
        <v>NODE_30B_6</v>
      </c>
      <c r="D33" s="18"/>
      <c r="E33" s="18" t="str">
        <f>VLOOKUP(F33,Overview!$A$1:$B$28,2,FALSE)</f>
        <v>GuanYu</v>
      </c>
      <c r="F33" s="18" t="s">
        <v>7</v>
      </c>
      <c r="G33" s="21" t="s">
        <v>2160</v>
      </c>
      <c r="H33" s="21" t="s">
        <v>2161</v>
      </c>
      <c r="I33" s="8" t="s">
        <v>2162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>
      <c r="A34" s="18" t="str">
        <f t="shared" si="3"/>
        <v>NODE_30B</v>
      </c>
      <c r="B34" s="18">
        <f t="shared" si="4"/>
        <v>7</v>
      </c>
      <c r="C34" s="18" t="str">
        <f t="shared" si="0"/>
        <v>NODE_30B_7</v>
      </c>
      <c r="D34" s="18"/>
      <c r="E34" s="18" t="str">
        <f>VLOOKUP(F34,Overview!$A$1:$B$28,2,FALSE)</f>
        <v>LiuBei</v>
      </c>
      <c r="F34" s="18" t="s">
        <v>1</v>
      </c>
      <c r="G34" s="21" t="s">
        <v>2167</v>
      </c>
      <c r="H34" s="21" t="s">
        <v>2168</v>
      </c>
      <c r="I34" s="8" t="s">
        <v>2169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>
      <c r="A35" s="18" t="str">
        <f t="shared" si="3"/>
        <v>NODE_30B</v>
      </c>
      <c r="B35" s="18">
        <f t="shared" si="4"/>
        <v>8</v>
      </c>
      <c r="C35" s="18" t="str">
        <f t="shared" si="0"/>
        <v>NODE_30B_8</v>
      </c>
      <c r="D35" s="18"/>
      <c r="E35" s="18" t="str">
        <f>VLOOKUP(F35,Overview!$A$1:$B$28,2,FALSE)</f>
        <v>ZhangFei</v>
      </c>
      <c r="F35" s="18" t="s">
        <v>10</v>
      </c>
      <c r="G35" s="21" t="s">
        <v>2170</v>
      </c>
      <c r="H35" s="21" t="s">
        <v>2171</v>
      </c>
      <c r="I35" s="8" t="s">
        <v>2172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>
      <c r="A36" s="18" t="str">
        <f t="shared" si="3"/>
        <v>NODE_30B</v>
      </c>
      <c r="B36" s="18">
        <f t="shared" si="4"/>
        <v>9</v>
      </c>
      <c r="C36" s="18" t="str">
        <f t="shared" si="0"/>
        <v>NODE_30B_9</v>
      </c>
      <c r="D36" s="18"/>
      <c r="E36" s="18" t="str">
        <f>VLOOKUP(F36,Overview!$A$1:$B$28,2,FALSE)</f>
        <v>LiuBei</v>
      </c>
      <c r="F36" s="18" t="s">
        <v>1</v>
      </c>
      <c r="G36" s="21" t="s">
        <v>2173</v>
      </c>
      <c r="H36" s="21" t="s">
        <v>2174</v>
      </c>
      <c r="I36" s="8" t="s">
        <v>2175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>
      <c r="A37" s="18" t="str">
        <f t="shared" si="3"/>
        <v>NODE_30B</v>
      </c>
      <c r="B37" s="18">
        <f t="shared" si="4"/>
        <v>10</v>
      </c>
      <c r="C37" s="18" t="str">
        <f t="shared" si="0"/>
        <v>NODE_30B_10</v>
      </c>
      <c r="D37" s="18"/>
      <c r="E37" s="18" t="str">
        <f>VLOOKUP(F37,Overview!$A$1:$B$28,2,FALSE)</f>
        <v>GuanYu</v>
      </c>
      <c r="F37" s="18" t="s">
        <v>7</v>
      </c>
      <c r="G37" s="21" t="s">
        <v>2176</v>
      </c>
      <c r="H37" s="21" t="s">
        <v>2177</v>
      </c>
      <c r="I37" s="8" t="s">
        <v>2178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>
      <c r="A38" s="18" t="str">
        <f t="shared" si="3"/>
        <v>NODE_30B</v>
      </c>
      <c r="B38" s="18">
        <f t="shared" si="4"/>
        <v>11</v>
      </c>
      <c r="C38" s="18" t="str">
        <f t="shared" si="0"/>
        <v>NODE_30B_11</v>
      </c>
      <c r="D38" s="18"/>
      <c r="E38" s="18"/>
      <c r="F38" s="18"/>
      <c r="G38" s="21"/>
      <c r="H38" s="21"/>
      <c r="I38" s="8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>
      <c r="A39" s="18" t="str">
        <f t="shared" si="3"/>
        <v>NODE_30B</v>
      </c>
      <c r="B39" s="18">
        <f t="shared" si="4"/>
        <v>12</v>
      </c>
      <c r="C39" s="18" t="str">
        <f t="shared" si="0"/>
        <v>NODE_30B_12</v>
      </c>
      <c r="D39" s="18"/>
      <c r="E39" s="18" t="str">
        <f>VLOOKUP(F39,Overview!$A$1:$B$28,2,FALSE)</f>
        <v>ZhangFei</v>
      </c>
      <c r="F39" s="18" t="s">
        <v>10</v>
      </c>
      <c r="G39" s="21" t="s">
        <v>2181</v>
      </c>
      <c r="H39" s="21" t="s">
        <v>2183</v>
      </c>
      <c r="I39" s="8" t="s">
        <v>2184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>
      <c r="A40" s="18" t="str">
        <f t="shared" si="3"/>
        <v>NODE_30B</v>
      </c>
      <c r="B40" s="18">
        <f t="shared" si="4"/>
        <v>13</v>
      </c>
      <c r="C40" s="18" t="str">
        <f t="shared" si="0"/>
        <v>NODE_30B_13</v>
      </c>
      <c r="D40" s="18"/>
      <c r="E40" s="18" t="str">
        <f>VLOOKUP(F40,Overview!$A$1:$B$28,2,FALSE)</f>
        <v>GuanYu</v>
      </c>
      <c r="F40" s="18" t="s">
        <v>7</v>
      </c>
      <c r="G40" s="21" t="s">
        <v>2188</v>
      </c>
      <c r="H40" s="21" t="s">
        <v>2189</v>
      </c>
      <c r="I40" s="8" t="s">
        <v>2190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>
      <c r="A41" s="18" t="str">
        <f t="shared" si="3"/>
        <v>NODE_30B</v>
      </c>
      <c r="B41" s="18">
        <f t="shared" si="4"/>
        <v>14</v>
      </c>
      <c r="C41" s="18" t="str">
        <f t="shared" si="0"/>
        <v>NODE_30B_14</v>
      </c>
      <c r="D41" s="18"/>
      <c r="E41" s="18" t="str">
        <f>VLOOKUP(F41,Overview!$A$1:$B$28,2,FALSE)</f>
        <v>LiuBei</v>
      </c>
      <c r="F41" s="18" t="s">
        <v>1</v>
      </c>
      <c r="G41" s="21" t="s">
        <v>2191</v>
      </c>
      <c r="H41" s="21" t="s">
        <v>2192</v>
      </c>
      <c r="I41" s="8" t="s">
        <v>2193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>
      <c r="A42" s="18" t="str">
        <f t="shared" si="3"/>
        <v>NODE_30B</v>
      </c>
      <c r="B42" s="18">
        <f t="shared" si="4"/>
        <v>15</v>
      </c>
      <c r="C42" s="18" t="str">
        <f t="shared" si="0"/>
        <v>NODE_30B_15</v>
      </c>
      <c r="D42" s="18"/>
      <c r="E42" s="18" t="str">
        <f>VLOOKUP(F42,Overview!$A$1:$B$28,2,FALSE)</f>
        <v>LiuBei</v>
      </c>
      <c r="F42" s="18" t="s">
        <v>1</v>
      </c>
      <c r="G42" s="21" t="s">
        <v>2194</v>
      </c>
      <c r="H42" s="21" t="s">
        <v>2195</v>
      </c>
      <c r="I42" s="8" t="s">
        <v>2196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>
      <c r="A43" s="18" t="str">
        <f t="shared" si="3"/>
        <v>NODE_30B</v>
      </c>
      <c r="B43" s="18">
        <f t="shared" si="4"/>
        <v>16</v>
      </c>
      <c r="C43" s="18" t="str">
        <f t="shared" si="0"/>
        <v>NODE_30B_16</v>
      </c>
      <c r="D43" s="18"/>
      <c r="E43" s="18" t="str">
        <f>VLOOKUP(F43,Overview!$A$1:$B$28,2,FALSE)</f>
        <v>LiuBei</v>
      </c>
      <c r="F43" s="18" t="s">
        <v>1</v>
      </c>
      <c r="G43" s="21" t="s">
        <v>2197</v>
      </c>
      <c r="H43" s="21" t="s">
        <v>2198</v>
      </c>
      <c r="I43" s="8" t="s">
        <v>2199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>
      <c r="A44" s="18" t="str">
        <f t="shared" si="3"/>
        <v>NODE_30B</v>
      </c>
      <c r="B44" s="18">
        <f t="shared" si="4"/>
        <v>17</v>
      </c>
      <c r="C44" s="18" t="str">
        <f t="shared" si="0"/>
        <v>NODE_30B_17_1</v>
      </c>
      <c r="D44" s="18">
        <v>1</v>
      </c>
      <c r="E44" s="18" t="str">
        <f>VLOOKUP(F44,Overview!$A$1:$B$28,2,FALSE)</f>
        <v>ZhangFei</v>
      </c>
      <c r="F44" s="18" t="s">
        <v>10</v>
      </c>
      <c r="G44" s="21" t="s">
        <v>2200</v>
      </c>
      <c r="H44" s="21" t="s">
        <v>2201</v>
      </c>
      <c r="I44" s="8" t="s">
        <v>2202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>
      <c r="A45" s="18" t="str">
        <f t="shared" si="3"/>
        <v>NODE_30B</v>
      </c>
      <c r="B45" s="18">
        <f t="shared" si="4"/>
        <v>18</v>
      </c>
      <c r="C45" s="18" t="str">
        <f t="shared" si="0"/>
        <v>NODE_30B_18_1</v>
      </c>
      <c r="D45" s="18">
        <v>1</v>
      </c>
      <c r="E45" s="18" t="str">
        <f>VLOOKUP(F45,Overview!$A$1:$B$28,2,FALSE)</f>
        <v>GuanYu</v>
      </c>
      <c r="F45" s="18" t="s">
        <v>7</v>
      </c>
      <c r="G45" s="21" t="s">
        <v>2203</v>
      </c>
      <c r="H45" s="21" t="s">
        <v>2204</v>
      </c>
      <c r="I45" s="8" t="s">
        <v>2205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>
      <c r="A46" s="18" t="str">
        <f t="shared" si="3"/>
        <v>NODE_30B</v>
      </c>
      <c r="B46" s="18">
        <f t="shared" si="4"/>
        <v>19</v>
      </c>
      <c r="C46" s="18" t="str">
        <f t="shared" si="0"/>
        <v>NODE_30B_19_2</v>
      </c>
      <c r="D46" s="18">
        <v>2</v>
      </c>
      <c r="E46" s="18" t="str">
        <f>VLOOKUP(F46,Overview!$A$1:$B$28,2,FALSE)</f>
        <v>ZhangFei</v>
      </c>
      <c r="F46" s="18" t="s">
        <v>10</v>
      </c>
      <c r="G46" s="21" t="s">
        <v>2206</v>
      </c>
      <c r="H46" s="21" t="s">
        <v>2207</v>
      </c>
      <c r="I46" s="8" t="s">
        <v>2208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>
      <c r="A47" s="18" t="str">
        <f t="shared" si="3"/>
        <v>NODE_30B</v>
      </c>
      <c r="B47" s="18">
        <f t="shared" si="4"/>
        <v>20</v>
      </c>
      <c r="C47" s="18" t="str">
        <f t="shared" si="0"/>
        <v>NODE_30B_20_2</v>
      </c>
      <c r="D47" s="18">
        <v>2</v>
      </c>
      <c r="E47" s="18" t="str">
        <f>VLOOKUP(F47,Overview!$A$1:$B$28,2,FALSE)</f>
        <v>LiuBei</v>
      </c>
      <c r="F47" s="18" t="s">
        <v>1</v>
      </c>
      <c r="G47" s="21" t="s">
        <v>2209</v>
      </c>
      <c r="H47" s="21" t="s">
        <v>2210</v>
      </c>
      <c r="I47" s="8" t="s">
        <v>2211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>
      <c r="A48" s="18" t="str">
        <f t="shared" si="3"/>
        <v>NODE_30B</v>
      </c>
      <c r="B48" s="18">
        <f t="shared" si="4"/>
        <v>21</v>
      </c>
      <c r="C48" s="18" t="str">
        <f t="shared" si="0"/>
        <v>NODE_30B_21_2</v>
      </c>
      <c r="D48" s="18">
        <v>2</v>
      </c>
      <c r="E48" s="18" t="str">
        <f>VLOOKUP(F48,Overview!$A$1:$B$28,2,FALSE)</f>
        <v>GuanYu</v>
      </c>
      <c r="F48" s="18" t="s">
        <v>7</v>
      </c>
      <c r="G48" s="21" t="s">
        <v>2212</v>
      </c>
      <c r="H48" s="21" t="s">
        <v>2213</v>
      </c>
      <c r="I48" s="8" t="s">
        <v>2214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>
      <c r="A49" s="18" t="str">
        <f t="shared" si="3"/>
        <v>NODE_30B</v>
      </c>
      <c r="B49" s="18">
        <f t="shared" si="4"/>
        <v>22</v>
      </c>
      <c r="C49" s="18" t="str">
        <f t="shared" si="0"/>
        <v>NODE_30B_22</v>
      </c>
      <c r="D49" s="18"/>
      <c r="E49" s="18" t="str">
        <f>VLOOKUP(F49,Overview!$A$1:$B$28,2,FALSE)</f>
        <v>LiuBei</v>
      </c>
      <c r="F49" s="18" t="s">
        <v>1</v>
      </c>
      <c r="G49" s="21" t="s">
        <v>2215</v>
      </c>
      <c r="H49" s="21" t="s">
        <v>2216</v>
      </c>
      <c r="I49" s="8" t="s">
        <v>2217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>
      <c r="A50" s="18" t="str">
        <f t="shared" si="3"/>
        <v>NODE_30B</v>
      </c>
      <c r="B50" s="18">
        <f t="shared" si="4"/>
        <v>23</v>
      </c>
      <c r="C50" s="18" t="str">
        <f t="shared" si="0"/>
        <v>NODE_30B_23</v>
      </c>
      <c r="D50" s="18"/>
      <c r="E50" s="18" t="str">
        <f>VLOOKUP(F50,Overview!$A$1:$B$28,2,FALSE)</f>
        <v>ZhangFei</v>
      </c>
      <c r="F50" s="18" t="s">
        <v>10</v>
      </c>
      <c r="G50" s="21" t="s">
        <v>2218</v>
      </c>
      <c r="H50" s="21" t="s">
        <v>2219</v>
      </c>
      <c r="I50" s="8" t="s">
        <v>2220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>
      <c r="A51" s="18" t="str">
        <f t="shared" si="3"/>
        <v>NODE_30B</v>
      </c>
      <c r="B51" s="18">
        <f t="shared" si="4"/>
        <v>24</v>
      </c>
      <c r="C51" s="18" t="str">
        <f t="shared" si="0"/>
        <v>NODE_30B_24</v>
      </c>
      <c r="D51" s="18"/>
      <c r="E51" s="18" t="str">
        <f>VLOOKUP(F51,Overview!$A$1:$B$28,2,FALSE)</f>
        <v>GuanYu</v>
      </c>
      <c r="F51" s="18" t="s">
        <v>7</v>
      </c>
      <c r="G51" s="21" t="s">
        <v>2221</v>
      </c>
      <c r="H51" s="21" t="s">
        <v>2222</v>
      </c>
      <c r="I51" s="8" t="s">
        <v>2223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>
      <c r="A52" s="18" t="str">
        <f t="shared" si="3"/>
        <v>NODE_30B</v>
      </c>
      <c r="B52" s="18">
        <f t="shared" si="4"/>
        <v>25</v>
      </c>
      <c r="C52" s="18" t="str">
        <f t="shared" si="0"/>
        <v>NODE_30B_25</v>
      </c>
      <c r="D52" s="18"/>
      <c r="E52" s="18" t="str">
        <f>VLOOKUP(F52,Overview!$A$1:$B$28,2,FALSE)</f>
        <v>ZhangFei</v>
      </c>
      <c r="F52" s="18" t="s">
        <v>10</v>
      </c>
      <c r="G52" s="21" t="s">
        <v>2224</v>
      </c>
      <c r="H52" s="21" t="s">
        <v>2225</v>
      </c>
      <c r="I52" s="8" t="s">
        <v>2226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>
      <c r="A53" s="18"/>
      <c r="B53" s="18"/>
      <c r="C53" s="18"/>
      <c r="D53" s="18"/>
      <c r="E53" s="18"/>
      <c r="F53" s="18"/>
      <c r="G53" s="21"/>
      <c r="H53" s="21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>
      <c r="A54" s="18" t="s">
        <v>2227</v>
      </c>
      <c r="B54" s="18">
        <v>0</v>
      </c>
      <c r="C54" s="18" t="str">
        <f t="shared" ref="C54:C119" si="5">CONCATENATE(A54, "_", B54, IF(D54&lt;&gt;"", "_"&amp;D54, ""))</f>
        <v>NODE_16_0</v>
      </c>
      <c r="D54" s="18"/>
      <c r="E54" s="18" t="str">
        <f>VLOOKUP(F54,Overview!$A$1:$B$28,2,FALSE)</f>
        <v>CaoCao</v>
      </c>
      <c r="F54" s="18" t="s">
        <v>20</v>
      </c>
      <c r="G54" s="21" t="s">
        <v>2228</v>
      </c>
      <c r="H54" s="21" t="s">
        <v>2228</v>
      </c>
      <c r="I54" s="8" t="s">
        <v>2229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>
      <c r="A55" s="18" t="str">
        <f t="shared" ref="A55:A119" si="6">A54</f>
        <v>NODE_16</v>
      </c>
      <c r="B55" s="18">
        <f t="shared" ref="B55:B119" si="7">B54+1</f>
        <v>1</v>
      </c>
      <c r="C55" s="18" t="str">
        <f t="shared" si="5"/>
        <v>NODE_16_1</v>
      </c>
      <c r="D55" s="18"/>
      <c r="E55" s="18" t="str">
        <f>VLOOKUP(F55,Overview!$A$1:$B$28,2,FALSE)</f>
        <v>CaoCao</v>
      </c>
      <c r="F55" s="18" t="s">
        <v>20</v>
      </c>
      <c r="G55" s="21" t="s">
        <v>2230</v>
      </c>
      <c r="H55" s="21" t="s">
        <v>2231</v>
      </c>
      <c r="I55" s="8" t="s">
        <v>2232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>
      <c r="A56" s="18" t="str">
        <f t="shared" si="6"/>
        <v>NODE_16</v>
      </c>
      <c r="B56" s="18">
        <f t="shared" si="7"/>
        <v>2</v>
      </c>
      <c r="C56" s="18" t="str">
        <f t="shared" si="5"/>
        <v>NODE_16_2</v>
      </c>
      <c r="D56" s="18"/>
      <c r="E56" s="18" t="str">
        <f>VLOOKUP(F56,Overview!$A$1:$B$28,2,FALSE)</f>
        <v>YanLiang</v>
      </c>
      <c r="F56" s="18" t="s">
        <v>104</v>
      </c>
      <c r="G56" s="21" t="s">
        <v>2233</v>
      </c>
      <c r="H56" s="21" t="s">
        <v>2234</v>
      </c>
      <c r="I56" s="8" t="s">
        <v>2235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>
      <c r="A57" s="18" t="str">
        <f t="shared" si="6"/>
        <v>NODE_16</v>
      </c>
      <c r="B57" s="18">
        <f t="shared" si="7"/>
        <v>3</v>
      </c>
      <c r="C57" s="18" t="str">
        <f t="shared" si="5"/>
        <v>NODE_16_3</v>
      </c>
      <c r="D57" s="18"/>
      <c r="E57" s="18" t="str">
        <f>VLOOKUP(F57,Overview!$A$1:$B$28,2,FALSE)</f>
        <v>XiahouDun</v>
      </c>
      <c r="F57" s="18" t="s">
        <v>24</v>
      </c>
      <c r="G57" s="21" t="s">
        <v>2236</v>
      </c>
      <c r="H57" s="21" t="s">
        <v>2237</v>
      </c>
      <c r="I57" s="8" t="s">
        <v>2238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>
      <c r="A58" s="18" t="str">
        <f t="shared" si="6"/>
        <v>NODE_16</v>
      </c>
      <c r="B58" s="18">
        <f t="shared" si="7"/>
        <v>4</v>
      </c>
      <c r="C58" s="18" t="str">
        <f t="shared" si="5"/>
        <v>NODE_16_4</v>
      </c>
      <c r="D58" s="18"/>
      <c r="E58" s="18" t="str">
        <f>VLOOKUP(F58,Overview!$A$1:$B$28,2,FALSE)</f>
        <v>XiahouDun</v>
      </c>
      <c r="F58" s="18" t="s">
        <v>24</v>
      </c>
      <c r="G58" s="21" t="s">
        <v>2239</v>
      </c>
      <c r="H58" s="21" t="s">
        <v>2240</v>
      </c>
      <c r="I58" s="8" t="s">
        <v>2241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>
      <c r="A59" s="18" t="str">
        <f t="shared" si="6"/>
        <v>NODE_16</v>
      </c>
      <c r="B59" s="18">
        <f t="shared" si="7"/>
        <v>5</v>
      </c>
      <c r="C59" s="18" t="str">
        <f t="shared" si="5"/>
        <v>NODE_16_5</v>
      </c>
      <c r="D59" s="18"/>
      <c r="E59" s="18" t="str">
        <f>VLOOKUP(F59,Overview!$A$1:$B$28,2,FALSE)</f>
        <v>XiahouYuan</v>
      </c>
      <c r="F59" s="18" t="s">
        <v>28</v>
      </c>
      <c r="G59" s="21" t="s">
        <v>2242</v>
      </c>
      <c r="H59" s="21" t="s">
        <v>2243</v>
      </c>
      <c r="I59" s="8" t="s">
        <v>2244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>
      <c r="A60" s="18" t="str">
        <f t="shared" si="6"/>
        <v>NODE_16</v>
      </c>
      <c r="B60" s="18">
        <f t="shared" si="7"/>
        <v>6</v>
      </c>
      <c r="C60" s="18" t="str">
        <f t="shared" si="5"/>
        <v>NODE_16_6</v>
      </c>
      <c r="D60" s="18"/>
      <c r="E60" s="18" t="str">
        <f>VLOOKUP(F60,Overview!$A$1:$B$28,2,FALSE)</f>
        <v>XiahouDun</v>
      </c>
      <c r="F60" s="18" t="s">
        <v>24</v>
      </c>
      <c r="G60" s="21" t="s">
        <v>2245</v>
      </c>
      <c r="H60" s="21" t="s">
        <v>2246</v>
      </c>
      <c r="I60" s="8" t="s">
        <v>2247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>
      <c r="A61" s="18" t="str">
        <f t="shared" si="6"/>
        <v>NODE_16</v>
      </c>
      <c r="B61" s="18">
        <f t="shared" si="7"/>
        <v>7</v>
      </c>
      <c r="C61" s="18" t="str">
        <f t="shared" si="5"/>
        <v>NODE_16_7</v>
      </c>
      <c r="D61" s="18"/>
      <c r="E61" s="18" t="str">
        <f>VLOOKUP(F61,Overview!$A$1:$B$28,2,FALSE)</f>
        <v>XiahouDun</v>
      </c>
      <c r="F61" s="18" t="s">
        <v>24</v>
      </c>
      <c r="G61" s="21" t="s">
        <v>2248</v>
      </c>
      <c r="H61" s="21" t="s">
        <v>2249</v>
      </c>
      <c r="I61" s="8" t="s">
        <v>2046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>
      <c r="A62" s="18" t="str">
        <f t="shared" si="6"/>
        <v>NODE_16</v>
      </c>
      <c r="B62" s="18">
        <f t="shared" si="7"/>
        <v>8</v>
      </c>
      <c r="C62" s="18" t="str">
        <f t="shared" si="5"/>
        <v>NODE_16_8</v>
      </c>
      <c r="D62" s="18"/>
      <c r="E62" s="18" t="str">
        <f>VLOOKUP(F62,Overview!$A$1:$B$28,2,FALSE)</f>
        <v>CaoCao</v>
      </c>
      <c r="F62" s="18" t="s">
        <v>20</v>
      </c>
      <c r="G62" s="21" t="s">
        <v>2250</v>
      </c>
      <c r="H62" s="21" t="s">
        <v>2251</v>
      </c>
      <c r="I62" s="8" t="s">
        <v>2252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>
      <c r="A63" s="18" t="str">
        <f t="shared" si="6"/>
        <v>NODE_16</v>
      </c>
      <c r="B63" s="18">
        <f t="shared" si="7"/>
        <v>9</v>
      </c>
      <c r="C63" s="18" t="str">
        <f t="shared" si="5"/>
        <v>NODE_16_9</v>
      </c>
      <c r="D63" s="18"/>
      <c r="E63" s="18" t="str">
        <f>VLOOKUP(F63,Overview!$A$1:$B$28,2,FALSE)</f>
        <v>GuanYu</v>
      </c>
      <c r="F63" s="18" t="s">
        <v>7</v>
      </c>
      <c r="G63" s="21" t="s">
        <v>2253</v>
      </c>
      <c r="H63" s="21" t="s">
        <v>2254</v>
      </c>
      <c r="I63" s="8" t="s">
        <v>2255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>
      <c r="A64" s="18" t="str">
        <f t="shared" si="6"/>
        <v>NODE_16</v>
      </c>
      <c r="B64" s="18">
        <f t="shared" si="7"/>
        <v>10</v>
      </c>
      <c r="C64" s="18" t="str">
        <f t="shared" si="5"/>
        <v>NODE_16_10</v>
      </c>
      <c r="D64" s="18"/>
      <c r="E64" s="18" t="str">
        <f>VLOOKUP(F64,Overview!$A$1:$B$28,2,FALSE)</f>
        <v>ZhangLiao</v>
      </c>
      <c r="F64" s="18" t="s">
        <v>26</v>
      </c>
      <c r="G64" s="21" t="s">
        <v>2256</v>
      </c>
      <c r="H64" s="21" t="s">
        <v>2257</v>
      </c>
      <c r="I64" s="8" t="s">
        <v>2258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>
      <c r="A65" s="18" t="str">
        <f t="shared" si="6"/>
        <v>NODE_16</v>
      </c>
      <c r="B65" s="18">
        <f t="shared" si="7"/>
        <v>11</v>
      </c>
      <c r="C65" s="18" t="str">
        <f t="shared" si="5"/>
        <v>NODE_16_11</v>
      </c>
      <c r="D65" s="18"/>
      <c r="E65" s="18" t="str">
        <f>VLOOKUP(F65,Overview!$A$1:$B$28,2,FALSE)</f>
        <v>ZhangLiao</v>
      </c>
      <c r="F65" s="18" t="s">
        <v>26</v>
      </c>
      <c r="G65" s="21" t="s">
        <v>2259</v>
      </c>
      <c r="H65" s="21" t="s">
        <v>2260</v>
      </c>
      <c r="I65" s="8" t="s">
        <v>2261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>
      <c r="A66" s="18" t="str">
        <f t="shared" si="6"/>
        <v>NODE_16</v>
      </c>
      <c r="B66" s="18">
        <f t="shared" si="7"/>
        <v>12</v>
      </c>
      <c r="C66" s="18" t="str">
        <f t="shared" si="5"/>
        <v>NODE_16_12</v>
      </c>
      <c r="D66" s="18"/>
      <c r="E66" s="18" t="str">
        <f>VLOOKUP(F66,Overview!$A$1:$B$28,2,FALSE)</f>
        <v>CaoCao</v>
      </c>
      <c r="F66" s="18" t="s">
        <v>20</v>
      </c>
      <c r="G66" s="21" t="s">
        <v>2262</v>
      </c>
      <c r="H66" s="21" t="s">
        <v>2263</v>
      </c>
      <c r="I66" s="8" t="s">
        <v>2264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>
      <c r="A67" s="18" t="str">
        <f t="shared" si="6"/>
        <v>NODE_16</v>
      </c>
      <c r="B67" s="18">
        <f t="shared" si="7"/>
        <v>13</v>
      </c>
      <c r="C67" s="18" t="str">
        <f t="shared" si="5"/>
        <v>NODE_16_13</v>
      </c>
      <c r="D67" s="18"/>
      <c r="E67" s="18" t="str">
        <f>VLOOKUP(F67,Overview!$A$1:$B$28,2,FALSE)</f>
        <v>CaoCao</v>
      </c>
      <c r="F67" s="18" t="s">
        <v>20</v>
      </c>
      <c r="G67" s="21" t="s">
        <v>2265</v>
      </c>
      <c r="H67" s="21" t="s">
        <v>2266</v>
      </c>
      <c r="I67" s="8" t="s">
        <v>2267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>
      <c r="A68" s="18" t="str">
        <f t="shared" si="6"/>
        <v>NODE_16</v>
      </c>
      <c r="B68" s="18">
        <f t="shared" si="7"/>
        <v>14</v>
      </c>
      <c r="C68" s="18" t="str">
        <f t="shared" si="5"/>
        <v>NODE_16_14</v>
      </c>
      <c r="D68" s="18"/>
      <c r="E68" s="18" t="str">
        <f>VLOOKUP(F68,Overview!$A$1:$B$28,2,FALSE)</f>
        <v>CaoCao</v>
      </c>
      <c r="F68" s="18" t="s">
        <v>20</v>
      </c>
      <c r="G68" s="21" t="s">
        <v>2268</v>
      </c>
      <c r="H68" s="21" t="s">
        <v>2269</v>
      </c>
      <c r="I68" s="8" t="s">
        <v>2270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>
      <c r="A69" s="18" t="str">
        <f t="shared" si="6"/>
        <v>NODE_16</v>
      </c>
      <c r="B69" s="18">
        <f t="shared" si="7"/>
        <v>15</v>
      </c>
      <c r="C69" s="18" t="str">
        <f t="shared" si="5"/>
        <v>NODE_16_15</v>
      </c>
      <c r="D69" s="18"/>
      <c r="E69" s="18" t="str">
        <f>VLOOKUP(F69,Overview!$A$1:$B$28,2,FALSE)</f>
        <v>GuanYu</v>
      </c>
      <c r="F69" s="18" t="s">
        <v>7</v>
      </c>
      <c r="G69" s="21" t="s">
        <v>2271</v>
      </c>
      <c r="H69" s="21" t="s">
        <v>2272</v>
      </c>
      <c r="I69" s="8" t="s">
        <v>2273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>
      <c r="A70" s="18" t="str">
        <f t="shared" si="6"/>
        <v>NODE_16</v>
      </c>
      <c r="B70" s="18">
        <f t="shared" si="7"/>
        <v>16</v>
      </c>
      <c r="C70" s="18" t="str">
        <f t="shared" si="5"/>
        <v>NODE_16_16</v>
      </c>
      <c r="D70" s="18"/>
      <c r="E70" s="18" t="str">
        <f>VLOOKUP(F70,Overview!$A$1:$B$28,2,FALSE)</f>
        <v>CaoCao</v>
      </c>
      <c r="F70" s="18" t="s">
        <v>20</v>
      </c>
      <c r="G70" s="21" t="s">
        <v>2274</v>
      </c>
      <c r="H70" s="21" t="s">
        <v>2275</v>
      </c>
      <c r="I70" s="8" t="s">
        <v>2276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>
      <c r="A71" s="18" t="str">
        <f t="shared" si="6"/>
        <v>NODE_16</v>
      </c>
      <c r="B71" s="18">
        <f t="shared" si="7"/>
        <v>17</v>
      </c>
      <c r="C71" s="18" t="str">
        <f t="shared" si="5"/>
        <v>NODE_16_17</v>
      </c>
      <c r="D71" s="18"/>
      <c r="E71" s="18" t="str">
        <f>VLOOKUP(F71,Overview!$A$1:$B$28,2,FALSE)</f>
        <v>YanLiang</v>
      </c>
      <c r="F71" s="18" t="s">
        <v>104</v>
      </c>
      <c r="G71" s="21" t="s">
        <v>2277</v>
      </c>
      <c r="H71" s="21" t="s">
        <v>2278</v>
      </c>
      <c r="I71" s="8" t="s">
        <v>2279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>
      <c r="A72" s="18" t="str">
        <f t="shared" si="6"/>
        <v>NODE_16</v>
      </c>
      <c r="B72" s="18">
        <f t="shared" si="7"/>
        <v>18</v>
      </c>
      <c r="C72" s="18" t="str">
        <f t="shared" si="5"/>
        <v>NODE_16_18</v>
      </c>
      <c r="D72" s="18"/>
      <c r="E72" s="18" t="str">
        <f>VLOOKUP(F72,Overview!$A$1:$B$28,2,FALSE)</f>
        <v>YanLiang</v>
      </c>
      <c r="F72" s="18" t="s">
        <v>104</v>
      </c>
      <c r="G72" s="21" t="s">
        <v>2280</v>
      </c>
      <c r="H72" s="18" t="s">
        <v>2281</v>
      </c>
      <c r="I72" s="8" t="s">
        <v>2282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>
      <c r="A73" s="18" t="str">
        <f t="shared" si="6"/>
        <v>NODE_16</v>
      </c>
      <c r="B73" s="18">
        <f t="shared" si="7"/>
        <v>19</v>
      </c>
      <c r="C73" s="18" t="str">
        <f t="shared" si="5"/>
        <v>NODE_16_19</v>
      </c>
      <c r="D73" s="18"/>
      <c r="E73" s="18" t="str">
        <f>VLOOKUP(F73,Overview!$A$1:$B$28,2,FALSE)</f>
        <v>ZhangLiao</v>
      </c>
      <c r="F73" s="18" t="s">
        <v>26</v>
      </c>
      <c r="G73" s="21" t="s">
        <v>2283</v>
      </c>
      <c r="H73" s="21" t="s">
        <v>2284</v>
      </c>
      <c r="I73" s="8" t="s">
        <v>2285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>
      <c r="A74" s="18" t="str">
        <f t="shared" si="6"/>
        <v>NODE_16</v>
      </c>
      <c r="B74" s="18">
        <f t="shared" si="7"/>
        <v>20</v>
      </c>
      <c r="C74" s="18" t="str">
        <f t="shared" si="5"/>
        <v>NODE_16_20</v>
      </c>
      <c r="D74" s="18"/>
      <c r="E74" s="18" t="str">
        <f>VLOOKUP(F74,Overview!$A$1:$B$28,2,FALSE)</f>
        <v>YanLiang</v>
      </c>
      <c r="F74" s="18" t="s">
        <v>104</v>
      </c>
      <c r="G74" s="21" t="s">
        <v>2286</v>
      </c>
      <c r="H74" s="21" t="s">
        <v>2287</v>
      </c>
      <c r="I74" s="8" t="s">
        <v>2288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>
      <c r="A75" s="18" t="str">
        <f t="shared" si="6"/>
        <v>NODE_16</v>
      </c>
      <c r="B75" s="18">
        <f t="shared" si="7"/>
        <v>21</v>
      </c>
      <c r="C75" s="18" t="str">
        <f t="shared" si="5"/>
        <v>NODE_16_21</v>
      </c>
      <c r="D75" s="18"/>
      <c r="E75" s="18" t="str">
        <f>VLOOKUP(F75,Overview!$A$1:$B$28,2,FALSE)</f>
        <v>YanLiang</v>
      </c>
      <c r="F75" s="18" t="s">
        <v>104</v>
      </c>
      <c r="G75" s="21" t="s">
        <v>2228</v>
      </c>
      <c r="H75" s="21" t="s">
        <v>2228</v>
      </c>
      <c r="I75" s="8" t="s">
        <v>2229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>
      <c r="A76" s="18" t="str">
        <f t="shared" si="6"/>
        <v>NODE_16</v>
      </c>
      <c r="B76" s="18">
        <f t="shared" si="7"/>
        <v>22</v>
      </c>
      <c r="C76" s="18" t="str">
        <f t="shared" si="5"/>
        <v>NODE_16_22</v>
      </c>
      <c r="D76" s="18"/>
      <c r="E76" s="18" t="str">
        <f>VLOOKUP(F76,Overview!$A$1:$B$28,2,FALSE)</f>
        <v>ZhangLiao</v>
      </c>
      <c r="F76" s="18" t="s">
        <v>26</v>
      </c>
      <c r="G76" s="21" t="s">
        <v>2289</v>
      </c>
      <c r="H76" s="21" t="s">
        <v>2290</v>
      </c>
      <c r="I76" s="8" t="s">
        <v>2291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>
      <c r="A77" s="18" t="str">
        <f t="shared" si="6"/>
        <v>NODE_16</v>
      </c>
      <c r="B77" s="18">
        <f t="shared" si="7"/>
        <v>23</v>
      </c>
      <c r="C77" s="18" t="str">
        <f t="shared" si="5"/>
        <v>NODE_16_23</v>
      </c>
      <c r="D77" s="18"/>
      <c r="E77" s="18" t="str">
        <f>VLOOKUP(F77,Overview!$A$1:$B$28,2,FALSE)</f>
        <v>CaoCao</v>
      </c>
      <c r="F77" s="18" t="s">
        <v>20</v>
      </c>
      <c r="G77" s="21" t="s">
        <v>2292</v>
      </c>
      <c r="H77" s="21" t="s">
        <v>2293</v>
      </c>
      <c r="I77" s="8" t="s">
        <v>2294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>
      <c r="A78" s="18" t="str">
        <f t="shared" si="6"/>
        <v>NODE_16</v>
      </c>
      <c r="B78" s="18">
        <f t="shared" si="7"/>
        <v>24</v>
      </c>
      <c r="C78" s="18" t="str">
        <f t="shared" si="5"/>
        <v>NODE_16_24</v>
      </c>
      <c r="D78" s="18"/>
      <c r="E78" s="18" t="str">
        <f>VLOOKUP(F78,Overview!$A$1:$B$28,2,FALSE)</f>
        <v>GuanYu</v>
      </c>
      <c r="F78" s="18" t="s">
        <v>7</v>
      </c>
      <c r="G78" s="21" t="s">
        <v>2295</v>
      </c>
      <c r="H78" s="21" t="s">
        <v>2296</v>
      </c>
      <c r="I78" s="8" t="s">
        <v>2297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>
      <c r="A79" s="18" t="str">
        <f t="shared" si="6"/>
        <v>NODE_16</v>
      </c>
      <c r="B79" s="18">
        <f t="shared" si="7"/>
        <v>25</v>
      </c>
      <c r="C79" s="18" t="str">
        <f t="shared" si="5"/>
        <v>NODE_16_25</v>
      </c>
      <c r="D79" s="18"/>
      <c r="E79" s="18" t="str">
        <f>VLOOKUP(F79,Overview!$A$1:$B$28,2,FALSE)</f>
        <v>XiahouDun</v>
      </c>
      <c r="F79" s="18" t="s">
        <v>24</v>
      </c>
      <c r="G79" s="21" t="s">
        <v>2298</v>
      </c>
      <c r="H79" s="21" t="s">
        <v>2299</v>
      </c>
      <c r="I79" s="8" t="s">
        <v>2300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>
      <c r="A80" s="18" t="str">
        <f t="shared" si="6"/>
        <v>NODE_16</v>
      </c>
      <c r="B80" s="18">
        <f t="shared" si="7"/>
        <v>26</v>
      </c>
      <c r="C80" s="18" t="str">
        <f t="shared" si="5"/>
        <v>NODE_16_26</v>
      </c>
      <c r="D80" s="18"/>
      <c r="E80" s="18" t="str">
        <f>VLOOKUP(F80,Overview!$A$1:$B$28,2,FALSE)</f>
        <v>XiahouYuan</v>
      </c>
      <c r="F80" s="18" t="s">
        <v>28</v>
      </c>
      <c r="G80" s="21" t="s">
        <v>2301</v>
      </c>
      <c r="H80" s="21" t="s">
        <v>2302</v>
      </c>
      <c r="I80" s="8" t="s">
        <v>2303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>
      <c r="A81" s="18" t="str">
        <f t="shared" si="6"/>
        <v>NODE_16</v>
      </c>
      <c r="B81" s="18">
        <f t="shared" si="7"/>
        <v>27</v>
      </c>
      <c r="C81" s="18" t="str">
        <f t="shared" si="5"/>
        <v>NODE_16_27</v>
      </c>
      <c r="D81" s="18"/>
      <c r="E81" s="18" t="str">
        <f>VLOOKUP(F81,Overview!$A$1:$B$28,2,FALSE)</f>
        <v>GuanYu</v>
      </c>
      <c r="F81" s="18" t="s">
        <v>7</v>
      </c>
      <c r="G81" s="21" t="s">
        <v>2304</v>
      </c>
      <c r="H81" s="21" t="s">
        <v>2304</v>
      </c>
      <c r="I81" s="8" t="s">
        <v>2305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>
      <c r="A82" s="18" t="str">
        <f t="shared" si="6"/>
        <v>NODE_16</v>
      </c>
      <c r="B82" s="18">
        <f t="shared" si="7"/>
        <v>28</v>
      </c>
      <c r="C82" s="18" t="str">
        <f t="shared" si="5"/>
        <v>NODE_16_28</v>
      </c>
      <c r="D82" s="18"/>
      <c r="E82" s="18" t="str">
        <f>VLOOKUP(F82,Overview!$A$1:$B$28,2,FALSE)</f>
        <v>ZhangLiao</v>
      </c>
      <c r="F82" s="18" t="s">
        <v>26</v>
      </c>
      <c r="G82" s="21" t="s">
        <v>2306</v>
      </c>
      <c r="H82" s="21" t="s">
        <v>2307</v>
      </c>
      <c r="I82" s="8" t="s">
        <v>2308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>
      <c r="A83" s="18" t="str">
        <f t="shared" si="6"/>
        <v>NODE_16</v>
      </c>
      <c r="B83" s="18">
        <f t="shared" si="7"/>
        <v>29</v>
      </c>
      <c r="C83" s="18" t="str">
        <f t="shared" si="5"/>
        <v>NODE_16_29</v>
      </c>
      <c r="D83" s="18"/>
      <c r="E83" s="18" t="str">
        <f>VLOOKUP(F83,Overview!$A$1:$B$28,2,FALSE)</f>
        <v>WenChou</v>
      </c>
      <c r="F83" s="18" t="s">
        <v>109</v>
      </c>
      <c r="G83" s="21" t="s">
        <v>2309</v>
      </c>
      <c r="H83" s="21" t="s">
        <v>2310</v>
      </c>
      <c r="I83" s="8" t="s">
        <v>2311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>
      <c r="A84" s="18" t="str">
        <f t="shared" si="6"/>
        <v>NODE_16</v>
      </c>
      <c r="B84" s="18">
        <f t="shared" si="7"/>
        <v>30</v>
      </c>
      <c r="C84" s="18" t="str">
        <f t="shared" si="5"/>
        <v>NODE_16_30</v>
      </c>
      <c r="D84" s="18"/>
      <c r="E84" s="18" t="str">
        <f>VLOOKUP(F84,Overview!$A$1:$B$28,2,FALSE)</f>
        <v>LiuBei</v>
      </c>
      <c r="F84" s="18" t="s">
        <v>1</v>
      </c>
      <c r="G84" s="21" t="s">
        <v>2304</v>
      </c>
      <c r="H84" s="21" t="s">
        <v>2304</v>
      </c>
      <c r="I84" s="8" t="s">
        <v>2305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>
      <c r="A85" s="18" t="str">
        <f t="shared" si="6"/>
        <v>NODE_16</v>
      </c>
      <c r="B85" s="18">
        <f t="shared" si="7"/>
        <v>31</v>
      </c>
      <c r="C85" s="18" t="str">
        <f t="shared" si="5"/>
        <v>NODE_16_31</v>
      </c>
      <c r="D85" s="18"/>
      <c r="E85" s="18" t="str">
        <f>VLOOKUP(F85,Overview!$A$1:$B$28,2,FALSE)</f>
        <v>LiuBei</v>
      </c>
      <c r="F85" s="18" t="s">
        <v>1</v>
      </c>
      <c r="G85" s="21" t="s">
        <v>2312</v>
      </c>
      <c r="H85" s="21" t="s">
        <v>2313</v>
      </c>
      <c r="I85" s="8" t="s">
        <v>2314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>
      <c r="A86" s="18" t="str">
        <f t="shared" si="6"/>
        <v>NODE_16</v>
      </c>
      <c r="B86" s="18">
        <f t="shared" si="7"/>
        <v>32</v>
      </c>
      <c r="C86" s="18" t="str">
        <f t="shared" si="5"/>
        <v>NODE_16_32</v>
      </c>
      <c r="D86" s="18"/>
      <c r="E86" s="18" t="str">
        <f>VLOOKUP(F86,Overview!$A$1:$B$28,2,FALSE)</f>
        <v>YuanShao</v>
      </c>
      <c r="F86" s="18" t="s">
        <v>95</v>
      </c>
      <c r="G86" s="21" t="s">
        <v>2315</v>
      </c>
      <c r="H86" s="21" t="s">
        <v>2316</v>
      </c>
      <c r="I86" s="8" t="s">
        <v>2317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>
      <c r="A87" s="18" t="str">
        <f t="shared" si="6"/>
        <v>NODE_16</v>
      </c>
      <c r="B87" s="18">
        <f t="shared" si="7"/>
        <v>33</v>
      </c>
      <c r="C87" s="18" t="str">
        <f t="shared" si="5"/>
        <v>NODE_16_33</v>
      </c>
      <c r="D87" s="18"/>
      <c r="E87" s="18" t="str">
        <f>VLOOKUP(F87,Overview!$A$1:$B$28,2,FALSE)</f>
        <v>WenChou</v>
      </c>
      <c r="F87" s="18" t="s">
        <v>109</v>
      </c>
      <c r="G87" s="21" t="s">
        <v>2318</v>
      </c>
      <c r="H87" s="21" t="s">
        <v>2319</v>
      </c>
      <c r="I87" s="8" t="s">
        <v>2320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>
      <c r="A88" s="18" t="str">
        <f t="shared" si="6"/>
        <v>NODE_16</v>
      </c>
      <c r="B88" s="18">
        <f t="shared" si="7"/>
        <v>34</v>
      </c>
      <c r="C88" s="18" t="str">
        <f t="shared" si="5"/>
        <v>NODE_16_34</v>
      </c>
      <c r="D88" s="18"/>
      <c r="E88" s="18" t="str">
        <f>VLOOKUP(F88,Overview!$A$1:$B$28,2,FALSE)</f>
        <v>WenChou</v>
      </c>
      <c r="F88" s="18" t="s">
        <v>109</v>
      </c>
      <c r="G88" s="21" t="s">
        <v>2321</v>
      </c>
      <c r="H88" s="21" t="s">
        <v>2322</v>
      </c>
      <c r="I88" s="8" t="s">
        <v>2323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>
      <c r="A89" s="18" t="str">
        <f t="shared" si="6"/>
        <v>NODE_16</v>
      </c>
      <c r="B89" s="18">
        <f t="shared" si="7"/>
        <v>35</v>
      </c>
      <c r="C89" s="18" t="str">
        <f t="shared" si="5"/>
        <v>NODE_16_35</v>
      </c>
      <c r="D89" s="18"/>
      <c r="E89" s="18" t="str">
        <f>VLOOKUP(F89,Overview!$A$1:$B$28,2,FALSE)</f>
        <v>WenChou</v>
      </c>
      <c r="F89" s="18" t="s">
        <v>109</v>
      </c>
      <c r="G89" s="21" t="s">
        <v>2324</v>
      </c>
      <c r="H89" s="21" t="s">
        <v>2325</v>
      </c>
      <c r="I89" s="8" t="s">
        <v>2326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>
      <c r="A90" s="18" t="str">
        <f t="shared" si="6"/>
        <v>NODE_16</v>
      </c>
      <c r="B90" s="18">
        <f t="shared" si="7"/>
        <v>36</v>
      </c>
      <c r="C90" s="18" t="str">
        <f t="shared" si="5"/>
        <v>NODE_16_36</v>
      </c>
      <c r="D90" s="18"/>
      <c r="E90" s="18" t="str">
        <f>VLOOKUP(F90,Overview!$A$1:$B$28,2,FALSE)</f>
        <v>GuanYu</v>
      </c>
      <c r="F90" s="18" t="s">
        <v>7</v>
      </c>
      <c r="G90" s="21" t="s">
        <v>2304</v>
      </c>
      <c r="H90" s="21" t="s">
        <v>2304</v>
      </c>
      <c r="I90" s="8" t="s">
        <v>2305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>
      <c r="A91" s="18" t="str">
        <f t="shared" si="6"/>
        <v>NODE_16</v>
      </c>
      <c r="B91" s="18">
        <f t="shared" si="7"/>
        <v>37</v>
      </c>
      <c r="C91" s="18" t="str">
        <f t="shared" si="5"/>
        <v>NODE_16_37</v>
      </c>
      <c r="D91" s="18"/>
      <c r="E91" s="18" t="str">
        <f>VLOOKUP(F91,Overview!$A$1:$B$28,2,FALSE)</f>
        <v>WenChou</v>
      </c>
      <c r="F91" s="18" t="s">
        <v>109</v>
      </c>
      <c r="G91" s="21" t="s">
        <v>2327</v>
      </c>
      <c r="H91" s="21" t="s">
        <v>2328</v>
      </c>
      <c r="I91" s="8" t="s">
        <v>2329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>
      <c r="A92" s="18" t="str">
        <f t="shared" si="6"/>
        <v>NODE_16</v>
      </c>
      <c r="B92" s="18">
        <f t="shared" si="7"/>
        <v>38</v>
      </c>
      <c r="C92" s="18" t="str">
        <f t="shared" si="5"/>
        <v>NODE_16_38</v>
      </c>
      <c r="D92" s="18"/>
      <c r="E92" s="18" t="str">
        <f>VLOOKUP(F92,Overview!$A$1:$B$28,2,FALSE)</f>
        <v>WenChou</v>
      </c>
      <c r="F92" s="18" t="s">
        <v>109</v>
      </c>
      <c r="G92" s="21" t="s">
        <v>2330</v>
      </c>
      <c r="H92" s="21" t="s">
        <v>2331</v>
      </c>
      <c r="I92" s="8" t="s">
        <v>2332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>
      <c r="A93" s="18" t="str">
        <f t="shared" si="6"/>
        <v>NODE_16</v>
      </c>
      <c r="B93" s="18">
        <f t="shared" si="7"/>
        <v>39</v>
      </c>
      <c r="C93" s="18" t="str">
        <f t="shared" si="5"/>
        <v>NODE_16_39</v>
      </c>
      <c r="D93" s="18"/>
      <c r="E93" s="18" t="str">
        <f>VLOOKUP(F93,Overview!$A$1:$B$28,2,FALSE)</f>
        <v>GuanYu</v>
      </c>
      <c r="F93" s="18" t="s">
        <v>7</v>
      </c>
      <c r="G93" s="21" t="s">
        <v>2333</v>
      </c>
      <c r="H93" s="21" t="s">
        <v>2334</v>
      </c>
      <c r="I93" s="8" t="s">
        <v>2335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>
      <c r="A94" s="18" t="str">
        <f t="shared" si="6"/>
        <v>NODE_16</v>
      </c>
      <c r="B94" s="18">
        <f t="shared" si="7"/>
        <v>40</v>
      </c>
      <c r="C94" s="18" t="str">
        <f t="shared" si="5"/>
        <v>NODE_16_40</v>
      </c>
      <c r="D94" s="18"/>
      <c r="E94" s="18" t="str">
        <f>VLOOKUP(F94,Overview!$A$1:$B$28,2,FALSE)</f>
        <v>WenChou</v>
      </c>
      <c r="F94" s="18" t="s">
        <v>109</v>
      </c>
      <c r="G94" s="21" t="s">
        <v>2336</v>
      </c>
      <c r="H94" s="21" t="s">
        <v>2337</v>
      </c>
      <c r="I94" s="8" t="s">
        <v>2338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>
      <c r="A95" s="18" t="str">
        <f t="shared" si="6"/>
        <v>NODE_16</v>
      </c>
      <c r="B95" s="18">
        <f t="shared" si="7"/>
        <v>41</v>
      </c>
      <c r="C95" s="18" t="str">
        <f t="shared" si="5"/>
        <v>NODE_16_41</v>
      </c>
      <c r="D95" s="18"/>
      <c r="E95" s="18" t="str">
        <f>VLOOKUP(F95,Overview!$A$1:$B$28,2,FALSE)</f>
        <v>YuanShao</v>
      </c>
      <c r="F95" s="18" t="s">
        <v>95</v>
      </c>
      <c r="G95" s="21" t="s">
        <v>2339</v>
      </c>
      <c r="H95" s="21" t="s">
        <v>2340</v>
      </c>
      <c r="I95" s="8" t="s">
        <v>2341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>
      <c r="A96" s="18" t="str">
        <f t="shared" si="6"/>
        <v>NODE_16</v>
      </c>
      <c r="B96" s="18">
        <f t="shared" si="7"/>
        <v>42</v>
      </c>
      <c r="C96" s="18" t="str">
        <f t="shared" si="5"/>
        <v>NODE_16_42</v>
      </c>
      <c r="D96" s="18"/>
      <c r="E96" s="18" t="str">
        <f>VLOOKUP(F96,Overview!$A$1:$B$28,2,FALSE)</f>
        <v>LiuBei</v>
      </c>
      <c r="F96" s="18" t="s">
        <v>1</v>
      </c>
      <c r="G96" s="21" t="s">
        <v>2342</v>
      </c>
      <c r="H96" s="21" t="s">
        <v>2343</v>
      </c>
      <c r="I96" s="8" t="s">
        <v>2344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>
      <c r="A97" s="18" t="str">
        <f t="shared" si="6"/>
        <v>NODE_16</v>
      </c>
      <c r="B97" s="18">
        <f t="shared" si="7"/>
        <v>43</v>
      </c>
      <c r="C97" s="18" t="str">
        <f t="shared" si="5"/>
        <v>NODE_16_43</v>
      </c>
      <c r="D97" s="18"/>
      <c r="E97" s="18" t="str">
        <f>VLOOKUP(F97,Overview!$A$1:$B$28,2,FALSE)</f>
        <v>YuanShao</v>
      </c>
      <c r="F97" s="18" t="s">
        <v>95</v>
      </c>
      <c r="G97" s="21" t="s">
        <v>2345</v>
      </c>
      <c r="H97" s="21" t="s">
        <v>2346</v>
      </c>
      <c r="I97" s="8" t="s">
        <v>2347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>
      <c r="A98" s="18" t="str">
        <f t="shared" si="6"/>
        <v>NODE_16</v>
      </c>
      <c r="B98" s="18">
        <f t="shared" si="7"/>
        <v>44</v>
      </c>
      <c r="C98" s="18" t="str">
        <f t="shared" si="5"/>
        <v>NODE_16_44</v>
      </c>
      <c r="D98" s="18"/>
      <c r="E98" s="18" t="str">
        <f>VLOOKUP(F98,Overview!$A$1:$B$28,2,FALSE)</f>
        <v>GuanYu</v>
      </c>
      <c r="F98" s="18" t="s">
        <v>7</v>
      </c>
      <c r="G98" s="21" t="s">
        <v>2348</v>
      </c>
      <c r="H98" s="21" t="s">
        <v>2349</v>
      </c>
      <c r="I98" s="8" t="s">
        <v>2193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>
      <c r="A99" s="18" t="str">
        <f t="shared" si="6"/>
        <v>NODE_16</v>
      </c>
      <c r="B99" s="18">
        <f t="shared" si="7"/>
        <v>45</v>
      </c>
      <c r="C99" s="18" t="str">
        <f t="shared" si="5"/>
        <v>NODE_16_45</v>
      </c>
      <c r="D99" s="18"/>
      <c r="E99" s="18" t="str">
        <f>VLOOKUP(F99,Overview!$A$1:$B$28,2,FALSE)</f>
        <v>GuanYu</v>
      </c>
      <c r="F99" s="18" t="s">
        <v>7</v>
      </c>
      <c r="G99" s="21" t="s">
        <v>2145</v>
      </c>
      <c r="H99" s="21" t="s">
        <v>2146</v>
      </c>
      <c r="I99" s="8" t="s">
        <v>2148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>
      <c r="A100" s="18" t="str">
        <f t="shared" si="6"/>
        <v>NODE_16</v>
      </c>
      <c r="B100" s="18">
        <f t="shared" si="7"/>
        <v>46</v>
      </c>
      <c r="C100" s="18" t="str">
        <f t="shared" si="5"/>
        <v>NODE_16_46</v>
      </c>
      <c r="D100" s="18"/>
      <c r="E100" s="18" t="str">
        <f>VLOOKUP(F100,Overview!$A$1:$B$28,2,FALSE)</f>
        <v>GuanYu</v>
      </c>
      <c r="F100" s="18" t="s">
        <v>7</v>
      </c>
      <c r="G100" s="21" t="s">
        <v>2151</v>
      </c>
      <c r="H100" s="21" t="s">
        <v>2152</v>
      </c>
      <c r="I100" s="8" t="s">
        <v>2153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>
      <c r="A101" s="18" t="str">
        <f t="shared" si="6"/>
        <v>NODE_16</v>
      </c>
      <c r="B101" s="18">
        <f t="shared" si="7"/>
        <v>47</v>
      </c>
      <c r="C101" s="18" t="str">
        <f t="shared" si="5"/>
        <v>NODE_16_47_1</v>
      </c>
      <c r="D101" s="18">
        <v>1</v>
      </c>
      <c r="E101" s="18" t="str">
        <f>VLOOKUP(F101,Overview!$A$1:$B$28,2,FALSE)</f>
        <v>LiuBei</v>
      </c>
      <c r="F101" s="18" t="s">
        <v>1</v>
      </c>
      <c r="G101" s="21" t="s">
        <v>2350</v>
      </c>
      <c r="H101" s="21" t="s">
        <v>2351</v>
      </c>
      <c r="I101" s="8" t="s">
        <v>2352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>
      <c r="A102" s="18" t="str">
        <f t="shared" si="6"/>
        <v>NODE_16</v>
      </c>
      <c r="B102" s="18">
        <f t="shared" si="7"/>
        <v>48</v>
      </c>
      <c r="C102" s="18" t="str">
        <f t="shared" si="5"/>
        <v>NODE_16_48_1</v>
      </c>
      <c r="D102" s="18">
        <v>1</v>
      </c>
      <c r="E102" s="18" t="str">
        <f>VLOOKUP(F102,Overview!$A$1:$B$28,2,FALSE)</f>
        <v>LiuBei</v>
      </c>
      <c r="F102" s="18" t="s">
        <v>1</v>
      </c>
      <c r="G102" s="21" t="s">
        <v>2353</v>
      </c>
      <c r="H102" s="21" t="s">
        <v>2354</v>
      </c>
      <c r="I102" s="8" t="s">
        <v>2355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>
      <c r="A103" s="18" t="str">
        <f t="shared" si="6"/>
        <v>NODE_16</v>
      </c>
      <c r="B103" s="18">
        <f t="shared" si="7"/>
        <v>49</v>
      </c>
      <c r="C103" s="18" t="str">
        <f t="shared" si="5"/>
        <v>NODE_16_49_1</v>
      </c>
      <c r="D103" s="18">
        <v>1</v>
      </c>
      <c r="E103" s="18" t="str">
        <f>VLOOKUP(F103,Overview!$A$1:$B$28,2,FALSE)</f>
        <v>YuanShao</v>
      </c>
      <c r="F103" s="18" t="s">
        <v>95</v>
      </c>
      <c r="G103" s="21" t="s">
        <v>2304</v>
      </c>
      <c r="H103" s="21" t="s">
        <v>2304</v>
      </c>
      <c r="I103" s="8" t="s">
        <v>2305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>
      <c r="A104" s="18" t="str">
        <f t="shared" si="6"/>
        <v>NODE_16</v>
      </c>
      <c r="B104" s="18">
        <f t="shared" si="7"/>
        <v>50</v>
      </c>
      <c r="C104" s="18" t="str">
        <f t="shared" si="5"/>
        <v>NODE_16_50_1</v>
      </c>
      <c r="D104" s="18">
        <v>1</v>
      </c>
      <c r="E104" s="18" t="str">
        <f>VLOOKUP(F104,Overview!$A$1:$B$28,2,FALSE)</f>
        <v>LiuBei</v>
      </c>
      <c r="F104" s="18" t="s">
        <v>1</v>
      </c>
      <c r="G104" s="21" t="s">
        <v>2356</v>
      </c>
      <c r="H104" s="21" t="s">
        <v>2357</v>
      </c>
      <c r="I104" s="8" t="s">
        <v>2358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>
      <c r="A105" s="18" t="str">
        <f t="shared" si="6"/>
        <v>NODE_16</v>
      </c>
      <c r="B105" s="18">
        <f t="shared" si="7"/>
        <v>51</v>
      </c>
      <c r="C105" s="18" t="str">
        <f t="shared" si="5"/>
        <v>NODE_16_51_1</v>
      </c>
      <c r="D105" s="18">
        <v>1</v>
      </c>
      <c r="E105" s="18" t="str">
        <f>VLOOKUP(F105,Overview!$A$1:$B$28,2,FALSE)</f>
        <v>LiuBei</v>
      </c>
      <c r="F105" s="18" t="s">
        <v>1</v>
      </c>
      <c r="G105" s="21" t="s">
        <v>2359</v>
      </c>
      <c r="H105" s="21" t="s">
        <v>2360</v>
      </c>
      <c r="I105" s="8" t="s">
        <v>2361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>
      <c r="A106" s="18" t="str">
        <f t="shared" si="6"/>
        <v>NODE_16</v>
      </c>
      <c r="B106" s="18">
        <f t="shared" si="7"/>
        <v>52</v>
      </c>
      <c r="C106" s="18" t="str">
        <f t="shared" si="5"/>
        <v>NODE_16_52_1</v>
      </c>
      <c r="D106" s="18">
        <v>1</v>
      </c>
      <c r="E106" s="18" t="str">
        <f>VLOOKUP(F106,Overview!$A$1:$B$28,2,FALSE)</f>
        <v>YuanShao</v>
      </c>
      <c r="F106" s="18" t="s">
        <v>95</v>
      </c>
      <c r="G106" s="21" t="s">
        <v>2362</v>
      </c>
      <c r="H106" s="21" t="s">
        <v>2363</v>
      </c>
      <c r="I106" s="8" t="s">
        <v>2364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>
      <c r="A107" s="18" t="str">
        <f t="shared" si="6"/>
        <v>NODE_16</v>
      </c>
      <c r="B107" s="18">
        <f t="shared" si="7"/>
        <v>53</v>
      </c>
      <c r="C107" s="18" t="str">
        <f t="shared" si="5"/>
        <v>NODE_16_53_1</v>
      </c>
      <c r="D107" s="18">
        <v>1</v>
      </c>
      <c r="E107" s="18" t="str">
        <f>VLOOKUP(F107,Overview!$A$1:$B$28,2,FALSE)</f>
        <v>YuanShao</v>
      </c>
      <c r="F107" s="18" t="s">
        <v>95</v>
      </c>
      <c r="G107" s="21" t="s">
        <v>2365</v>
      </c>
      <c r="H107" s="21" t="s">
        <v>2366</v>
      </c>
      <c r="I107" s="8" t="s">
        <v>2367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>
      <c r="A108" s="18" t="str">
        <f t="shared" si="6"/>
        <v>NODE_16</v>
      </c>
      <c r="B108" s="18">
        <f t="shared" si="7"/>
        <v>54</v>
      </c>
      <c r="C108" s="18" t="str">
        <f t="shared" si="5"/>
        <v>NODE_16_54_1</v>
      </c>
      <c r="D108" s="18">
        <v>1</v>
      </c>
      <c r="E108" s="18" t="str">
        <f>VLOOKUP(F108,Overview!$A$1:$B$28,2,FALSE)</f>
        <v>LiuBei</v>
      </c>
      <c r="F108" s="18" t="s">
        <v>1</v>
      </c>
      <c r="G108" s="21" t="s">
        <v>2368</v>
      </c>
      <c r="H108" s="21" t="s">
        <v>2369</v>
      </c>
      <c r="I108" s="8" t="s">
        <v>2370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>
      <c r="A109" s="18" t="str">
        <f t="shared" si="6"/>
        <v>NODE_16</v>
      </c>
      <c r="B109" s="18">
        <f t="shared" si="7"/>
        <v>55</v>
      </c>
      <c r="C109" s="18" t="str">
        <f t="shared" si="5"/>
        <v>NODE_16_55_2</v>
      </c>
      <c r="D109" s="18">
        <v>2</v>
      </c>
      <c r="E109" s="18" t="str">
        <f>VLOOKUP(F109,Overview!$A$1:$B$28,2,FALSE)</f>
        <v>YuanShao</v>
      </c>
      <c r="F109" s="18" t="s">
        <v>95</v>
      </c>
      <c r="G109" s="21" t="s">
        <v>2304</v>
      </c>
      <c r="H109" s="21" t="s">
        <v>2304</v>
      </c>
      <c r="I109" s="8" t="s">
        <v>2305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>
      <c r="A110" s="18" t="str">
        <f t="shared" si="6"/>
        <v>NODE_16</v>
      </c>
      <c r="B110" s="18">
        <f t="shared" si="7"/>
        <v>56</v>
      </c>
      <c r="C110" s="18" t="str">
        <f t="shared" si="5"/>
        <v>NODE_16_56_2</v>
      </c>
      <c r="D110" s="18">
        <v>2</v>
      </c>
      <c r="E110" s="18" t="str">
        <f>VLOOKUP(F110,Overview!$A$1:$B$28,2,FALSE)</f>
        <v>LiuBei</v>
      </c>
      <c r="F110" s="18" t="s">
        <v>1</v>
      </c>
      <c r="G110" s="21" t="s">
        <v>2371</v>
      </c>
      <c r="H110" s="21" t="s">
        <v>2372</v>
      </c>
      <c r="I110" s="8" t="s">
        <v>2373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>
      <c r="A111" s="18" t="str">
        <f t="shared" si="6"/>
        <v>NODE_16</v>
      </c>
      <c r="B111" s="18">
        <f t="shared" si="7"/>
        <v>57</v>
      </c>
      <c r="C111" s="18" t="str">
        <f t="shared" si="5"/>
        <v>NODE_16_57_2</v>
      </c>
      <c r="D111" s="18">
        <v>2</v>
      </c>
      <c r="E111" s="18" t="str">
        <f>VLOOKUP(F111,Overview!$A$1:$B$28,2,FALSE)</f>
        <v>YuanShao</v>
      </c>
      <c r="F111" s="18" t="s">
        <v>95</v>
      </c>
      <c r="G111" s="21" t="s">
        <v>2374</v>
      </c>
      <c r="H111" s="21" t="s">
        <v>2375</v>
      </c>
      <c r="I111" s="8" t="s">
        <v>2376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>
      <c r="A112" s="18" t="str">
        <f t="shared" si="6"/>
        <v>NODE_16</v>
      </c>
      <c r="B112" s="18">
        <f t="shared" si="7"/>
        <v>58</v>
      </c>
      <c r="C112" s="18" t="str">
        <f t="shared" si="5"/>
        <v>NODE_16_58_2</v>
      </c>
      <c r="D112" s="18">
        <v>2</v>
      </c>
      <c r="E112" s="18" t="str">
        <f>VLOOKUP(F112,Overview!$A$1:$B$28,2,FALSE)</f>
        <v>LiuBei</v>
      </c>
      <c r="F112" s="18" t="s">
        <v>1</v>
      </c>
      <c r="G112" s="21" t="s">
        <v>2377</v>
      </c>
      <c r="H112" s="21" t="s">
        <v>2378</v>
      </c>
      <c r="I112" s="8" t="s">
        <v>2379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>
      <c r="A113" s="18" t="str">
        <f t="shared" si="6"/>
        <v>NODE_16</v>
      </c>
      <c r="B113" s="18">
        <f t="shared" si="7"/>
        <v>59</v>
      </c>
      <c r="C113" s="18" t="str">
        <f t="shared" si="5"/>
        <v>NODE_16_59_2</v>
      </c>
      <c r="D113" s="18">
        <v>2</v>
      </c>
      <c r="E113" s="18" t="str">
        <f>VLOOKUP(F113,Overview!$A$1:$B$28,2,FALSE)</f>
        <v>YuanShao</v>
      </c>
      <c r="F113" s="18" t="s">
        <v>95</v>
      </c>
      <c r="G113" s="21" t="s">
        <v>2380</v>
      </c>
      <c r="H113" s="21" t="s">
        <v>2381</v>
      </c>
      <c r="I113" s="8" t="s">
        <v>2382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>
      <c r="A114" s="18" t="str">
        <f t="shared" si="6"/>
        <v>NODE_16</v>
      </c>
      <c r="B114" s="18">
        <f t="shared" si="7"/>
        <v>60</v>
      </c>
      <c r="C114" s="18" t="str">
        <f t="shared" si="5"/>
        <v>NODE_16_60_2</v>
      </c>
      <c r="D114" s="18">
        <v>2</v>
      </c>
      <c r="E114" s="18" t="str">
        <f>VLOOKUP(F114,Overview!$A$1:$B$28,2,FALSE)</f>
        <v>LiuBei</v>
      </c>
      <c r="F114" s="18" t="s">
        <v>1</v>
      </c>
      <c r="G114" s="21" t="s">
        <v>2383</v>
      </c>
      <c r="H114" s="21" t="s">
        <v>2384</v>
      </c>
      <c r="I114" s="8" t="s">
        <v>2385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>
      <c r="A115" s="18" t="str">
        <f t="shared" si="6"/>
        <v>NODE_16</v>
      </c>
      <c r="B115" s="18">
        <f t="shared" si="7"/>
        <v>61</v>
      </c>
      <c r="C115" s="18" t="str">
        <f t="shared" si="5"/>
        <v>NODE_16_61_2</v>
      </c>
      <c r="D115" s="18">
        <v>2</v>
      </c>
      <c r="E115" s="18" t="str">
        <f>VLOOKUP(F115,Overview!$A$1:$B$28,2,FALSE)</f>
        <v>YuanShao</v>
      </c>
      <c r="F115" s="18" t="s">
        <v>95</v>
      </c>
      <c r="G115" s="21" t="s">
        <v>2386</v>
      </c>
      <c r="H115" s="21" t="s">
        <v>2387</v>
      </c>
      <c r="I115" s="8" t="s">
        <v>2388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>
      <c r="A116" s="18" t="str">
        <f t="shared" si="6"/>
        <v>NODE_16</v>
      </c>
      <c r="B116" s="18">
        <f t="shared" si="7"/>
        <v>62</v>
      </c>
      <c r="C116" s="18" t="str">
        <f t="shared" si="5"/>
        <v>NODE_16_62_2</v>
      </c>
      <c r="D116" s="18">
        <v>2</v>
      </c>
      <c r="E116" s="18" t="str">
        <f>VLOOKUP(F116,Overview!$A$1:$B$28,2,FALSE)</f>
        <v>LiuBei</v>
      </c>
      <c r="F116" s="18" t="s">
        <v>1</v>
      </c>
      <c r="G116" s="21" t="s">
        <v>2389</v>
      </c>
      <c r="H116" s="21" t="s">
        <v>2390</v>
      </c>
      <c r="I116" s="8" t="s">
        <v>2391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>
      <c r="A117" s="18" t="str">
        <f t="shared" si="6"/>
        <v>NODE_16</v>
      </c>
      <c r="B117" s="18">
        <f t="shared" si="7"/>
        <v>63</v>
      </c>
      <c r="C117" s="18" t="str">
        <f t="shared" si="5"/>
        <v>NODE_16_63_2</v>
      </c>
      <c r="D117" s="18">
        <v>2</v>
      </c>
      <c r="E117" s="18" t="str">
        <f>VLOOKUP(F117,Overview!$A$1:$B$28,2,FALSE)</f>
        <v>YuanShao</v>
      </c>
      <c r="F117" s="18" t="s">
        <v>95</v>
      </c>
      <c r="G117" s="21" t="s">
        <v>2392</v>
      </c>
      <c r="H117" s="21" t="s">
        <v>2393</v>
      </c>
      <c r="I117" s="8" t="s">
        <v>2394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>
      <c r="A118" s="18" t="str">
        <f t="shared" si="6"/>
        <v>NODE_16</v>
      </c>
      <c r="B118" s="18">
        <f t="shared" si="7"/>
        <v>64</v>
      </c>
      <c r="C118" s="18" t="str">
        <f t="shared" si="5"/>
        <v>NODE_16_64_2</v>
      </c>
      <c r="D118" s="18">
        <v>2</v>
      </c>
      <c r="E118" s="18" t="str">
        <f>VLOOKUP(F118,Overview!$A$1:$B$28,2,FALSE)</f>
        <v>LiuBei</v>
      </c>
      <c r="F118" s="18" t="s">
        <v>1</v>
      </c>
      <c r="G118" s="21" t="s">
        <v>2395</v>
      </c>
      <c r="H118" s="21" t="s">
        <v>2396</v>
      </c>
      <c r="I118" s="8" t="s">
        <v>2397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>
      <c r="A119" s="18" t="str">
        <f t="shared" si="6"/>
        <v>NODE_16</v>
      </c>
      <c r="B119" s="18">
        <f t="shared" si="7"/>
        <v>65</v>
      </c>
      <c r="C119" s="18" t="str">
        <f t="shared" si="5"/>
        <v>NODE_16_65_2</v>
      </c>
      <c r="D119" s="18">
        <v>2</v>
      </c>
      <c r="E119" s="18" t="str">
        <f>VLOOKUP(F119,Overview!$A$1:$B$28,2,FALSE)</f>
        <v>GuanYu</v>
      </c>
      <c r="F119" s="18" t="s">
        <v>7</v>
      </c>
      <c r="G119" s="21" t="s">
        <v>2398</v>
      </c>
      <c r="H119" s="21" t="s">
        <v>2399</v>
      </c>
      <c r="I119" s="8" t="s">
        <v>2400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>
      <c r="A120" s="18"/>
      <c r="B120" s="18"/>
      <c r="C120" s="18"/>
      <c r="D120" s="18"/>
      <c r="E120" s="18"/>
      <c r="F120" s="18"/>
      <c r="G120" s="21"/>
      <c r="H120" s="21"/>
      <c r="I120" s="18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>
      <c r="A121" s="18" t="s">
        <v>2401</v>
      </c>
      <c r="B121" s="18">
        <v>0</v>
      </c>
      <c r="C121" s="18" t="str">
        <f t="shared" ref="C121:C159" si="8">CONCATENATE(A121, "_", B121, IF(D121&lt;&gt;"", "_"&amp;D121, ""))</f>
        <v>NODE_27_0</v>
      </c>
      <c r="D121" s="18"/>
      <c r="E121" s="18" t="str">
        <f>VLOOKUP(F121,Overview!$A$1:$B$28,2,FALSE)</f>
        <v>GuanYu</v>
      </c>
      <c r="F121" s="18" t="s">
        <v>7</v>
      </c>
      <c r="G121" s="21" t="s">
        <v>2402</v>
      </c>
      <c r="H121" s="21" t="s">
        <v>2403</v>
      </c>
      <c r="I121" s="8" t="s">
        <v>2404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>
      <c r="A122" s="18" t="s">
        <v>2401</v>
      </c>
      <c r="B122" s="18">
        <f t="shared" ref="B122:B159" si="9">B121+1</f>
        <v>1</v>
      </c>
      <c r="C122" s="18" t="str">
        <f t="shared" si="8"/>
        <v>NODE_27_1</v>
      </c>
      <c r="D122" s="18"/>
      <c r="E122" s="18" t="str">
        <f>VLOOKUP(F122,Overview!$A$1:$B$28,2,FALSE)</f>
        <v>ZhangLiao</v>
      </c>
      <c r="F122" s="18" t="s">
        <v>26</v>
      </c>
      <c r="G122" s="21" t="s">
        <v>2405</v>
      </c>
      <c r="H122" s="21" t="s">
        <v>2406</v>
      </c>
      <c r="I122" s="8" t="s">
        <v>2407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>
      <c r="A123" s="18" t="s">
        <v>2401</v>
      </c>
      <c r="B123" s="18">
        <f t="shared" si="9"/>
        <v>2</v>
      </c>
      <c r="C123" s="18" t="str">
        <f t="shared" si="8"/>
        <v>NODE_27_2</v>
      </c>
      <c r="D123" s="18"/>
      <c r="E123" s="18" t="str">
        <f>VLOOKUP(F123,Overview!$A$1:$B$28,2,FALSE)</f>
        <v>GuanYu</v>
      </c>
      <c r="F123" s="18" t="s">
        <v>7</v>
      </c>
      <c r="G123" s="21" t="s">
        <v>2408</v>
      </c>
      <c r="H123" s="21" t="s">
        <v>2409</v>
      </c>
      <c r="I123" s="8" t="s">
        <v>2410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>
      <c r="A124" s="18" t="s">
        <v>2401</v>
      </c>
      <c r="B124" s="18">
        <f t="shared" si="9"/>
        <v>3</v>
      </c>
      <c r="C124" s="18" t="str">
        <f t="shared" si="8"/>
        <v>NODE_27_3</v>
      </c>
      <c r="D124" s="18"/>
      <c r="E124" s="18" t="str">
        <f>VLOOKUP(F124,Overview!$A$1:$B$28,2,FALSE)</f>
        <v>GuanYu</v>
      </c>
      <c r="F124" s="18" t="s">
        <v>7</v>
      </c>
      <c r="G124" s="21" t="s">
        <v>2411</v>
      </c>
      <c r="H124" s="21" t="s">
        <v>2412</v>
      </c>
      <c r="I124" s="8" t="s">
        <v>2413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>
      <c r="A125" s="18" t="s">
        <v>2401</v>
      </c>
      <c r="B125" s="18">
        <f t="shared" si="9"/>
        <v>4</v>
      </c>
      <c r="C125" s="18" t="str">
        <f t="shared" si="8"/>
        <v>NODE_27_4</v>
      </c>
      <c r="D125" s="18"/>
      <c r="E125" s="18" t="str">
        <f>VLOOKUP(F125,Overview!$A$1:$B$28,2,FALSE)</f>
        <v>GuanYu</v>
      </c>
      <c r="F125" s="18" t="s">
        <v>7</v>
      </c>
      <c r="G125" s="21" t="s">
        <v>2414</v>
      </c>
      <c r="H125" s="21" t="s">
        <v>2415</v>
      </c>
      <c r="I125" s="8" t="s">
        <v>2416</v>
      </c>
      <c r="J125" s="23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>
      <c r="A126" s="18" t="s">
        <v>2401</v>
      </c>
      <c r="B126" s="18">
        <f t="shared" si="9"/>
        <v>5</v>
      </c>
      <c r="C126" s="18" t="str">
        <f t="shared" si="8"/>
        <v>NODE_27_5</v>
      </c>
      <c r="D126" s="18"/>
      <c r="E126" s="18" t="str">
        <f>VLOOKUP(F126,Overview!$A$1:$B$28,2,FALSE)</f>
        <v>ZhangLiao</v>
      </c>
      <c r="F126" s="18" t="s">
        <v>26</v>
      </c>
      <c r="G126" s="21" t="s">
        <v>2417</v>
      </c>
      <c r="H126" s="21" t="s">
        <v>2418</v>
      </c>
      <c r="I126" s="8" t="s">
        <v>2419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>
      <c r="A127" s="18" t="s">
        <v>2401</v>
      </c>
      <c r="B127" s="18">
        <f t="shared" si="9"/>
        <v>6</v>
      </c>
      <c r="C127" s="18" t="str">
        <f t="shared" si="8"/>
        <v>NODE_27_6</v>
      </c>
      <c r="D127" s="18"/>
      <c r="E127" s="18" t="str">
        <f>VLOOKUP(F127,Overview!$A$1:$B$28,2,FALSE)</f>
        <v>CaoCao</v>
      </c>
      <c r="F127" s="18" t="s">
        <v>20</v>
      </c>
      <c r="G127" s="21" t="s">
        <v>2420</v>
      </c>
      <c r="H127" s="21" t="s">
        <v>2421</v>
      </c>
      <c r="I127" s="8" t="s">
        <v>2422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>
      <c r="A128" s="18" t="s">
        <v>2401</v>
      </c>
      <c r="B128" s="18">
        <f t="shared" si="9"/>
        <v>7</v>
      </c>
      <c r="C128" s="18" t="str">
        <f t="shared" si="8"/>
        <v>NODE_27_7</v>
      </c>
      <c r="D128" s="18"/>
      <c r="E128" s="18" t="str">
        <f>VLOOKUP(F128,Overview!$A$1:$B$28,2,FALSE)</f>
        <v>CaoCao</v>
      </c>
      <c r="F128" s="18" t="s">
        <v>20</v>
      </c>
      <c r="G128" s="21" t="s">
        <v>2423</v>
      </c>
      <c r="H128" s="21" t="s">
        <v>2424</v>
      </c>
      <c r="I128" s="8" t="s">
        <v>2425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>
      <c r="A129" s="18" t="s">
        <v>2401</v>
      </c>
      <c r="B129" s="18">
        <f t="shared" si="9"/>
        <v>8</v>
      </c>
      <c r="C129" s="18" t="str">
        <f t="shared" si="8"/>
        <v>NODE_27_8</v>
      </c>
      <c r="D129" s="18"/>
      <c r="E129" s="18" t="str">
        <f>VLOOKUP(F129,Overview!$A$1:$B$28,2,FALSE)</f>
        <v>GuanYu</v>
      </c>
      <c r="F129" s="18" t="s">
        <v>7</v>
      </c>
      <c r="G129" s="21" t="s">
        <v>2426</v>
      </c>
      <c r="H129" s="21" t="s">
        <v>2427</v>
      </c>
      <c r="I129" s="8" t="s">
        <v>2428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>
      <c r="A130" s="18" t="s">
        <v>2401</v>
      </c>
      <c r="B130" s="18">
        <f t="shared" si="9"/>
        <v>9</v>
      </c>
      <c r="C130" s="18" t="str">
        <f t="shared" si="8"/>
        <v>NODE_27_9</v>
      </c>
      <c r="D130" s="18"/>
      <c r="E130" s="18" t="str">
        <f>VLOOKUP(F130,Overview!$A$1:$B$28,2,FALSE)</f>
        <v>GuanYu</v>
      </c>
      <c r="F130" s="18" t="s">
        <v>7</v>
      </c>
      <c r="G130" s="21" t="s">
        <v>2429</v>
      </c>
      <c r="H130" s="21" t="s">
        <v>2430</v>
      </c>
      <c r="I130" s="8" t="s">
        <v>2431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>
      <c r="A131" s="18" t="s">
        <v>2401</v>
      </c>
      <c r="B131" s="18">
        <f t="shared" si="9"/>
        <v>10</v>
      </c>
      <c r="C131" s="18" t="str">
        <f t="shared" si="8"/>
        <v>NODE_27_10</v>
      </c>
      <c r="D131" s="18"/>
      <c r="E131" s="18" t="str">
        <f>VLOOKUP(F131,Overview!$A$1:$B$28,2,FALSE)</f>
        <v>CaoCao</v>
      </c>
      <c r="F131" s="18" t="s">
        <v>20</v>
      </c>
      <c r="G131" s="21" t="s">
        <v>2432</v>
      </c>
      <c r="H131" s="21" t="s">
        <v>2433</v>
      </c>
      <c r="I131" s="8" t="s">
        <v>2434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>
      <c r="A132" s="18" t="s">
        <v>2401</v>
      </c>
      <c r="B132" s="18">
        <f t="shared" si="9"/>
        <v>11</v>
      </c>
      <c r="C132" s="18" t="str">
        <f t="shared" si="8"/>
        <v>NODE_27_11</v>
      </c>
      <c r="D132" s="18"/>
      <c r="E132" s="18" t="str">
        <f>VLOOKUP(F132,Overview!$A$1:$B$28,2,FALSE)</f>
        <v>GuanYu</v>
      </c>
      <c r="F132" s="18" t="s">
        <v>7</v>
      </c>
      <c r="G132" s="21" t="s">
        <v>2437</v>
      </c>
      <c r="H132" s="21" t="s">
        <v>2438</v>
      </c>
      <c r="I132" s="8" t="s">
        <v>2439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>
      <c r="A133" s="18" t="s">
        <v>2401</v>
      </c>
      <c r="B133" s="18">
        <f t="shared" si="9"/>
        <v>12</v>
      </c>
      <c r="C133" s="18" t="str">
        <f t="shared" si="8"/>
        <v>NODE_27_12</v>
      </c>
      <c r="D133" s="18"/>
      <c r="E133" s="18" t="str">
        <f>VLOOKUP(F133,Overview!$A$1:$B$28,2,FALSE)</f>
        <v>CaoCao</v>
      </c>
      <c r="F133" s="18" t="s">
        <v>20</v>
      </c>
      <c r="G133" s="21" t="s">
        <v>2442</v>
      </c>
      <c r="H133" s="21" t="s">
        <v>2443</v>
      </c>
      <c r="I133" s="8" t="s">
        <v>2444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>
      <c r="A134" s="18" t="s">
        <v>2401</v>
      </c>
      <c r="B134" s="18">
        <f t="shared" si="9"/>
        <v>13</v>
      </c>
      <c r="C134" s="18" t="str">
        <f t="shared" si="8"/>
        <v>NODE_27_13</v>
      </c>
      <c r="D134" s="18"/>
      <c r="E134" s="18" t="str">
        <f>VLOOKUP(F134,Overview!$A$1:$B$28,2,FALSE)</f>
        <v>GuanYu</v>
      </c>
      <c r="F134" s="18" t="s">
        <v>7</v>
      </c>
      <c r="G134" s="21" t="s">
        <v>2449</v>
      </c>
      <c r="H134" s="21" t="s">
        <v>2450</v>
      </c>
      <c r="I134" s="8" t="s">
        <v>2451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>
      <c r="A135" s="18" t="s">
        <v>2401</v>
      </c>
      <c r="B135" s="18">
        <f t="shared" si="9"/>
        <v>14</v>
      </c>
      <c r="C135" s="18" t="str">
        <f t="shared" si="8"/>
        <v>NODE_27_14</v>
      </c>
      <c r="D135" s="18"/>
      <c r="E135" s="18" t="str">
        <f>VLOOKUP(F135,Overview!$A$1:$B$28,2,FALSE)</f>
        <v>CaoCao</v>
      </c>
      <c r="F135" s="18" t="s">
        <v>20</v>
      </c>
      <c r="G135" s="21" t="s">
        <v>2458</v>
      </c>
      <c r="H135" s="21" t="s">
        <v>2460</v>
      </c>
      <c r="I135" s="8" t="s">
        <v>2462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>
      <c r="A136" s="18" t="s">
        <v>2401</v>
      </c>
      <c r="B136" s="18">
        <f t="shared" si="9"/>
        <v>15</v>
      </c>
      <c r="C136" s="18" t="str">
        <f t="shared" si="8"/>
        <v>NODE_27_15</v>
      </c>
      <c r="D136" s="18"/>
      <c r="E136" s="18" t="str">
        <f>VLOOKUP(F136,Overview!$A$1:$B$28,2,FALSE)</f>
        <v>XunYu</v>
      </c>
      <c r="F136" s="18" t="s">
        <v>43</v>
      </c>
      <c r="G136" s="21" t="s">
        <v>2467</v>
      </c>
      <c r="H136" s="21" t="s">
        <v>2468</v>
      </c>
      <c r="I136" s="8" t="s">
        <v>2469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>
      <c r="A137" s="18" t="s">
        <v>2401</v>
      </c>
      <c r="B137" s="18">
        <f t="shared" si="9"/>
        <v>16</v>
      </c>
      <c r="C137" s="18" t="str">
        <f t="shared" si="8"/>
        <v>NODE_27_16</v>
      </c>
      <c r="D137" s="18"/>
      <c r="E137" s="18" t="str">
        <f>VLOOKUP(F137,Overview!$A$1:$B$28,2,FALSE)</f>
        <v>XunYu</v>
      </c>
      <c r="F137" s="18" t="s">
        <v>43</v>
      </c>
      <c r="G137" s="21" t="s">
        <v>2473</v>
      </c>
      <c r="H137" s="21" t="s">
        <v>2474</v>
      </c>
      <c r="I137" s="8" t="s">
        <v>2475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>
      <c r="A138" s="18" t="s">
        <v>2401</v>
      </c>
      <c r="B138" s="18">
        <f t="shared" si="9"/>
        <v>17</v>
      </c>
      <c r="C138" s="18" t="str">
        <f t="shared" si="8"/>
        <v>NODE_27_17</v>
      </c>
      <c r="D138" s="18"/>
      <c r="E138" s="18" t="str">
        <f>VLOOKUP(F138,Overview!$A$1:$B$28,2,FALSE)</f>
        <v>CaoCao</v>
      </c>
      <c r="F138" s="18" t="s">
        <v>20</v>
      </c>
      <c r="G138" s="21" t="s">
        <v>2477</v>
      </c>
      <c r="H138" s="21" t="s">
        <v>2479</v>
      </c>
      <c r="I138" s="8" t="s">
        <v>2481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>
      <c r="A139" s="18" t="s">
        <v>2401</v>
      </c>
      <c r="B139" s="18">
        <f t="shared" si="9"/>
        <v>18</v>
      </c>
      <c r="C139" s="18" t="str">
        <f t="shared" si="8"/>
        <v>NODE_27_18</v>
      </c>
      <c r="D139" s="18"/>
      <c r="E139" s="18" t="str">
        <f>VLOOKUP(F139,Overview!$A$1:$B$28,2,FALSE)</f>
        <v>XunYu</v>
      </c>
      <c r="F139" s="18" t="s">
        <v>43</v>
      </c>
      <c r="G139" s="21" t="s">
        <v>2488</v>
      </c>
      <c r="H139" s="21" t="s">
        <v>2489</v>
      </c>
      <c r="I139" s="8" t="s">
        <v>2490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>
      <c r="A140" s="18" t="s">
        <v>2401</v>
      </c>
      <c r="B140" s="18">
        <f t="shared" si="9"/>
        <v>19</v>
      </c>
      <c r="C140" s="18" t="str">
        <f t="shared" si="8"/>
        <v>NODE_27_19</v>
      </c>
      <c r="D140" s="18"/>
      <c r="E140" s="18" t="str">
        <f>VLOOKUP(F140,Overview!$A$1:$B$28,2,FALSE)</f>
        <v>XunYu</v>
      </c>
      <c r="F140" s="18" t="s">
        <v>43</v>
      </c>
      <c r="G140" s="21" t="s">
        <v>2497</v>
      </c>
      <c r="H140" s="21" t="s">
        <v>2499</v>
      </c>
      <c r="I140" s="8" t="s">
        <v>2501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>
      <c r="A141" s="18" t="s">
        <v>2401</v>
      </c>
      <c r="B141" s="18">
        <f t="shared" si="9"/>
        <v>20</v>
      </c>
      <c r="C141" s="18" t="str">
        <f t="shared" si="8"/>
        <v>NODE_27_20</v>
      </c>
      <c r="D141" s="18"/>
      <c r="E141" s="18" t="str">
        <f>VLOOKUP(F141,Overview!$A$1:$B$28,2,FALSE)</f>
        <v>CaoCao</v>
      </c>
      <c r="F141" s="18" t="s">
        <v>20</v>
      </c>
      <c r="G141" s="21" t="s">
        <v>2509</v>
      </c>
      <c r="H141" s="21" t="s">
        <v>2509</v>
      </c>
      <c r="I141" s="8" t="s">
        <v>2511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>
      <c r="A142" s="18" t="s">
        <v>2401</v>
      </c>
      <c r="B142" s="18">
        <f t="shared" si="9"/>
        <v>21</v>
      </c>
      <c r="C142" s="18" t="str">
        <f t="shared" si="8"/>
        <v>NODE_27_21</v>
      </c>
      <c r="D142" s="18"/>
      <c r="E142" s="18" t="str">
        <f>VLOOKUP(F142,Overview!$A$1:$B$28,2,FALSE)</f>
        <v>XunYu</v>
      </c>
      <c r="F142" s="18" t="s">
        <v>43</v>
      </c>
      <c r="G142" s="21" t="s">
        <v>2519</v>
      </c>
      <c r="H142" s="21" t="s">
        <v>2519</v>
      </c>
      <c r="I142" s="8" t="s">
        <v>2520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>
      <c r="A143" s="18" t="s">
        <v>2401</v>
      </c>
      <c r="B143" s="18">
        <f t="shared" si="9"/>
        <v>22</v>
      </c>
      <c r="C143" s="18" t="str">
        <f t="shared" si="8"/>
        <v>NODE_27_22</v>
      </c>
      <c r="D143" s="18"/>
      <c r="E143" s="18" t="str">
        <f>VLOOKUP(F143,Overview!$A$1:$B$28,2,FALSE)</f>
        <v>CaoCao</v>
      </c>
      <c r="F143" s="18" t="s">
        <v>20</v>
      </c>
      <c r="G143" s="21" t="s">
        <v>2528</v>
      </c>
      <c r="H143" s="21" t="s">
        <v>2529</v>
      </c>
      <c r="I143" s="8" t="s">
        <v>2530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>
      <c r="A144" s="18" t="s">
        <v>2401</v>
      </c>
      <c r="B144" s="18">
        <f t="shared" si="9"/>
        <v>23</v>
      </c>
      <c r="C144" s="18" t="str">
        <f t="shared" si="8"/>
        <v>NODE_27_23</v>
      </c>
      <c r="D144" s="18"/>
      <c r="E144" s="18" t="str">
        <f>VLOOKUP(F144,Overview!$A$1:$B$28,2,FALSE)</f>
        <v>GuanYu</v>
      </c>
      <c r="F144" s="18" t="s">
        <v>7</v>
      </c>
      <c r="G144" s="21" t="s">
        <v>2304</v>
      </c>
      <c r="H144" s="21" t="s">
        <v>2304</v>
      </c>
      <c r="I144" s="8" t="s">
        <v>2305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>
      <c r="A145" s="18" t="s">
        <v>2401</v>
      </c>
      <c r="B145" s="18">
        <f t="shared" si="9"/>
        <v>24</v>
      </c>
      <c r="C145" s="18" t="str">
        <f t="shared" si="8"/>
        <v>NODE_27_24</v>
      </c>
      <c r="D145" s="18"/>
      <c r="E145" s="18" t="str">
        <f>VLOOKUP(F145,Overview!$A$1:$B$28,2,FALSE)</f>
        <v>CaoCao</v>
      </c>
      <c r="F145" s="18" t="s">
        <v>20</v>
      </c>
      <c r="G145" s="21" t="s">
        <v>2541</v>
      </c>
      <c r="H145" s="21" t="s">
        <v>2542</v>
      </c>
      <c r="I145" s="8" t="s">
        <v>2543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>
      <c r="A146" s="18" t="s">
        <v>2401</v>
      </c>
      <c r="B146" s="18">
        <f t="shared" si="9"/>
        <v>25</v>
      </c>
      <c r="C146" s="18" t="str">
        <f t="shared" si="8"/>
        <v>NODE_27_25</v>
      </c>
      <c r="D146" s="18"/>
      <c r="E146" s="18" t="str">
        <f>VLOOKUP(F146,Overview!$A$1:$B$28,2,FALSE)</f>
        <v>GuanYu</v>
      </c>
      <c r="F146" s="18" t="s">
        <v>7</v>
      </c>
      <c r="G146" s="21" t="s">
        <v>2547</v>
      </c>
      <c r="H146" s="21" t="s">
        <v>2548</v>
      </c>
      <c r="I146" s="8" t="s">
        <v>2549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>
      <c r="A147" s="18" t="s">
        <v>2401</v>
      </c>
      <c r="B147" s="18">
        <f t="shared" si="9"/>
        <v>26</v>
      </c>
      <c r="C147" s="18" t="str">
        <f t="shared" si="8"/>
        <v>NODE_27_26</v>
      </c>
      <c r="D147" s="18"/>
      <c r="E147" s="18" t="str">
        <f>VLOOKUP(F147,Overview!$A$1:$B$28,2,FALSE)</f>
        <v>CaoCao</v>
      </c>
      <c r="F147" s="18" t="s">
        <v>20</v>
      </c>
      <c r="G147" s="21" t="s">
        <v>2556</v>
      </c>
      <c r="H147" s="21" t="s">
        <v>2557</v>
      </c>
      <c r="I147" s="8" t="s">
        <v>2558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>
      <c r="A148" s="18" t="s">
        <v>2401</v>
      </c>
      <c r="B148" s="18">
        <f t="shared" si="9"/>
        <v>27</v>
      </c>
      <c r="C148" s="18" t="str">
        <f t="shared" si="8"/>
        <v>NODE_27_27</v>
      </c>
      <c r="D148" s="18"/>
      <c r="E148" s="18" t="str">
        <f>VLOOKUP(F148,Overview!$A$1:$B$28,2,FALSE)</f>
        <v>GuanYu</v>
      </c>
      <c r="F148" s="18" t="s">
        <v>7</v>
      </c>
      <c r="G148" s="21" t="s">
        <v>2562</v>
      </c>
      <c r="H148" s="21" t="s">
        <v>2563</v>
      </c>
      <c r="I148" s="8" t="s">
        <v>2564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>
      <c r="A149" s="18" t="s">
        <v>2401</v>
      </c>
      <c r="B149" s="18">
        <f t="shared" si="9"/>
        <v>28</v>
      </c>
      <c r="C149" s="18" t="str">
        <f t="shared" si="8"/>
        <v>NODE_27_28</v>
      </c>
      <c r="D149" s="18"/>
      <c r="E149" s="18" t="str">
        <f>VLOOKUP(F149,Overview!$A$1:$B$28,2,FALSE)</f>
        <v>GuanYu</v>
      </c>
      <c r="F149" s="18" t="s">
        <v>7</v>
      </c>
      <c r="G149" s="21" t="s">
        <v>2571</v>
      </c>
      <c r="H149" s="21" t="s">
        <v>2572</v>
      </c>
      <c r="I149" s="8" t="s">
        <v>2573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>
      <c r="A150" s="18" t="s">
        <v>2401</v>
      </c>
      <c r="B150" s="18">
        <f t="shared" si="9"/>
        <v>29</v>
      </c>
      <c r="C150" s="18" t="str">
        <f t="shared" si="8"/>
        <v>NODE_27_29</v>
      </c>
      <c r="D150" s="18"/>
      <c r="E150" s="18" t="str">
        <f>VLOOKUP(F150,Overview!$A$1:$B$28,2,FALSE)</f>
        <v>CaoCao</v>
      </c>
      <c r="F150" s="18" t="s">
        <v>20</v>
      </c>
      <c r="G150" s="21" t="s">
        <v>2576</v>
      </c>
      <c r="H150" s="21" t="s">
        <v>2577</v>
      </c>
      <c r="I150" s="8" t="s">
        <v>2578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>
      <c r="A151" s="18" t="s">
        <v>2401</v>
      </c>
      <c r="B151" s="18">
        <f t="shared" si="9"/>
        <v>30</v>
      </c>
      <c r="C151" s="18" t="str">
        <f t="shared" si="8"/>
        <v>NODE_27_30</v>
      </c>
      <c r="D151" s="18"/>
      <c r="E151" s="18" t="str">
        <f>VLOOKUP(F151,Overview!$A$1:$B$28,2,FALSE)</f>
        <v>CaoCao</v>
      </c>
      <c r="F151" s="18" t="s">
        <v>20</v>
      </c>
      <c r="G151" s="21" t="s">
        <v>2579</v>
      </c>
      <c r="H151" s="21" t="s">
        <v>2580</v>
      </c>
      <c r="I151" s="8" t="s">
        <v>2581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>
      <c r="A152" s="18" t="s">
        <v>2401</v>
      </c>
      <c r="B152" s="18">
        <f t="shared" si="9"/>
        <v>31</v>
      </c>
      <c r="C152" s="18" t="str">
        <f t="shared" si="8"/>
        <v>NODE_27_31</v>
      </c>
      <c r="D152" s="18"/>
      <c r="E152" s="18" t="str">
        <f>VLOOKUP(F152,Overview!$A$1:$B$28,2,FALSE)</f>
        <v>XunYu</v>
      </c>
      <c r="F152" s="18" t="s">
        <v>43</v>
      </c>
      <c r="G152" s="21" t="s">
        <v>2582</v>
      </c>
      <c r="H152" s="21" t="s">
        <v>2583</v>
      </c>
      <c r="I152" s="8" t="s">
        <v>2584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>
      <c r="A153" s="18" t="s">
        <v>2401</v>
      </c>
      <c r="B153" s="18">
        <f t="shared" si="9"/>
        <v>32</v>
      </c>
      <c r="C153" s="18" t="str">
        <f t="shared" si="8"/>
        <v>NODE_27_32</v>
      </c>
      <c r="D153" s="18"/>
      <c r="E153" s="18" t="str">
        <f>VLOOKUP(F153,Overview!$A$1:$B$28,2,FALSE)</f>
        <v>ZhangLiao</v>
      </c>
      <c r="F153" s="18" t="s">
        <v>26</v>
      </c>
      <c r="G153" s="21" t="s">
        <v>2585</v>
      </c>
      <c r="H153" s="21" t="s">
        <v>2586</v>
      </c>
      <c r="I153" s="8" t="s">
        <v>2587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>
      <c r="A154" s="18" t="s">
        <v>2401</v>
      </c>
      <c r="B154" s="18">
        <f t="shared" si="9"/>
        <v>33</v>
      </c>
      <c r="C154" s="18" t="str">
        <f t="shared" si="8"/>
        <v>NODE_27_33</v>
      </c>
      <c r="D154" s="18"/>
      <c r="E154" s="18" t="str">
        <f>VLOOKUP(F154,Overview!$A$1:$B$28,2,FALSE)</f>
        <v>GuanYu</v>
      </c>
      <c r="F154" s="18" t="s">
        <v>7</v>
      </c>
      <c r="G154" s="21" t="s">
        <v>2304</v>
      </c>
      <c r="H154" s="21" t="s">
        <v>2304</v>
      </c>
      <c r="I154" s="8" t="s">
        <v>2305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>
      <c r="A155" s="18" t="s">
        <v>2401</v>
      </c>
      <c r="B155" s="18">
        <f t="shared" si="9"/>
        <v>34</v>
      </c>
      <c r="C155" s="18" t="str">
        <f t="shared" si="8"/>
        <v>NODE_27_34</v>
      </c>
      <c r="D155" s="18"/>
      <c r="E155" s="18" t="str">
        <f>VLOOKUP(F155,Overview!$A$1:$B$28,2,FALSE)</f>
        <v>GuanYu</v>
      </c>
      <c r="F155" s="18" t="s">
        <v>7</v>
      </c>
      <c r="G155" s="21" t="s">
        <v>2588</v>
      </c>
      <c r="H155" s="21" t="s">
        <v>2589</v>
      </c>
      <c r="I155" s="8" t="s">
        <v>2590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>
      <c r="A156" s="18" t="s">
        <v>2401</v>
      </c>
      <c r="B156" s="18">
        <f t="shared" si="9"/>
        <v>35</v>
      </c>
      <c r="C156" s="18" t="str">
        <f t="shared" si="8"/>
        <v>NODE_27_35</v>
      </c>
      <c r="D156" s="18"/>
      <c r="E156" s="18" t="str">
        <f>VLOOKUP(F156,Overview!$A$1:$B$28,2,FALSE)</f>
        <v>CaoCao</v>
      </c>
      <c r="F156" s="18" t="s">
        <v>20</v>
      </c>
      <c r="G156" s="21" t="s">
        <v>2591</v>
      </c>
      <c r="H156" s="21" t="s">
        <v>2592</v>
      </c>
      <c r="I156" s="8" t="s">
        <v>2593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>
      <c r="A157" s="18" t="s">
        <v>2401</v>
      </c>
      <c r="B157" s="18">
        <f t="shared" si="9"/>
        <v>36</v>
      </c>
      <c r="C157" s="18" t="str">
        <f t="shared" si="8"/>
        <v>NODE_27_36</v>
      </c>
      <c r="D157" s="18"/>
      <c r="E157" s="18" t="str">
        <f>VLOOKUP(F157,Overview!$A$1:$B$28,2,FALSE)</f>
        <v>GuanYu</v>
      </c>
      <c r="F157" s="18" t="s">
        <v>7</v>
      </c>
      <c r="G157" s="21" t="s">
        <v>2594</v>
      </c>
      <c r="H157" s="21" t="s">
        <v>2595</v>
      </c>
      <c r="I157" s="8" t="s">
        <v>2596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>
      <c r="A158" s="18" t="s">
        <v>2401</v>
      </c>
      <c r="B158" s="18">
        <f t="shared" si="9"/>
        <v>37</v>
      </c>
      <c r="C158" s="18" t="str">
        <f t="shared" si="8"/>
        <v>NODE_27_37</v>
      </c>
      <c r="D158" s="18"/>
      <c r="E158" s="18" t="str">
        <f>VLOOKUP(F158,Overview!$A$1:$B$28,2,FALSE)</f>
        <v>ZhangLiao</v>
      </c>
      <c r="F158" s="18" t="s">
        <v>26</v>
      </c>
      <c r="G158" s="21" t="s">
        <v>2597</v>
      </c>
      <c r="H158" s="21" t="s">
        <v>2597</v>
      </c>
      <c r="I158" s="8" t="s">
        <v>2597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>
      <c r="A159" s="18" t="s">
        <v>2401</v>
      </c>
      <c r="B159" s="18">
        <f t="shared" si="9"/>
        <v>38</v>
      </c>
      <c r="C159" s="18" t="str">
        <f t="shared" si="8"/>
        <v>NODE_27_38</v>
      </c>
      <c r="D159" s="18"/>
      <c r="E159" s="18" t="str">
        <f>VLOOKUP(F159,Overview!$A$1:$B$28,2,FALSE)</f>
        <v>CaoCao</v>
      </c>
      <c r="F159" s="18" t="s">
        <v>20</v>
      </c>
      <c r="G159" s="21" t="s">
        <v>2598</v>
      </c>
      <c r="H159" s="21" t="s">
        <v>2599</v>
      </c>
      <c r="I159" s="8" t="s">
        <v>2600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>
      <c r="A160" s="18"/>
      <c r="B160" s="18"/>
      <c r="C160" s="18"/>
      <c r="D160" s="18"/>
      <c r="E160" s="18"/>
      <c r="F160" s="18"/>
      <c r="G160" s="21"/>
      <c r="H160" s="21"/>
      <c r="I160" s="18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>
      <c r="A161" s="18" t="s">
        <v>2601</v>
      </c>
      <c r="B161" s="18">
        <v>0</v>
      </c>
      <c r="C161" s="18" t="str">
        <f t="shared" ref="C161:C199" si="10">CONCATENATE(A161, "_", B161, IF(D161&lt;&gt;"", "_"&amp;D161, ""))</f>
        <v>NODE_28_0</v>
      </c>
      <c r="D161" s="18"/>
      <c r="E161" s="18" t="str">
        <f>VLOOKUP(F161,Overview!$A$1:$B$28,2,FALSE)</f>
        <v>ZhangLiao</v>
      </c>
      <c r="F161" s="18" t="s">
        <v>26</v>
      </c>
      <c r="G161" s="21" t="s">
        <v>2602</v>
      </c>
      <c r="H161" s="21" t="s">
        <v>2603</v>
      </c>
      <c r="I161" s="8" t="s">
        <v>2604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>
      <c r="A162" s="18" t="str">
        <f t="shared" ref="A162:A199" si="11">A161</f>
        <v>NODE_28</v>
      </c>
      <c r="B162" s="18">
        <f t="shared" ref="B162:B171" si="12">B161+1</f>
        <v>1</v>
      </c>
      <c r="C162" s="18" t="str">
        <f t="shared" si="10"/>
        <v>NODE_28_1</v>
      </c>
      <c r="D162" s="18"/>
      <c r="E162" s="18" t="str">
        <f>VLOOKUP(F162,Overview!$A$1:$B$28,2,FALSE)</f>
        <v>ZhangLiao</v>
      </c>
      <c r="F162" s="18" t="s">
        <v>26</v>
      </c>
      <c r="G162" s="21" t="s">
        <v>2605</v>
      </c>
      <c r="H162" s="21" t="s">
        <v>2606</v>
      </c>
      <c r="I162" s="8" t="s">
        <v>2607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>
      <c r="A163" s="18" t="str">
        <f t="shared" si="11"/>
        <v>NODE_28</v>
      </c>
      <c r="B163" s="18">
        <f t="shared" si="12"/>
        <v>2</v>
      </c>
      <c r="C163" s="18" t="str">
        <f t="shared" si="10"/>
        <v>NODE_28_2</v>
      </c>
      <c r="D163" s="18"/>
      <c r="E163" s="18" t="str">
        <f>VLOOKUP(F163,Overview!$A$1:$B$28,2,FALSE)</f>
        <v>GuanYu</v>
      </c>
      <c r="F163" s="18" t="s">
        <v>7</v>
      </c>
      <c r="G163" s="21" t="s">
        <v>2608</v>
      </c>
      <c r="H163" s="21" t="s">
        <v>2609</v>
      </c>
      <c r="I163" s="8" t="s">
        <v>2610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>
      <c r="A164" s="18" t="str">
        <f t="shared" si="11"/>
        <v>NODE_28</v>
      </c>
      <c r="B164" s="18">
        <f t="shared" si="12"/>
        <v>3</v>
      </c>
      <c r="C164" s="18" t="str">
        <f t="shared" si="10"/>
        <v>NODE_28_3</v>
      </c>
      <c r="D164" s="18"/>
      <c r="E164" s="18" t="str">
        <f>VLOOKUP(F164,Overview!$A$1:$B$28,2,FALSE)</f>
        <v>XiahouDun</v>
      </c>
      <c r="F164" s="18" t="s">
        <v>24</v>
      </c>
      <c r="G164" s="21" t="s">
        <v>2611</v>
      </c>
      <c r="H164" s="21" t="s">
        <v>2612</v>
      </c>
      <c r="I164" s="8" t="s">
        <v>2613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>
      <c r="A165" s="18" t="str">
        <f t="shared" si="11"/>
        <v>NODE_28</v>
      </c>
      <c r="B165" s="18">
        <f t="shared" si="12"/>
        <v>4</v>
      </c>
      <c r="C165" s="18" t="str">
        <f t="shared" si="10"/>
        <v>NODE_28_4</v>
      </c>
      <c r="D165" s="18"/>
      <c r="E165" s="18" t="str">
        <f>VLOOKUP(F165,Overview!$A$1:$B$28,2,FALSE)</f>
        <v>GuanYu</v>
      </c>
      <c r="F165" s="18" t="s">
        <v>7</v>
      </c>
      <c r="G165" s="21" t="s">
        <v>2304</v>
      </c>
      <c r="H165" s="21" t="s">
        <v>2304</v>
      </c>
      <c r="I165" s="8" t="s">
        <v>2305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>
      <c r="A166" s="18" t="str">
        <f t="shared" si="11"/>
        <v>NODE_28</v>
      </c>
      <c r="B166" s="18">
        <f t="shared" si="12"/>
        <v>5</v>
      </c>
      <c r="C166" s="18" t="str">
        <f t="shared" si="10"/>
        <v>NODE_28_5</v>
      </c>
      <c r="D166" s="18"/>
      <c r="E166" s="18" t="str">
        <f>VLOOKUP(F166,Overview!$A$1:$B$28,2,FALSE)</f>
        <v>XiahouDun</v>
      </c>
      <c r="F166" s="18" t="s">
        <v>24</v>
      </c>
      <c r="G166" s="21" t="s">
        <v>2614</v>
      </c>
      <c r="H166" s="21" t="s">
        <v>2615</v>
      </c>
      <c r="I166" s="8" t="s">
        <v>2616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>
      <c r="A167" s="18" t="str">
        <f t="shared" si="11"/>
        <v>NODE_28</v>
      </c>
      <c r="B167" s="18">
        <f t="shared" si="12"/>
        <v>6</v>
      </c>
      <c r="C167" s="18" t="str">
        <f t="shared" si="10"/>
        <v>NODE_28_6</v>
      </c>
      <c r="D167" s="18"/>
      <c r="E167" s="18" t="str">
        <f>VLOOKUP(F167,Overview!$A$1:$B$28,2,FALSE)</f>
        <v>XiahouDun</v>
      </c>
      <c r="F167" s="18" t="s">
        <v>24</v>
      </c>
      <c r="G167" s="21" t="s">
        <v>2617</v>
      </c>
      <c r="H167" s="21" t="s">
        <v>2618</v>
      </c>
      <c r="I167" s="8" t="s">
        <v>2619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>
      <c r="A168" s="18" t="str">
        <f t="shared" si="11"/>
        <v>NODE_28</v>
      </c>
      <c r="B168" s="18">
        <f t="shared" si="12"/>
        <v>7</v>
      </c>
      <c r="C168" s="18" t="str">
        <f t="shared" si="10"/>
        <v>NODE_28_7</v>
      </c>
      <c r="D168" s="18"/>
      <c r="E168" s="18" t="str">
        <f>VLOOKUP(F168,Overview!$A$1:$B$28,2,FALSE)</f>
        <v>XiahouYuan</v>
      </c>
      <c r="F168" s="18" t="s">
        <v>28</v>
      </c>
      <c r="G168" s="21" t="s">
        <v>2620</v>
      </c>
      <c r="H168" s="21" t="s">
        <v>2621</v>
      </c>
      <c r="I168" s="8" t="s">
        <v>2622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>
      <c r="A169" s="18" t="str">
        <f t="shared" si="11"/>
        <v>NODE_28</v>
      </c>
      <c r="B169" s="18">
        <f t="shared" si="12"/>
        <v>8</v>
      </c>
      <c r="C169" s="18" t="str">
        <f t="shared" si="10"/>
        <v>NODE_28_8</v>
      </c>
      <c r="D169" s="18"/>
      <c r="E169" s="18" t="str">
        <f>VLOOKUP(F169,Overview!$A$1:$B$28,2,FALSE)</f>
        <v>GuanYu</v>
      </c>
      <c r="F169" s="18" t="s">
        <v>7</v>
      </c>
      <c r="G169" s="21" t="s">
        <v>2623</v>
      </c>
      <c r="H169" s="21" t="s">
        <v>2624</v>
      </c>
      <c r="I169" s="8" t="s">
        <v>2625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>
      <c r="A170" s="18" t="str">
        <f t="shared" si="11"/>
        <v>NODE_28</v>
      </c>
      <c r="B170" s="18">
        <f t="shared" si="12"/>
        <v>9</v>
      </c>
      <c r="C170" s="18" t="str">
        <f t="shared" si="10"/>
        <v>NODE_28_9</v>
      </c>
      <c r="D170" s="18"/>
      <c r="E170" s="18" t="str">
        <f>VLOOKUP(F170,Overview!$A$1:$B$28,2,FALSE)</f>
        <v>ZhangLiao</v>
      </c>
      <c r="F170" s="18" t="s">
        <v>26</v>
      </c>
      <c r="G170" s="21" t="s">
        <v>2582</v>
      </c>
      <c r="H170" s="21" t="s">
        <v>2583</v>
      </c>
      <c r="I170" s="8" t="s">
        <v>2584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>
      <c r="A171" s="18" t="str">
        <f t="shared" si="11"/>
        <v>NODE_28</v>
      </c>
      <c r="B171" s="18">
        <f t="shared" si="12"/>
        <v>10</v>
      </c>
      <c r="C171" s="18" t="str">
        <f t="shared" si="10"/>
        <v>NODE_28_10</v>
      </c>
      <c r="D171" s="18"/>
      <c r="E171" s="18" t="str">
        <f>VLOOKUP(F171,Overview!$A$1:$B$28,2,FALSE)</f>
        <v>XiahouDun</v>
      </c>
      <c r="F171" s="18" t="s">
        <v>24</v>
      </c>
      <c r="G171" s="21" t="s">
        <v>2304</v>
      </c>
      <c r="H171" s="21" t="s">
        <v>2304</v>
      </c>
      <c r="I171" s="8" t="s">
        <v>2305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>
      <c r="A172" s="18" t="str">
        <f t="shared" si="11"/>
        <v>NODE_28</v>
      </c>
      <c r="B172" s="18">
        <v>11</v>
      </c>
      <c r="C172" s="18" t="str">
        <f t="shared" si="10"/>
        <v>NODE_28_11</v>
      </c>
      <c r="D172" s="18"/>
      <c r="E172" s="18"/>
      <c r="F172" s="18"/>
      <c r="G172" s="21"/>
      <c r="H172" s="21"/>
      <c r="I172" s="18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>
      <c r="A173" s="18" t="str">
        <f t="shared" si="11"/>
        <v>NODE_28</v>
      </c>
      <c r="B173" s="18">
        <f t="shared" ref="B173:B199" si="13">B172+1</f>
        <v>12</v>
      </c>
      <c r="C173" s="18" t="str">
        <f t="shared" si="10"/>
        <v>NODE_28_12</v>
      </c>
      <c r="D173" s="18"/>
      <c r="E173" s="18" t="s">
        <v>2626</v>
      </c>
      <c r="F173" s="18" t="s">
        <v>2626</v>
      </c>
      <c r="G173" s="21" t="s">
        <v>2627</v>
      </c>
      <c r="H173" s="21" t="s">
        <v>2628</v>
      </c>
      <c r="I173" s="8" t="s">
        <v>2629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>
      <c r="A174" s="18" t="str">
        <f t="shared" si="11"/>
        <v>NODE_28</v>
      </c>
      <c r="B174" s="18">
        <f t="shared" si="13"/>
        <v>13</v>
      </c>
      <c r="C174" s="18" t="str">
        <f t="shared" si="10"/>
        <v>NODE_28_13</v>
      </c>
      <c r="D174" s="18"/>
      <c r="E174" s="18" t="s">
        <v>2626</v>
      </c>
      <c r="F174" s="18" t="s">
        <v>2626</v>
      </c>
      <c r="G174" s="21" t="s">
        <v>2630</v>
      </c>
      <c r="H174" s="21" t="s">
        <v>2631</v>
      </c>
      <c r="I174" s="8" t="s">
        <v>2632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>
      <c r="A175" s="18" t="str">
        <f t="shared" si="11"/>
        <v>NODE_28</v>
      </c>
      <c r="B175" s="18">
        <f t="shared" si="13"/>
        <v>14</v>
      </c>
      <c r="C175" s="18" t="str">
        <f t="shared" si="10"/>
        <v>NODE_28_14</v>
      </c>
      <c r="D175" s="18"/>
      <c r="E175" s="18" t="s">
        <v>2626</v>
      </c>
      <c r="F175" s="18" t="s">
        <v>2626</v>
      </c>
      <c r="G175" s="21" t="s">
        <v>2633</v>
      </c>
      <c r="H175" s="21" t="s">
        <v>2634</v>
      </c>
      <c r="I175" s="8" t="s">
        <v>2635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>
      <c r="A176" s="18" t="str">
        <f t="shared" si="11"/>
        <v>NODE_28</v>
      </c>
      <c r="B176" s="18">
        <f t="shared" si="13"/>
        <v>15</v>
      </c>
      <c r="C176" s="18" t="str">
        <f t="shared" si="10"/>
        <v>NODE_28_15</v>
      </c>
      <c r="D176" s="18"/>
      <c r="E176" s="18" t="str">
        <f>VLOOKUP(F176,Overview!$A$1:$B$28,2,FALSE)</f>
        <v>GuanYu</v>
      </c>
      <c r="F176" s="18" t="s">
        <v>7</v>
      </c>
      <c r="G176" s="21" t="s">
        <v>2636</v>
      </c>
      <c r="H176" s="21" t="s">
        <v>2637</v>
      </c>
      <c r="I176" s="8" t="s">
        <v>2638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>
      <c r="A177" s="18" t="str">
        <f t="shared" si="11"/>
        <v>NODE_28</v>
      </c>
      <c r="B177" s="18">
        <f t="shared" si="13"/>
        <v>16</v>
      </c>
      <c r="C177" s="18" t="str">
        <f t="shared" si="10"/>
        <v>NODE_28_16</v>
      </c>
      <c r="D177" s="18"/>
      <c r="E177" s="18" t="str">
        <f>VLOOKUP(F177,Overview!$A$1:$B$28,2,FALSE)</f>
        <v>ZhangLiao</v>
      </c>
      <c r="F177" s="18" t="s">
        <v>26</v>
      </c>
      <c r="G177" s="21" t="s">
        <v>2639</v>
      </c>
      <c r="H177" s="21" t="s">
        <v>2640</v>
      </c>
      <c r="I177" s="8" t="s">
        <v>2641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>
      <c r="A178" s="18" t="str">
        <f t="shared" si="11"/>
        <v>NODE_28</v>
      </c>
      <c r="B178" s="18">
        <f t="shared" si="13"/>
        <v>17</v>
      </c>
      <c r="C178" s="18" t="str">
        <f t="shared" si="10"/>
        <v>NODE_28_17</v>
      </c>
      <c r="D178" s="18"/>
      <c r="E178" s="18" t="str">
        <f>VLOOKUP(F178,Overview!$A$1:$B$28,2,FALSE)</f>
        <v>GuanYu</v>
      </c>
      <c r="F178" s="18" t="s">
        <v>7</v>
      </c>
      <c r="G178" s="21" t="s">
        <v>2228</v>
      </c>
      <c r="H178" s="21" t="s">
        <v>2228</v>
      </c>
      <c r="I178" s="8" t="s">
        <v>2229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>
      <c r="A179" s="18" t="str">
        <f t="shared" si="11"/>
        <v>NODE_28</v>
      </c>
      <c r="B179" s="18">
        <f t="shared" si="13"/>
        <v>18</v>
      </c>
      <c r="C179" s="18" t="str">
        <f t="shared" si="10"/>
        <v>NODE_28_18</v>
      </c>
      <c r="D179" s="18"/>
      <c r="E179" s="18" t="str">
        <f>VLOOKUP(F179,Overview!$A$1:$B$28,2,FALSE)</f>
        <v>ZhangLiao</v>
      </c>
      <c r="F179" s="18" t="s">
        <v>26</v>
      </c>
      <c r="G179" s="21" t="s">
        <v>2642</v>
      </c>
      <c r="H179" s="21" t="s">
        <v>2643</v>
      </c>
      <c r="I179" s="8" t="s">
        <v>2644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>
      <c r="A180" s="18" t="str">
        <f t="shared" si="11"/>
        <v>NODE_28</v>
      </c>
      <c r="B180" s="18">
        <f t="shared" si="13"/>
        <v>19</v>
      </c>
      <c r="C180" s="18" t="str">
        <f t="shared" si="10"/>
        <v>NODE_28_19</v>
      </c>
      <c r="D180" s="18"/>
      <c r="E180" s="18" t="e">
        <f>VLOOKUP(F180,Overview!$A$1:$B$28,2,FALSE)</f>
        <v>#N/A</v>
      </c>
      <c r="F180" s="18" t="s">
        <v>1891</v>
      </c>
      <c r="G180" s="21" t="s">
        <v>2645</v>
      </c>
      <c r="H180" s="21" t="s">
        <v>2646</v>
      </c>
      <c r="I180" s="8" t="s">
        <v>2647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>
      <c r="A181" s="18" t="str">
        <f t="shared" si="11"/>
        <v>NODE_28</v>
      </c>
      <c r="B181" s="18">
        <f t="shared" si="13"/>
        <v>20</v>
      </c>
      <c r="C181" s="18" t="str">
        <f t="shared" si="10"/>
        <v>NODE_28_20</v>
      </c>
      <c r="D181" s="18"/>
      <c r="E181" s="18" t="str">
        <f>VLOOKUP(F181,Overview!$A$1:$B$28,2,FALSE)</f>
        <v>XiahouDun</v>
      </c>
      <c r="F181" s="18" t="s">
        <v>24</v>
      </c>
      <c r="G181" s="21" t="s">
        <v>2648</v>
      </c>
      <c r="H181" s="21" t="s">
        <v>2649</v>
      </c>
      <c r="I181" s="8" t="s">
        <v>2650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>
      <c r="A182" s="18" t="str">
        <f t="shared" si="11"/>
        <v>NODE_28</v>
      </c>
      <c r="B182" s="18">
        <f t="shared" si="13"/>
        <v>21</v>
      </c>
      <c r="C182" s="18" t="str">
        <f t="shared" si="10"/>
        <v>NODE_28_21</v>
      </c>
      <c r="D182" s="18"/>
      <c r="E182" s="18" t="str">
        <f>VLOOKUP(F182,Overview!$A$1:$B$28,2,FALSE)</f>
        <v>GuanYu</v>
      </c>
      <c r="F182" s="18" t="s">
        <v>7</v>
      </c>
      <c r="G182" s="21" t="s">
        <v>2651</v>
      </c>
      <c r="H182" s="21" t="s">
        <v>2652</v>
      </c>
      <c r="I182" s="8" t="s">
        <v>2653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>
      <c r="A183" s="18" t="str">
        <f t="shared" si="11"/>
        <v>NODE_28</v>
      </c>
      <c r="B183" s="18">
        <f t="shared" si="13"/>
        <v>22</v>
      </c>
      <c r="C183" s="18" t="str">
        <f t="shared" si="10"/>
        <v>NODE_28_22</v>
      </c>
      <c r="D183" s="18"/>
      <c r="E183" s="18" t="str">
        <f>VLOOKUP(F183,Overview!$A$1:$B$28,2,FALSE)</f>
        <v>XiahouDun</v>
      </c>
      <c r="F183" s="18" t="s">
        <v>24</v>
      </c>
      <c r="G183" s="21" t="s">
        <v>2654</v>
      </c>
      <c r="H183" s="21" t="s">
        <v>2655</v>
      </c>
      <c r="I183" s="8" t="s">
        <v>2656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>
      <c r="A184" s="18" t="str">
        <f t="shared" si="11"/>
        <v>NODE_28</v>
      </c>
      <c r="B184" s="18">
        <f t="shared" si="13"/>
        <v>23</v>
      </c>
      <c r="C184" s="18" t="str">
        <f t="shared" si="10"/>
        <v>NODE_28_23</v>
      </c>
      <c r="D184" s="18"/>
      <c r="E184" s="18" t="str">
        <f>VLOOKUP(F184,Overview!$A$1:$B$28,2,FALSE)</f>
        <v>ZhangLiao</v>
      </c>
      <c r="F184" s="18" t="s">
        <v>26</v>
      </c>
      <c r="G184" s="21" t="s">
        <v>2657</v>
      </c>
      <c r="H184" s="21" t="s">
        <v>2657</v>
      </c>
      <c r="I184" s="8" t="s">
        <v>2658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>
      <c r="A185" s="18" t="str">
        <f t="shared" si="11"/>
        <v>NODE_28</v>
      </c>
      <c r="B185" s="18">
        <f t="shared" si="13"/>
        <v>24</v>
      </c>
      <c r="C185" s="18" t="str">
        <f t="shared" si="10"/>
        <v>NODE_28_24</v>
      </c>
      <c r="D185" s="18"/>
      <c r="E185" s="18" t="str">
        <f>VLOOKUP(F185,Overview!$A$1:$B$28,2,FALSE)</f>
        <v>GuanYu</v>
      </c>
      <c r="F185" s="18" t="s">
        <v>7</v>
      </c>
      <c r="G185" s="21" t="s">
        <v>2044</v>
      </c>
      <c r="H185" s="21" t="s">
        <v>2045</v>
      </c>
      <c r="I185" s="8" t="s">
        <v>2046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>
      <c r="A186" s="18" t="str">
        <f t="shared" si="11"/>
        <v>NODE_28</v>
      </c>
      <c r="B186" s="18">
        <f t="shared" si="13"/>
        <v>25</v>
      </c>
      <c r="C186" s="18" t="str">
        <f t="shared" si="10"/>
        <v>NODE_28_25</v>
      </c>
      <c r="D186" s="18"/>
      <c r="E186" s="18" t="s">
        <v>2659</v>
      </c>
      <c r="F186" s="18" t="s">
        <v>2659</v>
      </c>
      <c r="G186" s="21" t="s">
        <v>2660</v>
      </c>
      <c r="H186" s="21" t="s">
        <v>2661</v>
      </c>
      <c r="I186" s="8" t="s">
        <v>2662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>
      <c r="A187" s="18" t="str">
        <f t="shared" si="11"/>
        <v>NODE_28</v>
      </c>
      <c r="B187" s="18">
        <f t="shared" si="13"/>
        <v>26</v>
      </c>
      <c r="C187" s="18" t="str">
        <f t="shared" si="10"/>
        <v>NODE_28_26</v>
      </c>
      <c r="D187" s="18"/>
      <c r="E187" s="18" t="s">
        <v>2659</v>
      </c>
      <c r="F187" s="18" t="s">
        <v>2659</v>
      </c>
      <c r="G187" s="21" t="s">
        <v>2663</v>
      </c>
      <c r="H187" s="21" t="s">
        <v>2664</v>
      </c>
      <c r="I187" s="8" t="s">
        <v>2665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>
      <c r="A188" s="18" t="str">
        <f t="shared" si="11"/>
        <v>NODE_28</v>
      </c>
      <c r="B188" s="18">
        <f t="shared" si="13"/>
        <v>27</v>
      </c>
      <c r="C188" s="18" t="str">
        <f t="shared" si="10"/>
        <v>NODE_28_27</v>
      </c>
      <c r="D188" s="18"/>
      <c r="E188" s="18" t="str">
        <f>VLOOKUP(F188,Overview!$A$1:$B$28,2,FALSE)</f>
        <v>GuanYu</v>
      </c>
      <c r="F188" s="18" t="s">
        <v>7</v>
      </c>
      <c r="G188" s="21" t="s">
        <v>2228</v>
      </c>
      <c r="H188" s="21" t="s">
        <v>2228</v>
      </c>
      <c r="I188" s="8" t="s">
        <v>2229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>
      <c r="A189" s="18" t="str">
        <f t="shared" si="11"/>
        <v>NODE_28</v>
      </c>
      <c r="B189" s="18">
        <f t="shared" si="13"/>
        <v>28</v>
      </c>
      <c r="C189" s="18" t="str">
        <f t="shared" si="10"/>
        <v>NODE_28_28</v>
      </c>
      <c r="D189" s="18"/>
      <c r="E189" s="18" t="str">
        <f>VLOOKUP(F189,Overview!$A$1:$B$28,2,FALSE)</f>
        <v>XiahouDun</v>
      </c>
      <c r="F189" s="18" t="s">
        <v>24</v>
      </c>
      <c r="G189" s="21" t="s">
        <v>2304</v>
      </c>
      <c r="H189" s="21" t="s">
        <v>2304</v>
      </c>
      <c r="I189" s="8" t="s">
        <v>2305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>
      <c r="A190" s="18" t="str">
        <f t="shared" si="11"/>
        <v>NODE_28</v>
      </c>
      <c r="B190" s="18">
        <f t="shared" si="13"/>
        <v>29</v>
      </c>
      <c r="C190" s="18" t="str">
        <f t="shared" si="10"/>
        <v>NODE_28_29</v>
      </c>
      <c r="D190" s="18"/>
      <c r="E190" s="18" t="str">
        <f>VLOOKUP(F190,Overview!$A$1:$B$28,2,FALSE)</f>
        <v>ZhangLiao</v>
      </c>
      <c r="F190" s="18" t="s">
        <v>26</v>
      </c>
      <c r="G190" s="21" t="s">
        <v>2666</v>
      </c>
      <c r="H190" s="21" t="s">
        <v>2667</v>
      </c>
      <c r="I190" s="8" t="s">
        <v>2668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>
      <c r="A191" s="18" t="str">
        <f t="shared" si="11"/>
        <v>NODE_28</v>
      </c>
      <c r="B191" s="18">
        <f t="shared" si="13"/>
        <v>30</v>
      </c>
      <c r="C191" s="18" t="str">
        <f t="shared" si="10"/>
        <v>NODE_28_30</v>
      </c>
      <c r="D191" s="18"/>
      <c r="E191" s="18" t="s">
        <v>2659</v>
      </c>
      <c r="F191" s="18" t="s">
        <v>2659</v>
      </c>
      <c r="G191" s="21" t="s">
        <v>2669</v>
      </c>
      <c r="H191" s="21" t="s">
        <v>2670</v>
      </c>
      <c r="I191" s="8" t="s">
        <v>2671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>
      <c r="A192" s="18" t="str">
        <f t="shared" si="11"/>
        <v>NODE_28</v>
      </c>
      <c r="B192" s="18">
        <f t="shared" si="13"/>
        <v>31</v>
      </c>
      <c r="C192" s="18" t="str">
        <f t="shared" si="10"/>
        <v>NODE_28_31</v>
      </c>
      <c r="D192" s="18"/>
      <c r="E192" s="18" t="str">
        <f>VLOOKUP(F192,Overview!$A$1:$B$28,2,FALSE)</f>
        <v>GuanYu</v>
      </c>
      <c r="F192" s="18" t="s">
        <v>7</v>
      </c>
      <c r="G192" s="21" t="s">
        <v>2672</v>
      </c>
      <c r="H192" s="21" t="s">
        <v>2673</v>
      </c>
      <c r="I192" s="8" t="s">
        <v>2674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>
      <c r="A193" s="18" t="str">
        <f t="shared" si="11"/>
        <v>NODE_28</v>
      </c>
      <c r="B193" s="18">
        <f t="shared" si="13"/>
        <v>32</v>
      </c>
      <c r="C193" s="18" t="str">
        <f t="shared" si="10"/>
        <v>NODE_28_32</v>
      </c>
      <c r="D193" s="18"/>
      <c r="E193" s="18" t="str">
        <f>VLOOKUP(F193,Overview!$A$1:$B$28,2,FALSE)</f>
        <v>GuanYu</v>
      </c>
      <c r="F193" s="18" t="s">
        <v>7</v>
      </c>
      <c r="G193" s="21" t="s">
        <v>2675</v>
      </c>
      <c r="H193" s="21" t="s">
        <v>2676</v>
      </c>
      <c r="I193" s="8" t="s">
        <v>2677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>
      <c r="A194" s="18" t="str">
        <f t="shared" si="11"/>
        <v>NODE_28</v>
      </c>
      <c r="B194" s="18">
        <f t="shared" si="13"/>
        <v>33</v>
      </c>
      <c r="C194" s="18" t="str">
        <f t="shared" si="10"/>
        <v>NODE_28_33</v>
      </c>
      <c r="D194" s="18"/>
      <c r="E194" s="18" t="s">
        <v>2659</v>
      </c>
      <c r="F194" s="18" t="s">
        <v>2659</v>
      </c>
      <c r="G194" s="21" t="s">
        <v>2304</v>
      </c>
      <c r="H194" s="21" t="s">
        <v>2304</v>
      </c>
      <c r="I194" s="8" t="s">
        <v>2305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>
      <c r="A195" s="18" t="str">
        <f t="shared" si="11"/>
        <v>NODE_28</v>
      </c>
      <c r="B195" s="18">
        <f t="shared" si="13"/>
        <v>34</v>
      </c>
      <c r="C195" s="18" t="str">
        <f t="shared" si="10"/>
        <v>NODE_28_34</v>
      </c>
      <c r="D195" s="18"/>
      <c r="E195" s="18" t="s">
        <v>2659</v>
      </c>
      <c r="F195" s="18" t="s">
        <v>2659</v>
      </c>
      <c r="G195" s="21" t="s">
        <v>2678</v>
      </c>
      <c r="H195" s="21" t="s">
        <v>2679</v>
      </c>
      <c r="I195" s="8" t="s">
        <v>2680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>
      <c r="A196" s="18" t="str">
        <f t="shared" si="11"/>
        <v>NODE_28</v>
      </c>
      <c r="B196" s="18">
        <f t="shared" si="13"/>
        <v>35</v>
      </c>
      <c r="C196" s="18" t="str">
        <f t="shared" si="10"/>
        <v>NODE_28_35</v>
      </c>
      <c r="D196" s="18"/>
      <c r="E196" s="18" t="s">
        <v>2659</v>
      </c>
      <c r="F196" s="18" t="s">
        <v>2659</v>
      </c>
      <c r="G196" s="21" t="s">
        <v>2681</v>
      </c>
      <c r="H196" s="21" t="s">
        <v>2682</v>
      </c>
      <c r="I196" s="8" t="s">
        <v>2683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>
      <c r="A197" s="18" t="str">
        <f t="shared" si="11"/>
        <v>NODE_28</v>
      </c>
      <c r="B197" s="18">
        <f t="shared" si="13"/>
        <v>36</v>
      </c>
      <c r="C197" s="18" t="str">
        <f t="shared" si="10"/>
        <v>NODE_28_36</v>
      </c>
      <c r="D197" s="18"/>
      <c r="E197" s="18" t="s">
        <v>2659</v>
      </c>
      <c r="F197" s="18" t="s">
        <v>2659</v>
      </c>
      <c r="G197" s="21" t="s">
        <v>2684</v>
      </c>
      <c r="H197" s="21" t="s">
        <v>2685</v>
      </c>
      <c r="I197" s="8" t="s">
        <v>2686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>
      <c r="A198" s="18" t="str">
        <f t="shared" si="11"/>
        <v>NODE_28</v>
      </c>
      <c r="B198" s="18">
        <f t="shared" si="13"/>
        <v>37</v>
      </c>
      <c r="C198" s="18" t="str">
        <f t="shared" si="10"/>
        <v>NODE_28_37</v>
      </c>
      <c r="D198" s="18"/>
      <c r="E198" s="18" t="str">
        <f>VLOOKUP(F198,Overview!$A$1:$B$28,2,FALSE)</f>
        <v>GuanYu</v>
      </c>
      <c r="F198" s="18" t="s">
        <v>7</v>
      </c>
      <c r="G198" s="21" t="s">
        <v>2304</v>
      </c>
      <c r="H198" s="21" t="s">
        <v>2304</v>
      </c>
      <c r="I198" s="8" t="s">
        <v>2305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>
      <c r="A199" s="18" t="str">
        <f t="shared" si="11"/>
        <v>NODE_28</v>
      </c>
      <c r="B199" s="18">
        <f t="shared" si="13"/>
        <v>38</v>
      </c>
      <c r="C199" s="18" t="str">
        <f t="shared" si="10"/>
        <v>NODE_28_38</v>
      </c>
      <c r="D199" s="18"/>
      <c r="E199" s="18" t="str">
        <f>VLOOKUP(F199,Overview!$A$1:$B$28,2,FALSE)</f>
        <v>XiahouDun</v>
      </c>
      <c r="F199" s="18" t="s">
        <v>24</v>
      </c>
      <c r="G199" s="21" t="s">
        <v>2687</v>
      </c>
      <c r="H199" s="21" t="s">
        <v>2688</v>
      </c>
      <c r="I199" s="8" t="s">
        <v>2689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>
      <c r="A200" s="18"/>
      <c r="B200" s="18"/>
      <c r="C200" s="18"/>
      <c r="D200" s="18"/>
      <c r="E200" s="18"/>
      <c r="F200" s="18"/>
      <c r="G200" s="21"/>
      <c r="H200" s="21"/>
      <c r="I200" s="18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>
      <c r="A201" s="18" t="s">
        <v>2690</v>
      </c>
      <c r="B201" s="18">
        <v>0</v>
      </c>
      <c r="C201" s="18" t="str">
        <f t="shared" ref="C201:C239" si="14">CONCATENATE(A201, "_", B201, IF(D201&lt;&gt;"", "_"&amp;D201, ""))</f>
        <v>NODE_29_0</v>
      </c>
      <c r="D201" s="18"/>
      <c r="E201" s="18" t="str">
        <f>VLOOKUP(F201,Overview!$A$1:$B$28,2,FALSE)</f>
        <v>XiahouDun</v>
      </c>
      <c r="F201" s="18" t="s">
        <v>24</v>
      </c>
      <c r="G201" s="21" t="s">
        <v>2691</v>
      </c>
      <c r="H201" s="21" t="s">
        <v>2692</v>
      </c>
      <c r="I201" s="8" t="s">
        <v>2693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>
      <c r="A202" s="18" t="str">
        <f t="shared" ref="A202:A239" si="15">A201</f>
        <v>NODE_29</v>
      </c>
      <c r="B202" s="18">
        <f t="shared" ref="B202:B239" si="16">B201+1</f>
        <v>1</v>
      </c>
      <c r="C202" s="18" t="str">
        <f t="shared" si="14"/>
        <v>NODE_29_1</v>
      </c>
      <c r="D202" s="18"/>
      <c r="E202" s="18" t="str">
        <f>VLOOKUP(F202,Overview!$A$1:$B$28,2,FALSE)</f>
        <v>XiahouDun</v>
      </c>
      <c r="F202" s="18" t="s">
        <v>24</v>
      </c>
      <c r="G202" s="21" t="s">
        <v>2694</v>
      </c>
      <c r="H202" s="21" t="s">
        <v>2695</v>
      </c>
      <c r="I202" s="8" t="s">
        <v>2696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>
      <c r="A203" s="18" t="str">
        <f t="shared" si="15"/>
        <v>NODE_29</v>
      </c>
      <c r="B203" s="18">
        <f t="shared" si="16"/>
        <v>2</v>
      </c>
      <c r="C203" s="18" t="str">
        <f t="shared" si="14"/>
        <v>NODE_29_2</v>
      </c>
      <c r="D203" s="18"/>
      <c r="E203" s="18" t="str">
        <f>VLOOKUP(F203,Overview!$A$1:$B$28,2,FALSE)</f>
        <v>GuanYu</v>
      </c>
      <c r="F203" s="18" t="s">
        <v>7</v>
      </c>
      <c r="G203" s="21" t="s">
        <v>2304</v>
      </c>
      <c r="H203" s="21" t="s">
        <v>2304</v>
      </c>
      <c r="I203" s="8" t="s">
        <v>2305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>
      <c r="A204" s="18" t="str">
        <f t="shared" si="15"/>
        <v>NODE_29</v>
      </c>
      <c r="B204" s="18">
        <f t="shared" si="16"/>
        <v>3</v>
      </c>
      <c r="C204" s="18" t="str">
        <f t="shared" si="14"/>
        <v>NODE_29_3</v>
      </c>
      <c r="D204" s="18"/>
      <c r="E204" s="18" t="str">
        <f>VLOOKUP(F204,Overview!$A$1:$B$28,2,FALSE)</f>
        <v>XiahouDun</v>
      </c>
      <c r="F204" s="18" t="s">
        <v>24</v>
      </c>
      <c r="G204" s="21" t="s">
        <v>2697</v>
      </c>
      <c r="H204" s="21" t="s">
        <v>2698</v>
      </c>
      <c r="I204" s="8" t="s">
        <v>2699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>
      <c r="A205" s="18" t="str">
        <f t="shared" si="15"/>
        <v>NODE_29</v>
      </c>
      <c r="B205" s="18">
        <f t="shared" si="16"/>
        <v>4</v>
      </c>
      <c r="C205" s="18" t="str">
        <f t="shared" si="14"/>
        <v>NODE_29_4</v>
      </c>
      <c r="D205" s="18"/>
      <c r="E205" s="18" t="str">
        <f>VLOOKUP(F205,Overview!$A$1:$B$28,2,FALSE)</f>
        <v>GuanYu</v>
      </c>
      <c r="F205" s="18" t="s">
        <v>7</v>
      </c>
      <c r="G205" s="21" t="s">
        <v>2700</v>
      </c>
      <c r="H205" s="21" t="s">
        <v>2701</v>
      </c>
      <c r="I205" s="8" t="s">
        <v>2702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>
      <c r="A206" s="18" t="str">
        <f t="shared" si="15"/>
        <v>NODE_29</v>
      </c>
      <c r="B206" s="18">
        <f t="shared" si="16"/>
        <v>5</v>
      </c>
      <c r="C206" s="18" t="str">
        <f t="shared" si="14"/>
        <v>NODE_29_5</v>
      </c>
      <c r="D206" s="18"/>
      <c r="E206" s="18" t="str">
        <f>VLOOKUP(F206,Overview!$A$1:$B$28,2,FALSE)</f>
        <v>XiahouDun</v>
      </c>
      <c r="F206" s="18" t="s">
        <v>24</v>
      </c>
      <c r="G206" s="21" t="s">
        <v>2703</v>
      </c>
      <c r="H206" s="21" t="s">
        <v>2704</v>
      </c>
      <c r="I206" s="8" t="s">
        <v>2705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>
      <c r="A207" s="18" t="str">
        <f t="shared" si="15"/>
        <v>NODE_29</v>
      </c>
      <c r="B207" s="18">
        <f t="shared" si="16"/>
        <v>6</v>
      </c>
      <c r="C207" s="18" t="str">
        <f t="shared" si="14"/>
        <v>NODE_29_6</v>
      </c>
      <c r="D207" s="18"/>
      <c r="E207" s="18" t="str">
        <f>VLOOKUP(F207,Overview!$A$1:$B$28,2,FALSE)</f>
        <v>XiahouYuan</v>
      </c>
      <c r="F207" s="18" t="s">
        <v>28</v>
      </c>
      <c r="G207" s="21" t="s">
        <v>2706</v>
      </c>
      <c r="H207" s="21" t="s">
        <v>2707</v>
      </c>
      <c r="I207" s="8" t="s">
        <v>2708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>
      <c r="A208" s="18" t="str">
        <f t="shared" si="15"/>
        <v>NODE_29</v>
      </c>
      <c r="B208" s="18">
        <f t="shared" si="16"/>
        <v>7</v>
      </c>
      <c r="C208" s="18" t="str">
        <f t="shared" si="14"/>
        <v>NODE_29_7</v>
      </c>
      <c r="D208" s="18"/>
      <c r="E208" s="18" t="str">
        <f>VLOOKUP(F208,Overview!$A$1:$B$28,2,FALSE)</f>
        <v>ZhangLiao</v>
      </c>
      <c r="F208" s="18" t="s">
        <v>26</v>
      </c>
      <c r="G208" s="21" t="s">
        <v>2348</v>
      </c>
      <c r="H208" s="21" t="s">
        <v>2349</v>
      </c>
      <c r="I208" s="8" t="s">
        <v>2193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>
      <c r="A209" s="18" t="str">
        <f t="shared" si="15"/>
        <v>NODE_29</v>
      </c>
      <c r="B209" s="18">
        <f t="shared" si="16"/>
        <v>8</v>
      </c>
      <c r="C209" s="18" t="str">
        <f t="shared" si="14"/>
        <v>NODE_29_8</v>
      </c>
      <c r="D209" s="18"/>
      <c r="E209" s="18" t="str">
        <f>VLOOKUP(F209,Overview!$A$1:$B$28,2,FALSE)</f>
        <v>ZhaoYun</v>
      </c>
      <c r="F209" s="18" t="s">
        <v>13</v>
      </c>
      <c r="G209" s="21" t="s">
        <v>2709</v>
      </c>
      <c r="H209" s="21" t="s">
        <v>2709</v>
      </c>
      <c r="I209" s="8" t="s">
        <v>2710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>
      <c r="A210" s="18" t="str">
        <f t="shared" si="15"/>
        <v>NODE_29</v>
      </c>
      <c r="B210" s="18">
        <f t="shared" si="16"/>
        <v>9</v>
      </c>
      <c r="C210" s="18" t="str">
        <f t="shared" si="14"/>
        <v>NODE_29_9</v>
      </c>
      <c r="D210" s="18"/>
      <c r="E210" s="18" t="str">
        <f>VLOOKUP(F210,Overview!$A$1:$B$28,2,FALSE)</f>
        <v>GuanYu</v>
      </c>
      <c r="F210" s="18" t="s">
        <v>7</v>
      </c>
      <c r="G210" s="21" t="s">
        <v>2711</v>
      </c>
      <c r="H210" s="21" t="s">
        <v>2712</v>
      </c>
      <c r="I210" s="8" t="s">
        <v>2713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>
      <c r="A211" s="18" t="str">
        <f t="shared" si="15"/>
        <v>NODE_29</v>
      </c>
      <c r="B211" s="18">
        <f t="shared" si="16"/>
        <v>10</v>
      </c>
      <c r="C211" s="18" t="str">
        <f t="shared" si="14"/>
        <v>NODE_29_10</v>
      </c>
      <c r="D211" s="18"/>
      <c r="E211" s="18" t="str">
        <f>VLOOKUP(F211,Overview!$A$1:$B$28,2,FALSE)</f>
        <v>ZhaoYun</v>
      </c>
      <c r="F211" s="18" t="s">
        <v>13</v>
      </c>
      <c r="G211" s="21" t="s">
        <v>2714</v>
      </c>
      <c r="H211" s="21" t="s">
        <v>2715</v>
      </c>
      <c r="I211" s="8" t="s">
        <v>2716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>
      <c r="A212" s="18" t="str">
        <f t="shared" si="15"/>
        <v>NODE_29</v>
      </c>
      <c r="B212" s="18">
        <f t="shared" si="16"/>
        <v>11</v>
      </c>
      <c r="C212" s="18" t="str">
        <f t="shared" si="14"/>
        <v>NODE_29_11</v>
      </c>
      <c r="D212" s="18"/>
      <c r="E212" s="18" t="str">
        <f>VLOOKUP(F212,Overview!$A$1:$B$28,2,FALSE)</f>
        <v>GuanYu</v>
      </c>
      <c r="F212" s="18" t="s">
        <v>7</v>
      </c>
      <c r="G212" s="21" t="s">
        <v>2717</v>
      </c>
      <c r="H212" s="21" t="s">
        <v>2718</v>
      </c>
      <c r="I212" s="8" t="s">
        <v>2719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>
      <c r="A213" s="18" t="str">
        <f t="shared" si="15"/>
        <v>NODE_29</v>
      </c>
      <c r="B213" s="18">
        <f t="shared" si="16"/>
        <v>12</v>
      </c>
      <c r="C213" s="18" t="str">
        <f t="shared" si="14"/>
        <v>NODE_29_12</v>
      </c>
      <c r="D213" s="18"/>
      <c r="E213" s="18" t="str">
        <f>VLOOKUP(F213,Overview!$A$1:$B$28,2,FALSE)</f>
        <v>ZhaoYun</v>
      </c>
      <c r="F213" s="18" t="s">
        <v>13</v>
      </c>
      <c r="G213" s="21" t="s">
        <v>2720</v>
      </c>
      <c r="H213" s="21" t="s">
        <v>2721</v>
      </c>
      <c r="I213" s="8" t="s">
        <v>2722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>
      <c r="A214" s="18" t="str">
        <f t="shared" si="15"/>
        <v>NODE_29</v>
      </c>
      <c r="B214" s="18">
        <f t="shared" si="16"/>
        <v>13</v>
      </c>
      <c r="C214" s="18" t="str">
        <f t="shared" si="14"/>
        <v>NODE_29_13</v>
      </c>
      <c r="D214" s="18"/>
      <c r="E214" s="18" t="str">
        <f>VLOOKUP(F214,Overview!$A$1:$B$28,2,FALSE)</f>
        <v>GuanYu</v>
      </c>
      <c r="F214" s="18" t="s">
        <v>7</v>
      </c>
      <c r="G214" s="21" t="s">
        <v>2723</v>
      </c>
      <c r="H214" s="21" t="s">
        <v>2724</v>
      </c>
      <c r="I214" s="8" t="s">
        <v>2725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>
      <c r="A215" s="18" t="str">
        <f t="shared" si="15"/>
        <v>NODE_29</v>
      </c>
      <c r="B215" s="18">
        <f t="shared" si="16"/>
        <v>14</v>
      </c>
      <c r="C215" s="18" t="str">
        <f t="shared" si="14"/>
        <v>NODE_29_14</v>
      </c>
      <c r="D215" s="18"/>
      <c r="E215" s="18" t="str">
        <f>VLOOKUP(F215,Overview!$A$1:$B$28,2,FALSE)</f>
        <v>GuanYu</v>
      </c>
      <c r="F215" s="18" t="s">
        <v>7</v>
      </c>
      <c r="G215" s="21" t="s">
        <v>2726</v>
      </c>
      <c r="H215" s="21" t="s">
        <v>2727</v>
      </c>
      <c r="I215" s="8" t="s">
        <v>2728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>
      <c r="A216" s="18" t="str">
        <f t="shared" si="15"/>
        <v>NODE_29</v>
      </c>
      <c r="B216" s="18">
        <f t="shared" si="16"/>
        <v>15</v>
      </c>
      <c r="C216" s="18" t="str">
        <f t="shared" si="14"/>
        <v>NODE_29_15</v>
      </c>
      <c r="D216" s="18"/>
      <c r="E216" s="18" t="str">
        <f>VLOOKUP(F216,Overview!$A$1:$B$28,2,FALSE)</f>
        <v>ZhaoYun</v>
      </c>
      <c r="F216" s="18" t="s">
        <v>13</v>
      </c>
      <c r="G216" s="21" t="s">
        <v>2729</v>
      </c>
      <c r="H216" s="21" t="s">
        <v>2730</v>
      </c>
      <c r="I216" s="8" t="s">
        <v>2731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>
      <c r="A217" s="18" t="str">
        <f t="shared" si="15"/>
        <v>NODE_29</v>
      </c>
      <c r="B217" s="18">
        <f t="shared" si="16"/>
        <v>16</v>
      </c>
      <c r="C217" s="18" t="str">
        <f t="shared" si="14"/>
        <v>NODE_29_16</v>
      </c>
      <c r="D217" s="18"/>
      <c r="E217" s="18" t="str">
        <f>VLOOKUP(F217,Overview!$A$1:$B$28,2,FALSE)</f>
        <v>GuanYu</v>
      </c>
      <c r="F217" s="18" t="s">
        <v>7</v>
      </c>
      <c r="G217" s="21" t="s">
        <v>2732</v>
      </c>
      <c r="H217" s="21" t="s">
        <v>2733</v>
      </c>
      <c r="I217" s="8" t="s">
        <v>2734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>
      <c r="A218" s="18" t="str">
        <f t="shared" si="15"/>
        <v>NODE_29</v>
      </c>
      <c r="B218" s="18">
        <f t="shared" si="16"/>
        <v>17</v>
      </c>
      <c r="C218" s="18" t="str">
        <f t="shared" si="14"/>
        <v>NODE_29_17</v>
      </c>
      <c r="D218" s="18"/>
      <c r="E218" s="18" t="str">
        <f>VLOOKUP(F218,Overview!$A$1:$B$28,2,FALSE)</f>
        <v>ZhaoYun</v>
      </c>
      <c r="F218" s="18" t="s">
        <v>13</v>
      </c>
      <c r="G218" s="21" t="s">
        <v>2735</v>
      </c>
      <c r="H218" s="21" t="s">
        <v>2736</v>
      </c>
      <c r="I218" s="8" t="s">
        <v>2737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>
      <c r="A219" s="18" t="str">
        <f t="shared" si="15"/>
        <v>NODE_29</v>
      </c>
      <c r="B219" s="18">
        <f t="shared" si="16"/>
        <v>18</v>
      </c>
      <c r="C219" s="18" t="str">
        <f t="shared" si="14"/>
        <v>NODE_29_18</v>
      </c>
      <c r="D219" s="18"/>
      <c r="E219" s="18" t="str">
        <f>VLOOKUP(F219,Overview!$A$1:$B$28,2,FALSE)</f>
        <v>GuanYu</v>
      </c>
      <c r="F219" s="18" t="s">
        <v>7</v>
      </c>
      <c r="G219" s="21" t="s">
        <v>2738</v>
      </c>
      <c r="H219" s="21" t="s">
        <v>2739</v>
      </c>
      <c r="I219" s="8" t="s">
        <v>2740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>
      <c r="A220" s="18" t="str">
        <f t="shared" si="15"/>
        <v>NODE_29</v>
      </c>
      <c r="B220" s="18">
        <f t="shared" si="16"/>
        <v>19</v>
      </c>
      <c r="C220" s="18" t="str">
        <f t="shared" si="14"/>
        <v>NODE_29_19</v>
      </c>
      <c r="D220" s="18"/>
      <c r="E220" s="18" t="str">
        <f>VLOOKUP(F220,Overview!$A$1:$B$28,2,FALSE)</f>
        <v>ZhaoYun</v>
      </c>
      <c r="F220" s="18" t="s">
        <v>13</v>
      </c>
      <c r="G220" s="21" t="s">
        <v>2304</v>
      </c>
      <c r="H220" s="21" t="s">
        <v>2304</v>
      </c>
      <c r="I220" s="8" t="s">
        <v>2305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>
      <c r="A221" s="18" t="str">
        <f t="shared" si="15"/>
        <v>NODE_29</v>
      </c>
      <c r="B221" s="18">
        <f t="shared" si="16"/>
        <v>20</v>
      </c>
      <c r="C221" s="18" t="str">
        <f t="shared" si="14"/>
        <v>NODE_29_20</v>
      </c>
      <c r="D221" s="18"/>
      <c r="E221" s="18" t="str">
        <f>VLOOKUP(F221,Overview!$A$1:$B$28,2,FALSE)</f>
        <v>ZhaoYun</v>
      </c>
      <c r="F221" s="18" t="s">
        <v>13</v>
      </c>
      <c r="G221" s="21" t="s">
        <v>2741</v>
      </c>
      <c r="H221" s="21" t="s">
        <v>2742</v>
      </c>
      <c r="I221" s="8" t="s">
        <v>2743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>
      <c r="A222" s="18" t="str">
        <f t="shared" si="15"/>
        <v>NODE_29</v>
      </c>
      <c r="B222" s="18">
        <f t="shared" si="16"/>
        <v>21</v>
      </c>
      <c r="C222" s="18" t="str">
        <f t="shared" si="14"/>
        <v>NODE_29_21</v>
      </c>
      <c r="D222" s="18"/>
      <c r="E222" s="18" t="str">
        <f>VLOOKUP(F222,Overview!$A$1:$B$28,2,FALSE)</f>
        <v>GuanYu</v>
      </c>
      <c r="F222" s="18" t="s">
        <v>7</v>
      </c>
      <c r="G222" s="21" t="s">
        <v>2744</v>
      </c>
      <c r="H222" s="21" t="s">
        <v>2745</v>
      </c>
      <c r="I222" s="8" t="s">
        <v>2746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>
      <c r="A223" s="18" t="str">
        <f t="shared" si="15"/>
        <v>NODE_29</v>
      </c>
      <c r="B223" s="18">
        <f t="shared" si="16"/>
        <v>22</v>
      </c>
      <c r="C223" s="18" t="str">
        <f t="shared" si="14"/>
        <v>NODE_29_22</v>
      </c>
      <c r="D223" s="18"/>
      <c r="E223" s="18" t="str">
        <f>VLOOKUP(F223,Overview!$A$1:$B$28,2,FALSE)</f>
        <v>ZhangLiao</v>
      </c>
      <c r="F223" s="18" t="s">
        <v>26</v>
      </c>
      <c r="G223" s="21" t="s">
        <v>2747</v>
      </c>
      <c r="H223" s="21" t="s">
        <v>2748</v>
      </c>
      <c r="I223" s="8" t="s">
        <v>2749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>
      <c r="A224" s="18" t="str">
        <f t="shared" si="15"/>
        <v>NODE_29</v>
      </c>
      <c r="B224" s="18">
        <f t="shared" si="16"/>
        <v>23</v>
      </c>
      <c r="C224" s="18" t="str">
        <f t="shared" si="14"/>
        <v>NODE_29_23</v>
      </c>
      <c r="D224" s="18"/>
      <c r="E224" s="18" t="str">
        <f>VLOOKUP(F224,Overview!$A$1:$B$28,2,FALSE)</f>
        <v>ZhaoYun</v>
      </c>
      <c r="F224" s="18" t="s">
        <v>13</v>
      </c>
      <c r="G224" s="21" t="s">
        <v>2750</v>
      </c>
      <c r="H224" s="21" t="s">
        <v>2751</v>
      </c>
      <c r="I224" s="8" t="s">
        <v>2752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>
      <c r="A225" s="18" t="str">
        <f t="shared" si="15"/>
        <v>NODE_29</v>
      </c>
      <c r="B225" s="18">
        <f t="shared" si="16"/>
        <v>24</v>
      </c>
      <c r="C225" s="18" t="str">
        <f t="shared" si="14"/>
        <v>NODE_29_24</v>
      </c>
      <c r="D225" s="18"/>
      <c r="E225" s="18" t="str">
        <f>VLOOKUP(F225,Overview!$A$1:$B$28,2,FALSE)</f>
        <v>GuanYu</v>
      </c>
      <c r="F225" s="18" t="s">
        <v>7</v>
      </c>
      <c r="G225" s="21" t="s">
        <v>2753</v>
      </c>
      <c r="H225" s="21" t="s">
        <v>2754</v>
      </c>
      <c r="I225" s="8" t="s">
        <v>2755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>
      <c r="A226" s="18" t="str">
        <f t="shared" si="15"/>
        <v>NODE_29</v>
      </c>
      <c r="B226" s="18">
        <f t="shared" si="16"/>
        <v>25</v>
      </c>
      <c r="C226" s="18" t="str">
        <f t="shared" si="14"/>
        <v>NODE_29_25</v>
      </c>
      <c r="D226" s="18"/>
      <c r="E226" s="18" t="str">
        <f>VLOOKUP(F226,Overview!$A$1:$B$28,2,FALSE)</f>
        <v>ZhangLiao</v>
      </c>
      <c r="F226" s="18" t="s">
        <v>26</v>
      </c>
      <c r="G226" s="21" t="s">
        <v>2756</v>
      </c>
      <c r="H226" s="21" t="s">
        <v>2757</v>
      </c>
      <c r="I226" s="8" t="s">
        <v>2758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>
      <c r="A227" s="18" t="str">
        <f t="shared" si="15"/>
        <v>NODE_29</v>
      </c>
      <c r="B227" s="18">
        <f t="shared" si="16"/>
        <v>26</v>
      </c>
      <c r="C227" s="18" t="str">
        <f t="shared" si="14"/>
        <v>NODE_29_26</v>
      </c>
      <c r="D227" s="18"/>
      <c r="E227" s="18" t="str">
        <f>VLOOKUP(F227,Overview!$A$1:$B$28,2,FALSE)</f>
        <v>GuanYu</v>
      </c>
      <c r="F227" s="18" t="s">
        <v>7</v>
      </c>
      <c r="G227" s="21" t="s">
        <v>2759</v>
      </c>
      <c r="H227" s="21" t="s">
        <v>2760</v>
      </c>
      <c r="I227" s="8" t="s">
        <v>2761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>
      <c r="A228" s="18" t="str">
        <f t="shared" si="15"/>
        <v>NODE_29</v>
      </c>
      <c r="B228" s="18">
        <f t="shared" si="16"/>
        <v>27</v>
      </c>
      <c r="C228" s="18" t="str">
        <f t="shared" si="14"/>
        <v>NODE_29_27</v>
      </c>
      <c r="D228" s="18"/>
      <c r="E228" s="18" t="str">
        <f>VLOOKUP(F228,Overview!$A$1:$B$28,2,FALSE)</f>
        <v>ZhangLiao</v>
      </c>
      <c r="F228" s="18" t="s">
        <v>26</v>
      </c>
      <c r="G228" s="21" t="s">
        <v>2762</v>
      </c>
      <c r="H228" s="21" t="s">
        <v>2763</v>
      </c>
      <c r="I228" s="8" t="s">
        <v>2764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>
      <c r="A229" s="18" t="str">
        <f t="shared" si="15"/>
        <v>NODE_29</v>
      </c>
      <c r="B229" s="18">
        <f t="shared" si="16"/>
        <v>28</v>
      </c>
      <c r="C229" s="18" t="str">
        <f t="shared" si="14"/>
        <v>NODE_29_28</v>
      </c>
      <c r="D229" s="18"/>
      <c r="E229" s="18" t="str">
        <f>VLOOKUP(F229,Overview!$A$1:$B$28,2,FALSE)</f>
        <v>GuanYu</v>
      </c>
      <c r="F229" s="18" t="s">
        <v>7</v>
      </c>
      <c r="G229" s="21" t="s">
        <v>2765</v>
      </c>
      <c r="H229" s="21" t="s">
        <v>2766</v>
      </c>
      <c r="I229" s="8" t="s">
        <v>2767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>
      <c r="A230" s="18" t="str">
        <f t="shared" si="15"/>
        <v>NODE_29</v>
      </c>
      <c r="B230" s="18">
        <f t="shared" si="16"/>
        <v>29</v>
      </c>
      <c r="C230" s="18" t="str">
        <f t="shared" si="14"/>
        <v>NODE_29_29</v>
      </c>
      <c r="D230" s="18"/>
      <c r="E230" s="18" t="str">
        <f>VLOOKUP(F230,Overview!$A$1:$B$28,2,FALSE)</f>
        <v>ZhangLiao</v>
      </c>
      <c r="F230" s="18" t="s">
        <v>26</v>
      </c>
      <c r="G230" s="21" t="s">
        <v>2768</v>
      </c>
      <c r="H230" s="21" t="s">
        <v>2769</v>
      </c>
      <c r="I230" s="8" t="s">
        <v>2770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>
      <c r="A231" s="18" t="str">
        <f t="shared" si="15"/>
        <v>NODE_29</v>
      </c>
      <c r="B231" s="18">
        <f t="shared" si="16"/>
        <v>30</v>
      </c>
      <c r="C231" s="18" t="str">
        <f t="shared" si="14"/>
        <v>NODE_29_30</v>
      </c>
      <c r="D231" s="18"/>
      <c r="E231" s="18" t="str">
        <f>VLOOKUP(F231,Overview!$A$1:$B$28,2,FALSE)</f>
        <v>ZhangLiao</v>
      </c>
      <c r="F231" s="18" t="s">
        <v>26</v>
      </c>
      <c r="G231" s="21" t="s">
        <v>2771</v>
      </c>
      <c r="H231" s="21" t="s">
        <v>2772</v>
      </c>
      <c r="I231" s="8" t="s">
        <v>2773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>
      <c r="A232" s="18" t="str">
        <f t="shared" si="15"/>
        <v>NODE_29</v>
      </c>
      <c r="B232" s="18">
        <f t="shared" si="16"/>
        <v>31</v>
      </c>
      <c r="C232" s="18" t="str">
        <f t="shared" si="14"/>
        <v>NODE_29_31</v>
      </c>
      <c r="D232" s="18"/>
      <c r="E232" s="18" t="str">
        <f>VLOOKUP(F232,Overview!$A$1:$B$28,2,FALSE)</f>
        <v>GuanYu</v>
      </c>
      <c r="F232" s="18" t="s">
        <v>7</v>
      </c>
      <c r="G232" s="21" t="s">
        <v>2774</v>
      </c>
      <c r="H232" s="21" t="s">
        <v>2775</v>
      </c>
      <c r="I232" s="8" t="s">
        <v>2776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>
      <c r="A233" s="18" t="str">
        <f t="shared" si="15"/>
        <v>NODE_29</v>
      </c>
      <c r="B233" s="18">
        <f t="shared" si="16"/>
        <v>32</v>
      </c>
      <c r="C233" s="18" t="str">
        <f t="shared" si="14"/>
        <v>NODE_29_32</v>
      </c>
      <c r="D233" s="18"/>
      <c r="E233" s="18"/>
      <c r="F233" s="18"/>
      <c r="G233" s="21"/>
      <c r="H233" s="21"/>
      <c r="I233" s="18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>
      <c r="A234" s="18" t="str">
        <f t="shared" si="15"/>
        <v>NODE_29</v>
      </c>
      <c r="B234" s="18">
        <f t="shared" si="16"/>
        <v>33</v>
      </c>
      <c r="C234" s="18" t="str">
        <f t="shared" si="14"/>
        <v>NODE_29_33</v>
      </c>
      <c r="D234" s="18"/>
      <c r="E234" s="18" t="str">
        <f>VLOOKUP(F234,Overview!$A$1:$B$28,2,FALSE)</f>
        <v>GuanYu</v>
      </c>
      <c r="F234" s="18" t="s">
        <v>7</v>
      </c>
      <c r="G234" s="21" t="s">
        <v>2304</v>
      </c>
      <c r="H234" s="21" t="s">
        <v>2304</v>
      </c>
      <c r="I234" s="8" t="s">
        <v>2305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>
      <c r="A235" s="18" t="str">
        <f t="shared" si="15"/>
        <v>NODE_29</v>
      </c>
      <c r="B235" s="18">
        <f t="shared" si="16"/>
        <v>34</v>
      </c>
      <c r="C235" s="18" t="str">
        <f t="shared" si="14"/>
        <v>NODE_29_34</v>
      </c>
      <c r="D235" s="18"/>
      <c r="E235" s="18" t="str">
        <f>VLOOKUP(F235,Overview!$A$1:$B$28,2,FALSE)</f>
        <v>GuanYu</v>
      </c>
      <c r="F235" s="18" t="s">
        <v>7</v>
      </c>
      <c r="G235" s="21" t="s">
        <v>2777</v>
      </c>
      <c r="H235" s="21" t="s">
        <v>2778</v>
      </c>
      <c r="I235" s="8" t="s">
        <v>2779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>
      <c r="A236" s="18" t="str">
        <f t="shared" si="15"/>
        <v>NODE_29</v>
      </c>
      <c r="B236" s="18">
        <f t="shared" si="16"/>
        <v>35</v>
      </c>
      <c r="C236" s="18" t="str">
        <f t="shared" si="14"/>
        <v>NODE_29_35</v>
      </c>
      <c r="D236" s="18"/>
      <c r="E236" s="18" t="str">
        <f>VLOOKUP(F236,Overview!$A$1:$B$28,2,FALSE)</f>
        <v>GuanYu</v>
      </c>
      <c r="F236" s="18" t="s">
        <v>7</v>
      </c>
      <c r="G236" s="21" t="s">
        <v>2780</v>
      </c>
      <c r="H236" s="21" t="s">
        <v>2781</v>
      </c>
      <c r="I236" s="8" t="s">
        <v>2782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>
      <c r="A237" s="18" t="str">
        <f t="shared" si="15"/>
        <v>NODE_29</v>
      </c>
      <c r="B237" s="18">
        <f t="shared" si="16"/>
        <v>36</v>
      </c>
      <c r="C237" s="18" t="str">
        <f t="shared" si="14"/>
        <v>NODE_29_36</v>
      </c>
      <c r="D237" s="18"/>
      <c r="E237" s="18" t="str">
        <f>VLOOKUP(F237,Overview!$A$1:$B$28,2,FALSE)</f>
        <v>XiahouDun</v>
      </c>
      <c r="F237" s="18" t="s">
        <v>24</v>
      </c>
      <c r="G237" s="21" t="s">
        <v>2783</v>
      </c>
      <c r="H237" s="21" t="s">
        <v>2784</v>
      </c>
      <c r="I237" s="8" t="s">
        <v>2785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>
      <c r="A238" s="18" t="str">
        <f t="shared" si="15"/>
        <v>NODE_29</v>
      </c>
      <c r="B238" s="18">
        <f t="shared" si="16"/>
        <v>37</v>
      </c>
      <c r="C238" s="18" t="str">
        <f t="shared" si="14"/>
        <v>NODE_29_37</v>
      </c>
      <c r="D238" s="18"/>
      <c r="E238" s="18" t="str">
        <f>VLOOKUP(F238,Overview!$A$1:$B$28,2,FALSE)</f>
        <v>GuanYu</v>
      </c>
      <c r="F238" s="18" t="s">
        <v>7</v>
      </c>
      <c r="G238" s="21" t="s">
        <v>2786</v>
      </c>
      <c r="H238" s="21" t="s">
        <v>2787</v>
      </c>
      <c r="I238" s="8" t="s">
        <v>2788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>
      <c r="A239" s="18" t="str">
        <f t="shared" si="15"/>
        <v>NODE_29</v>
      </c>
      <c r="B239" s="18">
        <f t="shared" si="16"/>
        <v>38</v>
      </c>
      <c r="C239" s="18" t="str">
        <f t="shared" si="14"/>
        <v>NODE_29_38</v>
      </c>
      <c r="D239" s="18"/>
      <c r="E239" s="18" t="str">
        <f>VLOOKUP(F239,Overview!$A$1:$B$28,2,FALSE)</f>
        <v>XiahouDun</v>
      </c>
      <c r="F239" s="18" t="s">
        <v>24</v>
      </c>
      <c r="G239" s="21" t="s">
        <v>2789</v>
      </c>
      <c r="H239" s="21" t="s">
        <v>2790</v>
      </c>
      <c r="I239" s="8" t="s">
        <v>2791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>
      <c r="A240" s="18"/>
      <c r="B240" s="18"/>
      <c r="C240" s="18"/>
      <c r="D240" s="18"/>
      <c r="E240" s="18"/>
      <c r="F240" s="18"/>
      <c r="G240" s="21"/>
      <c r="H240" s="21"/>
      <c r="I240" s="18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>
      <c r="A241" s="18" t="s">
        <v>2792</v>
      </c>
      <c r="B241" s="18">
        <v>0</v>
      </c>
      <c r="C241" s="18" t="str">
        <f t="shared" ref="C241:C300" si="17">CONCATENATE(A241, "_", B241, IF(D241&lt;&gt;"", "_"&amp;D241, ""))</f>
        <v>NODE_31_0</v>
      </c>
      <c r="D241" s="18"/>
      <c r="E241" s="18" t="str">
        <f>VLOOKUP(F241,Overview!$A$1:$B$28,2,FALSE)</f>
        <v>CaoRen</v>
      </c>
      <c r="F241" s="18" t="s">
        <v>22</v>
      </c>
      <c r="G241" s="21" t="s">
        <v>2793</v>
      </c>
      <c r="H241" s="21" t="s">
        <v>2794</v>
      </c>
      <c r="I241" s="8" t="s">
        <v>2795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>
      <c r="A242" s="18" t="str">
        <f t="shared" ref="A242:A300" si="18">A241</f>
        <v>NODE_31</v>
      </c>
      <c r="B242" s="18">
        <f t="shared" ref="B242:B300" si="19">B241+1</f>
        <v>1</v>
      </c>
      <c r="C242" s="18" t="str">
        <f t="shared" si="17"/>
        <v>NODE_31_1</v>
      </c>
      <c r="D242" s="18"/>
      <c r="E242" s="18" t="str">
        <f>VLOOKUP(F242,Overview!$A$1:$B$28,2,FALSE)</f>
        <v>CaoRen</v>
      </c>
      <c r="F242" s="18" t="s">
        <v>22</v>
      </c>
      <c r="G242" s="21" t="s">
        <v>2796</v>
      </c>
      <c r="H242" s="21" t="s">
        <v>2797</v>
      </c>
      <c r="I242" s="8" t="s">
        <v>2798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>
      <c r="A243" s="18" t="str">
        <f t="shared" si="18"/>
        <v>NODE_31</v>
      </c>
      <c r="B243" s="18">
        <f t="shared" si="19"/>
        <v>2</v>
      </c>
      <c r="C243" s="18" t="str">
        <f t="shared" si="17"/>
        <v>NODE_31_2</v>
      </c>
      <c r="D243" s="18"/>
      <c r="E243" s="18" t="str">
        <f>VLOOKUP(F243,Overview!$A$1:$B$28,2,FALSE)</f>
        <v>ZhangFei</v>
      </c>
      <c r="F243" s="18" t="s">
        <v>10</v>
      </c>
      <c r="G243" s="21" t="s">
        <v>2799</v>
      </c>
      <c r="H243" s="21" t="s">
        <v>2800</v>
      </c>
      <c r="I243" s="8" t="s">
        <v>2801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>
      <c r="A244" s="18" t="str">
        <f t="shared" si="18"/>
        <v>NODE_31</v>
      </c>
      <c r="B244" s="18">
        <f t="shared" si="19"/>
        <v>3</v>
      </c>
      <c r="C244" s="18" t="str">
        <f t="shared" si="17"/>
        <v>NODE_31_3</v>
      </c>
      <c r="D244" s="18"/>
      <c r="E244" s="18" t="str">
        <f>VLOOKUP(F244,Overview!$A$1:$B$28,2,FALSE)</f>
        <v>CaoCao</v>
      </c>
      <c r="F244" s="18" t="s">
        <v>20</v>
      </c>
      <c r="G244" s="21" t="s">
        <v>2802</v>
      </c>
      <c r="H244" s="21" t="s">
        <v>2803</v>
      </c>
      <c r="I244" s="8" t="s">
        <v>2804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>
      <c r="A245" s="18" t="str">
        <f t="shared" si="18"/>
        <v>NODE_31</v>
      </c>
      <c r="B245" s="18">
        <f t="shared" si="19"/>
        <v>4</v>
      </c>
      <c r="C245" s="18" t="str">
        <f t="shared" si="17"/>
        <v>NODE_31_4</v>
      </c>
      <c r="D245" s="18"/>
      <c r="E245" s="18" t="str">
        <f>VLOOKUP(F245,Overview!$A$1:$B$28,2,FALSE)</f>
        <v>ZhangFei</v>
      </c>
      <c r="F245" s="18" t="s">
        <v>10</v>
      </c>
      <c r="G245" s="21" t="s">
        <v>2805</v>
      </c>
      <c r="H245" s="21" t="s">
        <v>2806</v>
      </c>
      <c r="I245" s="8" t="s">
        <v>2807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>
      <c r="A246" s="18" t="str">
        <f t="shared" si="18"/>
        <v>NODE_31</v>
      </c>
      <c r="B246" s="18">
        <f t="shared" si="19"/>
        <v>5</v>
      </c>
      <c r="C246" s="18" t="str">
        <f t="shared" si="17"/>
        <v>NODE_31_5</v>
      </c>
      <c r="D246" s="18"/>
      <c r="E246" s="18" t="str">
        <f>VLOOKUP(F246,Overview!$A$1:$B$28,2,FALSE)</f>
        <v>CaoCao</v>
      </c>
      <c r="F246" s="18" t="s">
        <v>20</v>
      </c>
      <c r="G246" s="21" t="s">
        <v>2808</v>
      </c>
      <c r="H246" s="21" t="s">
        <v>2809</v>
      </c>
      <c r="I246" s="8" t="s">
        <v>2810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>
      <c r="A247" s="18" t="str">
        <f t="shared" si="18"/>
        <v>NODE_31</v>
      </c>
      <c r="B247" s="18">
        <f t="shared" si="19"/>
        <v>6</v>
      </c>
      <c r="C247" s="18" t="str">
        <f t="shared" si="17"/>
        <v>NODE_31_6</v>
      </c>
      <c r="D247" s="18"/>
      <c r="E247" s="18" t="str">
        <f>VLOOKUP(F247,Overview!$A$1:$B$28,2,FALSE)</f>
        <v>ZhangFei</v>
      </c>
      <c r="F247" s="18" t="s">
        <v>10</v>
      </c>
      <c r="G247" s="21" t="s">
        <v>2811</v>
      </c>
      <c r="H247" s="21" t="s">
        <v>2812</v>
      </c>
      <c r="I247" s="8" t="s">
        <v>2813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>
      <c r="A248" s="18" t="str">
        <f t="shared" si="18"/>
        <v>NODE_31</v>
      </c>
      <c r="B248" s="18">
        <f t="shared" si="19"/>
        <v>7</v>
      </c>
      <c r="C248" s="18" t="str">
        <f t="shared" si="17"/>
        <v>NODE_31_7</v>
      </c>
      <c r="D248" s="18"/>
      <c r="E248" s="18" t="str">
        <f>VLOOKUP(F248,Overview!$A$1:$B$28,2,FALSE)</f>
        <v>CaoCao</v>
      </c>
      <c r="F248" s="18" t="s">
        <v>20</v>
      </c>
      <c r="G248" s="21" t="s">
        <v>2659</v>
      </c>
      <c r="H248" s="21" t="s">
        <v>2659</v>
      </c>
      <c r="I248" s="8" t="s">
        <v>2814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>
      <c r="A249" s="18" t="str">
        <f t="shared" si="18"/>
        <v>NODE_31</v>
      </c>
      <c r="B249" s="18">
        <f t="shared" si="19"/>
        <v>8</v>
      </c>
      <c r="C249" s="18" t="str">
        <f t="shared" si="17"/>
        <v>NODE_31_8</v>
      </c>
      <c r="D249" s="18"/>
      <c r="E249" s="18" t="str">
        <f>VLOOKUP(F249,Overview!$A$1:$B$28,2,FALSE)</f>
        <v>ZhangFei</v>
      </c>
      <c r="F249" s="18" t="s">
        <v>10</v>
      </c>
      <c r="G249" s="34" t="s">
        <v>2815</v>
      </c>
      <c r="H249" s="21" t="s">
        <v>2816</v>
      </c>
      <c r="I249" s="8" t="s">
        <v>2817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>
      <c r="A250" s="18" t="str">
        <f t="shared" si="18"/>
        <v>NODE_31</v>
      </c>
      <c r="B250" s="18">
        <f t="shared" si="19"/>
        <v>9</v>
      </c>
      <c r="C250" s="18" t="str">
        <f t="shared" si="17"/>
        <v>NODE_31_9</v>
      </c>
      <c r="D250" s="18"/>
      <c r="E250" s="18" t="str">
        <f>VLOOKUP(F250,Overview!$A$1:$B$28,2,FALSE)</f>
        <v>CaoCao</v>
      </c>
      <c r="F250" s="18" t="s">
        <v>20</v>
      </c>
      <c r="G250" s="21" t="s">
        <v>2818</v>
      </c>
      <c r="H250" s="21" t="s">
        <v>2819</v>
      </c>
      <c r="I250" s="8" t="s">
        <v>2820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>
      <c r="A251" s="18" t="str">
        <f t="shared" si="18"/>
        <v>NODE_31</v>
      </c>
      <c r="B251" s="18">
        <f t="shared" si="19"/>
        <v>10</v>
      </c>
      <c r="C251" s="18" t="str">
        <f t="shared" si="17"/>
        <v>NODE_31_10</v>
      </c>
      <c r="D251" s="18"/>
      <c r="E251" s="18" t="str">
        <f>VLOOKUP(F251,Overview!$A$1:$B$28,2,FALSE)</f>
        <v>ZhangFei</v>
      </c>
      <c r="F251" s="18" t="s">
        <v>10</v>
      </c>
      <c r="G251" s="21" t="s">
        <v>2821</v>
      </c>
      <c r="H251" s="21" t="s">
        <v>2822</v>
      </c>
      <c r="I251" s="8" t="s">
        <v>2823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>
      <c r="A252" s="18" t="str">
        <f t="shared" si="18"/>
        <v>NODE_31</v>
      </c>
      <c r="B252" s="18">
        <f t="shared" si="19"/>
        <v>11</v>
      </c>
      <c r="C252" s="18" t="str">
        <f t="shared" si="17"/>
        <v>NODE_31_11</v>
      </c>
      <c r="D252" s="18"/>
      <c r="E252" s="18" t="str">
        <f>VLOOKUP(F252,Overview!$A$1:$B$28,2,FALSE)</f>
        <v>CaoCao</v>
      </c>
      <c r="F252" s="18" t="s">
        <v>20</v>
      </c>
      <c r="G252" s="21" t="s">
        <v>2824</v>
      </c>
      <c r="H252" s="21" t="s">
        <v>2825</v>
      </c>
      <c r="I252" s="8" t="s">
        <v>2826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>
      <c r="A253" s="18" t="str">
        <f t="shared" si="18"/>
        <v>NODE_31</v>
      </c>
      <c r="B253" s="18">
        <f t="shared" si="19"/>
        <v>12</v>
      </c>
      <c r="C253" s="18" t="str">
        <f t="shared" si="17"/>
        <v>NODE_31_12</v>
      </c>
      <c r="D253" s="18"/>
      <c r="E253" s="18" t="str">
        <f>VLOOKUP(F253,Overview!$A$1:$B$28,2,FALSE)</f>
        <v>ZhangFei</v>
      </c>
      <c r="F253" s="18" t="s">
        <v>10</v>
      </c>
      <c r="G253" s="21" t="s">
        <v>2709</v>
      </c>
      <c r="H253" s="21" t="s">
        <v>2709</v>
      </c>
      <c r="I253" s="8" t="s">
        <v>2710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>
      <c r="A254" s="18" t="str">
        <f t="shared" si="18"/>
        <v>NODE_31</v>
      </c>
      <c r="B254" s="18">
        <f t="shared" si="19"/>
        <v>13</v>
      </c>
      <c r="C254" s="18" t="str">
        <f t="shared" si="17"/>
        <v>NODE_31_13</v>
      </c>
      <c r="D254" s="18"/>
      <c r="E254" s="18" t="str">
        <f>VLOOKUP(F254,Overview!$A$1:$B$28,2,FALSE)</f>
        <v>CaoCao</v>
      </c>
      <c r="F254" s="18" t="s">
        <v>20</v>
      </c>
      <c r="G254" s="21" t="s">
        <v>2827</v>
      </c>
      <c r="H254" s="21" t="s">
        <v>2828</v>
      </c>
      <c r="I254" s="8" t="s">
        <v>2829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>
      <c r="A255" s="18" t="str">
        <f t="shared" si="18"/>
        <v>NODE_31</v>
      </c>
      <c r="B255" s="18">
        <f t="shared" si="19"/>
        <v>14</v>
      </c>
      <c r="C255" s="18" t="str">
        <f t="shared" si="17"/>
        <v>NODE_31_14</v>
      </c>
      <c r="D255" s="18"/>
      <c r="E255" s="18" t="str">
        <f>VLOOKUP(F255,Overview!$A$1:$B$28,2,FALSE)</f>
        <v>GuanYu</v>
      </c>
      <c r="F255" s="18" t="s">
        <v>7</v>
      </c>
      <c r="G255" s="21" t="s">
        <v>2830</v>
      </c>
      <c r="H255" s="21" t="s">
        <v>2831</v>
      </c>
      <c r="I255" s="8" t="s">
        <v>2832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>
      <c r="A256" s="18" t="str">
        <f t="shared" si="18"/>
        <v>NODE_31</v>
      </c>
      <c r="B256" s="18">
        <f t="shared" si="19"/>
        <v>15</v>
      </c>
      <c r="C256" s="18" t="str">
        <f t="shared" si="17"/>
        <v>NODE_31_15</v>
      </c>
      <c r="D256" s="18"/>
      <c r="E256" s="18" t="str">
        <f>VLOOKUP(F256,Overview!$A$1:$B$28,2,FALSE)</f>
        <v>CaoCao</v>
      </c>
      <c r="F256" s="18" t="s">
        <v>20</v>
      </c>
      <c r="G256" s="21" t="s">
        <v>2659</v>
      </c>
      <c r="H256" s="21" t="s">
        <v>2659</v>
      </c>
      <c r="I256" s="8" t="s">
        <v>2814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>
      <c r="A257" s="18" t="str">
        <f t="shared" si="18"/>
        <v>NODE_31</v>
      </c>
      <c r="B257" s="18">
        <f t="shared" si="19"/>
        <v>16</v>
      </c>
      <c r="C257" s="18" t="str">
        <f t="shared" si="17"/>
        <v>NODE_31_16</v>
      </c>
      <c r="D257" s="18"/>
      <c r="E257" s="18" t="str">
        <f>VLOOKUP(F257,Overview!$A$1:$B$28,2,FALSE)</f>
        <v>ZhangLiao</v>
      </c>
      <c r="F257" s="18" t="s">
        <v>26</v>
      </c>
      <c r="G257" s="21" t="s">
        <v>2833</v>
      </c>
      <c r="H257" s="21" t="s">
        <v>2834</v>
      </c>
      <c r="I257" s="8" t="s">
        <v>2835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>
      <c r="A258" s="18" t="str">
        <f t="shared" si="18"/>
        <v>NODE_31</v>
      </c>
      <c r="B258" s="18">
        <f t="shared" si="19"/>
        <v>17</v>
      </c>
      <c r="C258" s="18" t="str">
        <f t="shared" si="17"/>
        <v>NODE_31_17</v>
      </c>
      <c r="D258" s="18"/>
      <c r="E258" s="18" t="str">
        <f>VLOOKUP(F258,Overview!$A$1:$B$28,2,FALSE)</f>
        <v>CaoCao</v>
      </c>
      <c r="F258" s="18" t="s">
        <v>20</v>
      </c>
      <c r="G258" s="21" t="s">
        <v>2836</v>
      </c>
      <c r="H258" s="21" t="s">
        <v>2837</v>
      </c>
      <c r="I258" s="8" t="s">
        <v>2838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>
      <c r="A259" s="18" t="str">
        <f t="shared" si="18"/>
        <v>NODE_31</v>
      </c>
      <c r="B259" s="18">
        <f t="shared" si="19"/>
        <v>18</v>
      </c>
      <c r="C259" s="18" t="str">
        <f t="shared" si="17"/>
        <v>NODE_31_18</v>
      </c>
      <c r="D259" s="18"/>
      <c r="E259" s="18" t="str">
        <f>VLOOKUP(F259,Overview!$A$1:$B$28,2,FALSE)</f>
        <v>ZhangFei</v>
      </c>
      <c r="F259" s="18" t="s">
        <v>10</v>
      </c>
      <c r="G259" s="21" t="s">
        <v>2839</v>
      </c>
      <c r="H259" s="21" t="s">
        <v>2840</v>
      </c>
      <c r="I259" s="8" t="s">
        <v>2841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>
      <c r="A260" s="18" t="str">
        <f t="shared" si="18"/>
        <v>NODE_31</v>
      </c>
      <c r="B260" s="18">
        <f t="shared" si="19"/>
        <v>19</v>
      </c>
      <c r="C260" s="18" t="str">
        <f t="shared" si="17"/>
        <v>NODE_31_19</v>
      </c>
      <c r="D260" s="18"/>
      <c r="E260" s="18" t="str">
        <f>VLOOKUP(F260,Overview!$A$1:$B$28,2,FALSE)</f>
        <v>GuanYu</v>
      </c>
      <c r="F260" s="18" t="s">
        <v>7</v>
      </c>
      <c r="G260" s="21" t="s">
        <v>2842</v>
      </c>
      <c r="H260" s="21" t="s">
        <v>2843</v>
      </c>
      <c r="I260" s="8" t="s">
        <v>2844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>
      <c r="A261" s="18" t="str">
        <f t="shared" si="18"/>
        <v>NODE_31</v>
      </c>
      <c r="B261" s="18">
        <f t="shared" si="19"/>
        <v>20</v>
      </c>
      <c r="C261" s="18" t="str">
        <f t="shared" si="17"/>
        <v>NODE_31_20</v>
      </c>
      <c r="D261" s="18"/>
      <c r="E261" s="18" t="str">
        <f>VLOOKUP(F261,Overview!$A$1:$B$28,2,FALSE)</f>
        <v>ZhangFei</v>
      </c>
      <c r="F261" s="18" t="s">
        <v>10</v>
      </c>
      <c r="G261" s="21" t="s">
        <v>2845</v>
      </c>
      <c r="H261" s="21" t="s">
        <v>2846</v>
      </c>
      <c r="I261" s="8" t="s">
        <v>2847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>
      <c r="A262" s="18" t="str">
        <f t="shared" si="18"/>
        <v>NODE_31</v>
      </c>
      <c r="B262" s="18">
        <f t="shared" si="19"/>
        <v>21</v>
      </c>
      <c r="C262" s="18" t="str">
        <f t="shared" si="17"/>
        <v>NODE_31_21</v>
      </c>
      <c r="D262" s="18"/>
      <c r="E262" s="18" t="str">
        <f>VLOOKUP(F262,Overview!$A$1:$B$28,2,FALSE)</f>
        <v>ZhangFei</v>
      </c>
      <c r="F262" s="18" t="s">
        <v>10</v>
      </c>
      <c r="G262" s="21" t="s">
        <v>2848</v>
      </c>
      <c r="H262" s="21" t="s">
        <v>2849</v>
      </c>
      <c r="I262" s="8" t="s">
        <v>2850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>
      <c r="A263" s="18" t="str">
        <f t="shared" si="18"/>
        <v>NODE_31</v>
      </c>
      <c r="B263" s="18">
        <f t="shared" si="19"/>
        <v>22</v>
      </c>
      <c r="C263" s="18" t="str">
        <f t="shared" si="17"/>
        <v>NODE_31_22</v>
      </c>
      <c r="D263" s="18"/>
      <c r="E263" s="18" t="str">
        <f>VLOOKUP(F263,Overview!$A$1:$B$28,2,FALSE)</f>
        <v>GuanYu</v>
      </c>
      <c r="F263" s="18" t="s">
        <v>7</v>
      </c>
      <c r="G263" s="21" t="s">
        <v>2851</v>
      </c>
      <c r="H263" s="21" t="s">
        <v>2852</v>
      </c>
      <c r="I263" s="8" t="s">
        <v>2853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>
      <c r="A264" s="18" t="str">
        <f t="shared" si="18"/>
        <v>NODE_31</v>
      </c>
      <c r="B264" s="18">
        <f t="shared" si="19"/>
        <v>23</v>
      </c>
      <c r="C264" s="18" t="str">
        <f t="shared" si="17"/>
        <v>NODE_31_23</v>
      </c>
      <c r="D264" s="18"/>
      <c r="E264" s="18" t="str">
        <f>VLOOKUP(F264,Overview!$A$1:$B$28,2,FALSE)</f>
        <v>ZhangFei</v>
      </c>
      <c r="F264" s="18" t="s">
        <v>10</v>
      </c>
      <c r="G264" s="21" t="s">
        <v>2854</v>
      </c>
      <c r="H264" s="21" t="s">
        <v>2855</v>
      </c>
      <c r="I264" s="8" t="s">
        <v>2856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>
      <c r="A265" s="18" t="str">
        <f t="shared" si="18"/>
        <v>NODE_31</v>
      </c>
      <c r="B265" s="18">
        <f t="shared" si="19"/>
        <v>24</v>
      </c>
      <c r="C265" s="18" t="str">
        <f t="shared" si="17"/>
        <v>NODE_31_24</v>
      </c>
      <c r="D265" s="18"/>
      <c r="E265" s="18" t="str">
        <f>VLOOKUP(F265,Overview!$A$1:$B$28,2,FALSE)</f>
        <v>GuanYu</v>
      </c>
      <c r="F265" s="18" t="s">
        <v>7</v>
      </c>
      <c r="G265" s="21" t="s">
        <v>2857</v>
      </c>
      <c r="H265" s="21" t="s">
        <v>2858</v>
      </c>
      <c r="I265" s="8" t="s">
        <v>2859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>
      <c r="A266" s="18" t="str">
        <f t="shared" si="18"/>
        <v>NODE_31</v>
      </c>
      <c r="B266" s="18">
        <f t="shared" si="19"/>
        <v>25</v>
      </c>
      <c r="C266" s="18" t="str">
        <f t="shared" si="17"/>
        <v>NODE_31_25</v>
      </c>
      <c r="D266" s="18"/>
      <c r="E266" s="18"/>
      <c r="F266" s="18"/>
      <c r="G266" s="21"/>
      <c r="H266" s="21"/>
      <c r="I266" s="1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>
      <c r="A267" s="18" t="str">
        <f t="shared" si="18"/>
        <v>NODE_31</v>
      </c>
      <c r="B267" s="18">
        <f t="shared" si="19"/>
        <v>26</v>
      </c>
      <c r="C267" s="18" t="str">
        <f t="shared" si="17"/>
        <v>NODE_31_26</v>
      </c>
      <c r="D267" s="18"/>
      <c r="E267" s="18" t="str">
        <f>VLOOKUP(F267,Overview!$A$1:$B$28,2,FALSE)</f>
        <v>ZhangFei</v>
      </c>
      <c r="F267" s="18" t="s">
        <v>10</v>
      </c>
      <c r="G267" s="21" t="s">
        <v>2659</v>
      </c>
      <c r="H267" s="21" t="s">
        <v>2659</v>
      </c>
      <c r="I267" s="8" t="s">
        <v>2814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>
      <c r="A268" s="18" t="str">
        <f t="shared" si="18"/>
        <v>NODE_31</v>
      </c>
      <c r="B268" s="18">
        <f t="shared" si="19"/>
        <v>27</v>
      </c>
      <c r="C268" s="18" t="str">
        <f t="shared" si="17"/>
        <v>NODE_31_27</v>
      </c>
      <c r="D268" s="18"/>
      <c r="E268" s="18" t="str">
        <f>VLOOKUP(F268,Overview!$A$1:$B$28,2,FALSE)</f>
        <v>ZhangFei</v>
      </c>
      <c r="F268" s="18" t="s">
        <v>10</v>
      </c>
      <c r="G268" s="21" t="s">
        <v>2860</v>
      </c>
      <c r="H268" s="21" t="s">
        <v>2861</v>
      </c>
      <c r="I268" s="8" t="s">
        <v>2862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>
      <c r="A269" s="18" t="str">
        <f t="shared" si="18"/>
        <v>NODE_31</v>
      </c>
      <c r="B269" s="18">
        <f t="shared" si="19"/>
        <v>28</v>
      </c>
      <c r="C269" s="18" t="str">
        <f t="shared" si="17"/>
        <v>NODE_31_28</v>
      </c>
      <c r="D269" s="18"/>
      <c r="E269" s="18" t="str">
        <f>VLOOKUP(F269,Overview!$A$1:$B$28,2,FALSE)</f>
        <v>GuanYu</v>
      </c>
      <c r="F269" s="18" t="s">
        <v>7</v>
      </c>
      <c r="G269" s="21" t="s">
        <v>2863</v>
      </c>
      <c r="H269" s="21" t="s">
        <v>2864</v>
      </c>
      <c r="I269" s="8" t="s">
        <v>2865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>
      <c r="A270" s="18" t="str">
        <f t="shared" si="18"/>
        <v>NODE_31</v>
      </c>
      <c r="B270" s="18">
        <f t="shared" si="19"/>
        <v>29</v>
      </c>
      <c r="C270" s="18" t="str">
        <f t="shared" si="17"/>
        <v>NODE_31_29</v>
      </c>
      <c r="D270" s="18"/>
      <c r="E270" s="18" t="str">
        <f>VLOOKUP(F270,Overview!$A$1:$B$28,2,FALSE)</f>
        <v>GuanYu</v>
      </c>
      <c r="F270" s="18" t="s">
        <v>7</v>
      </c>
      <c r="G270" s="21" t="s">
        <v>2866</v>
      </c>
      <c r="H270" s="21" t="s">
        <v>2867</v>
      </c>
      <c r="I270" s="8" t="s">
        <v>2868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>
      <c r="A271" s="18" t="str">
        <f t="shared" si="18"/>
        <v>NODE_31</v>
      </c>
      <c r="B271" s="18">
        <f t="shared" si="19"/>
        <v>30</v>
      </c>
      <c r="C271" s="18" t="str">
        <f t="shared" si="17"/>
        <v>NODE_31_30</v>
      </c>
      <c r="D271" s="18"/>
      <c r="E271" s="18" t="str">
        <f>VLOOKUP(F271,Overview!$A$1:$B$28,2,FALSE)</f>
        <v>ZhangFei</v>
      </c>
      <c r="F271" s="18" t="s">
        <v>10</v>
      </c>
      <c r="G271" s="21" t="s">
        <v>2869</v>
      </c>
      <c r="H271" s="21" t="s">
        <v>2825</v>
      </c>
      <c r="I271" s="8" t="s">
        <v>2826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>
      <c r="A272" s="18" t="str">
        <f t="shared" si="18"/>
        <v>NODE_31</v>
      </c>
      <c r="B272" s="18">
        <f t="shared" si="19"/>
        <v>31</v>
      </c>
      <c r="C272" s="18" t="str">
        <f t="shared" si="17"/>
        <v>NODE_31_31</v>
      </c>
      <c r="D272" s="18"/>
      <c r="E272" s="18" t="str">
        <f>VLOOKUP(F272,Overview!$A$1:$B$28,2,FALSE)</f>
        <v>GuanYu</v>
      </c>
      <c r="F272" s="18" t="s">
        <v>7</v>
      </c>
      <c r="G272" s="21" t="s">
        <v>2870</v>
      </c>
      <c r="H272" s="21" t="s">
        <v>2871</v>
      </c>
      <c r="I272" s="8" t="s">
        <v>2872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>
      <c r="A273" s="18" t="str">
        <f t="shared" si="18"/>
        <v>NODE_31</v>
      </c>
      <c r="B273" s="18">
        <f t="shared" si="19"/>
        <v>32</v>
      </c>
      <c r="C273" s="18" t="str">
        <f t="shared" si="17"/>
        <v>NODE_31_32</v>
      </c>
      <c r="D273" s="18"/>
      <c r="E273" s="18" t="str">
        <f>VLOOKUP(F273,Overview!$A$1:$B$28,2,FALSE)</f>
        <v>ZhangFei</v>
      </c>
      <c r="F273" s="18" t="s">
        <v>10</v>
      </c>
      <c r="G273" s="21" t="s">
        <v>2873</v>
      </c>
      <c r="H273" s="21" t="s">
        <v>2874</v>
      </c>
      <c r="I273" s="8" t="s">
        <v>2875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>
      <c r="A274" s="18" t="str">
        <f t="shared" si="18"/>
        <v>NODE_31</v>
      </c>
      <c r="B274" s="18">
        <f t="shared" si="19"/>
        <v>33</v>
      </c>
      <c r="C274" s="18" t="str">
        <f t="shared" si="17"/>
        <v>NODE_31_33</v>
      </c>
      <c r="D274" s="18"/>
      <c r="E274" s="18" t="str">
        <f>VLOOKUP(F274,Overview!$A$1:$B$28,2,FALSE)</f>
        <v>GuanYu</v>
      </c>
      <c r="F274" s="18" t="s">
        <v>7</v>
      </c>
      <c r="G274" s="21" t="s">
        <v>2876</v>
      </c>
      <c r="H274" s="21" t="s">
        <v>2877</v>
      </c>
      <c r="I274" s="8" t="s">
        <v>2878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>
      <c r="A275" s="18" t="str">
        <f t="shared" si="18"/>
        <v>NODE_31</v>
      </c>
      <c r="B275" s="18">
        <f t="shared" si="19"/>
        <v>34</v>
      </c>
      <c r="C275" s="18" t="str">
        <f t="shared" si="17"/>
        <v>NODE_31_34</v>
      </c>
      <c r="D275" s="18"/>
      <c r="E275" s="18" t="str">
        <f>VLOOKUP(F275,Overview!$A$1:$B$28,2,FALSE)</f>
        <v>ZhangFei</v>
      </c>
      <c r="F275" s="18" t="s">
        <v>10</v>
      </c>
      <c r="G275" s="21" t="s">
        <v>2879</v>
      </c>
      <c r="H275" s="21" t="s">
        <v>2880</v>
      </c>
      <c r="I275" s="8" t="s">
        <v>2881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>
      <c r="A276" s="18" t="str">
        <f t="shared" si="18"/>
        <v>NODE_31</v>
      </c>
      <c r="B276" s="18">
        <f t="shared" si="19"/>
        <v>35</v>
      </c>
      <c r="C276" s="18" t="str">
        <f t="shared" si="17"/>
        <v>NODE_31_35</v>
      </c>
      <c r="D276" s="18"/>
      <c r="E276" s="18" t="str">
        <f>VLOOKUP(F276,Overview!$A$1:$B$28,2,FALSE)</f>
        <v>GuanYu</v>
      </c>
      <c r="F276" s="18" t="s">
        <v>7</v>
      </c>
      <c r="G276" s="21" t="s">
        <v>2882</v>
      </c>
      <c r="H276" s="21" t="s">
        <v>2883</v>
      </c>
      <c r="I276" s="8" t="s">
        <v>2884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>
      <c r="A277" s="18" t="str">
        <f t="shared" si="18"/>
        <v>NODE_31</v>
      </c>
      <c r="B277" s="18">
        <f t="shared" si="19"/>
        <v>36</v>
      </c>
      <c r="C277" s="18" t="str">
        <f t="shared" si="17"/>
        <v>NODE_31_36</v>
      </c>
      <c r="D277" s="18"/>
      <c r="E277" s="18" t="str">
        <f>VLOOKUP(F277,Overview!$A$1:$B$28,2,FALSE)</f>
        <v>GuanYu</v>
      </c>
      <c r="F277" s="18" t="s">
        <v>7</v>
      </c>
      <c r="G277" s="21" t="s">
        <v>2885</v>
      </c>
      <c r="H277" s="21" t="s">
        <v>2886</v>
      </c>
      <c r="I277" s="8" t="s">
        <v>2887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>
      <c r="A278" s="18" t="str">
        <f t="shared" si="18"/>
        <v>NODE_31</v>
      </c>
      <c r="B278" s="18">
        <f t="shared" si="19"/>
        <v>37</v>
      </c>
      <c r="C278" s="18" t="str">
        <f t="shared" si="17"/>
        <v>NODE_31_37</v>
      </c>
      <c r="D278" s="18"/>
      <c r="E278" s="18" t="str">
        <f>VLOOKUP(F278,Overview!$A$1:$B$28,2,FALSE)</f>
        <v>ZhangFei</v>
      </c>
      <c r="F278" s="18" t="s">
        <v>10</v>
      </c>
      <c r="G278" s="21" t="s">
        <v>2888</v>
      </c>
      <c r="H278" s="21" t="s">
        <v>2889</v>
      </c>
      <c r="I278" s="8" t="s">
        <v>2890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>
      <c r="A279" s="18" t="str">
        <f t="shared" si="18"/>
        <v>NODE_31</v>
      </c>
      <c r="B279" s="18">
        <f t="shared" si="19"/>
        <v>38</v>
      </c>
      <c r="C279" s="18" t="str">
        <f t="shared" si="17"/>
        <v>NODE_31_38</v>
      </c>
      <c r="D279" s="18"/>
      <c r="E279" s="18" t="str">
        <f>VLOOKUP(F279,Overview!$A$1:$B$28,2,FALSE)</f>
        <v>GuanYu</v>
      </c>
      <c r="F279" s="18" t="s">
        <v>7</v>
      </c>
      <c r="G279" s="21" t="s">
        <v>2891</v>
      </c>
      <c r="H279" s="21" t="s">
        <v>2892</v>
      </c>
      <c r="I279" s="8" t="s">
        <v>2893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>
      <c r="A280" s="18" t="str">
        <f t="shared" si="18"/>
        <v>NODE_31</v>
      </c>
      <c r="B280" s="18">
        <f t="shared" si="19"/>
        <v>39</v>
      </c>
      <c r="C280" s="18" t="str">
        <f t="shared" si="17"/>
        <v>NODE_31_39</v>
      </c>
      <c r="D280" s="18"/>
      <c r="E280" s="18" t="str">
        <f>VLOOKUP(F280,Overview!$A$1:$B$28,2,FALSE)</f>
        <v>ZhangFei</v>
      </c>
      <c r="F280" s="18" t="s">
        <v>10</v>
      </c>
      <c r="G280" s="21" t="s">
        <v>2894</v>
      </c>
      <c r="H280" s="21" t="s">
        <v>2895</v>
      </c>
      <c r="I280" s="8" t="s">
        <v>2896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>
      <c r="A281" s="18" t="str">
        <f t="shared" si="18"/>
        <v>NODE_31</v>
      </c>
      <c r="B281" s="18">
        <f t="shared" si="19"/>
        <v>40</v>
      </c>
      <c r="C281" s="18" t="str">
        <f t="shared" si="17"/>
        <v>NODE_31_40</v>
      </c>
      <c r="D281" s="18"/>
      <c r="E281" s="18" t="str">
        <f>VLOOKUP(F281,Overview!$A$1:$B$28,2,FALSE)</f>
        <v>GuanYu</v>
      </c>
      <c r="F281" s="18" t="s">
        <v>7</v>
      </c>
      <c r="G281" s="21" t="s">
        <v>2897</v>
      </c>
      <c r="H281" s="21" t="s">
        <v>2898</v>
      </c>
      <c r="I281" s="8" t="s">
        <v>2899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>
      <c r="A282" s="18" t="str">
        <f t="shared" si="18"/>
        <v>NODE_31</v>
      </c>
      <c r="B282" s="18">
        <f t="shared" si="19"/>
        <v>41</v>
      </c>
      <c r="C282" s="18" t="str">
        <f t="shared" si="17"/>
        <v>NODE_31_41</v>
      </c>
      <c r="D282" s="18"/>
      <c r="E282" s="18" t="str">
        <f>VLOOKUP(F282,Overview!$A$1:$B$28,2,FALSE)</f>
        <v>FanJiang</v>
      </c>
      <c r="F282" s="18" t="s">
        <v>134</v>
      </c>
      <c r="G282" s="21" t="s">
        <v>2900</v>
      </c>
      <c r="H282" s="18" t="s">
        <v>2901</v>
      </c>
      <c r="I282" s="8" t="s">
        <v>2902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>
      <c r="A283" s="18" t="str">
        <f t="shared" si="18"/>
        <v>NODE_31</v>
      </c>
      <c r="B283" s="18">
        <f t="shared" si="19"/>
        <v>42</v>
      </c>
      <c r="C283" s="18" t="str">
        <f t="shared" si="17"/>
        <v>NODE_31_42</v>
      </c>
      <c r="D283" s="18"/>
      <c r="E283" s="18" t="str">
        <f>VLOOKUP(F283,Overview!$A$1:$B$28,2,FALSE)</f>
        <v>ZhangFei</v>
      </c>
      <c r="F283" s="18" t="s">
        <v>10</v>
      </c>
      <c r="G283" s="21" t="s">
        <v>2228</v>
      </c>
      <c r="H283" s="21" t="s">
        <v>2228</v>
      </c>
      <c r="I283" s="8" t="s">
        <v>2229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>
      <c r="A284" s="18" t="str">
        <f t="shared" si="18"/>
        <v>NODE_31</v>
      </c>
      <c r="B284" s="18">
        <f t="shared" si="19"/>
        <v>43</v>
      </c>
      <c r="C284" s="18" t="str">
        <f t="shared" si="17"/>
        <v>NODE_31_43</v>
      </c>
      <c r="D284" s="18"/>
      <c r="E284" s="18" t="str">
        <f>VLOOKUP(F284,Overview!$A$1:$B$28,2,FALSE)</f>
        <v>FanJiang</v>
      </c>
      <c r="F284" s="18" t="s">
        <v>134</v>
      </c>
      <c r="G284" s="21" t="s">
        <v>2903</v>
      </c>
      <c r="H284" s="21" t="s">
        <v>2904</v>
      </c>
      <c r="I284" s="8" t="s">
        <v>2905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>
      <c r="A285" s="18" t="str">
        <f t="shared" si="18"/>
        <v>NODE_31</v>
      </c>
      <c r="B285" s="18">
        <f t="shared" si="19"/>
        <v>44</v>
      </c>
      <c r="C285" s="18" t="str">
        <f t="shared" si="17"/>
        <v>NODE_31_44</v>
      </c>
      <c r="D285" s="18"/>
      <c r="E285" s="18" t="str">
        <f>VLOOKUP(F285,Overview!$A$1:$B$28,2,FALSE)</f>
        <v>ZhangDa</v>
      </c>
      <c r="F285" s="18" t="s">
        <v>138</v>
      </c>
      <c r="G285" s="21" t="s">
        <v>2906</v>
      </c>
      <c r="H285" s="21" t="s">
        <v>2907</v>
      </c>
      <c r="I285" s="8" t="s">
        <v>2908</v>
      </c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>
      <c r="A286" s="18" t="str">
        <f t="shared" si="18"/>
        <v>NODE_31</v>
      </c>
      <c r="B286" s="18">
        <f t="shared" si="19"/>
        <v>45</v>
      </c>
      <c r="C286" s="18" t="str">
        <f t="shared" si="17"/>
        <v>NODE_31_45</v>
      </c>
      <c r="D286" s="18"/>
      <c r="E286" s="18" t="str">
        <f>VLOOKUP(F286,Overview!$A$1:$B$28,2,FALSE)</f>
        <v>ZhangDa</v>
      </c>
      <c r="F286" s="18" t="s">
        <v>138</v>
      </c>
      <c r="G286" s="21" t="s">
        <v>2909</v>
      </c>
      <c r="H286" s="21" t="s">
        <v>2910</v>
      </c>
      <c r="I286" s="8" t="s">
        <v>2911</v>
      </c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>
      <c r="A287" s="18" t="str">
        <f t="shared" si="18"/>
        <v>NODE_31</v>
      </c>
      <c r="B287" s="18">
        <f t="shared" si="19"/>
        <v>46</v>
      </c>
      <c r="C287" s="18" t="str">
        <f t="shared" si="17"/>
        <v>NODE_31_46</v>
      </c>
      <c r="D287" s="18"/>
      <c r="E287" s="18" t="str">
        <f>VLOOKUP(F287,Overview!$A$1:$B$28,2,FALSE)</f>
        <v>ZhangFei</v>
      </c>
      <c r="F287" s="18" t="s">
        <v>10</v>
      </c>
      <c r="G287" s="21" t="s">
        <v>2912</v>
      </c>
      <c r="H287" s="21" t="s">
        <v>2871</v>
      </c>
      <c r="I287" s="8" t="s">
        <v>2872</v>
      </c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>
      <c r="A288" s="18" t="str">
        <f t="shared" si="18"/>
        <v>NODE_31</v>
      </c>
      <c r="B288" s="18">
        <f t="shared" si="19"/>
        <v>47</v>
      </c>
      <c r="C288" s="18" t="str">
        <f t="shared" si="17"/>
        <v>NODE_31_47</v>
      </c>
      <c r="D288" s="18"/>
      <c r="E288" s="18" t="str">
        <f>VLOOKUP(F288,Overview!$A$1:$B$28,2,FALSE)</f>
        <v>GuanYu</v>
      </c>
      <c r="F288" s="18" t="s">
        <v>7</v>
      </c>
      <c r="G288" s="21" t="s">
        <v>2913</v>
      </c>
      <c r="H288" s="21" t="s">
        <v>2914</v>
      </c>
      <c r="I288" s="8" t="s">
        <v>2915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>
      <c r="A289" s="18" t="str">
        <f t="shared" si="18"/>
        <v>NODE_31</v>
      </c>
      <c r="B289" s="18">
        <f t="shared" si="19"/>
        <v>48</v>
      </c>
      <c r="C289" s="18" t="str">
        <f t="shared" si="17"/>
        <v>NODE_31_48</v>
      </c>
      <c r="D289" s="18"/>
      <c r="E289" s="18" t="str">
        <f>VLOOKUP(F289,Overview!$A$1:$B$28,2,FALSE)</f>
        <v>GuanYu</v>
      </c>
      <c r="F289" s="18" t="s">
        <v>7</v>
      </c>
      <c r="G289" s="21" t="s">
        <v>2916</v>
      </c>
      <c r="H289" s="21" t="s">
        <v>2917</v>
      </c>
      <c r="I289" s="8" t="s">
        <v>2918</v>
      </c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>
      <c r="A290" s="18" t="str">
        <f t="shared" si="18"/>
        <v>NODE_31</v>
      </c>
      <c r="B290" s="18">
        <f t="shared" si="19"/>
        <v>49</v>
      </c>
      <c r="C290" s="18" t="str">
        <f t="shared" si="17"/>
        <v>NODE_31_49</v>
      </c>
      <c r="D290" s="18"/>
      <c r="E290" s="18" t="str">
        <f>VLOOKUP(F290,Overview!$A$1:$B$28,2,FALSE)</f>
        <v>GuanYu</v>
      </c>
      <c r="F290" s="18" t="s">
        <v>7</v>
      </c>
      <c r="G290" s="21" t="s">
        <v>2919</v>
      </c>
      <c r="H290" s="21" t="s">
        <v>2920</v>
      </c>
      <c r="I290" s="8" t="s">
        <v>2921</v>
      </c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>
      <c r="A291" s="18" t="str">
        <f t="shared" si="18"/>
        <v>NODE_31</v>
      </c>
      <c r="B291" s="18">
        <f t="shared" si="19"/>
        <v>50</v>
      </c>
      <c r="C291" s="18" t="str">
        <f t="shared" si="17"/>
        <v>NODE_31_50</v>
      </c>
      <c r="D291" s="18"/>
      <c r="E291" s="18" t="str">
        <f>VLOOKUP(F291,Overview!$A$1:$B$28,2,FALSE)</f>
        <v>ZhaoYun</v>
      </c>
      <c r="F291" s="18" t="s">
        <v>13</v>
      </c>
      <c r="G291" s="21" t="s">
        <v>2922</v>
      </c>
      <c r="H291" s="21" t="s">
        <v>2923</v>
      </c>
      <c r="I291" s="8" t="s">
        <v>2924</v>
      </c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>
      <c r="A292" s="18" t="str">
        <f t="shared" si="18"/>
        <v>NODE_31</v>
      </c>
      <c r="B292" s="18">
        <f t="shared" si="19"/>
        <v>51</v>
      </c>
      <c r="C292" s="18" t="str">
        <f t="shared" si="17"/>
        <v>NODE_31_51</v>
      </c>
      <c r="D292" s="18"/>
      <c r="E292" s="18" t="str">
        <f>VLOOKUP(F292,Overview!$A$1:$B$28,2,FALSE)</f>
        <v>ZhaoYun</v>
      </c>
      <c r="F292" s="18" t="s">
        <v>13</v>
      </c>
      <c r="G292" s="21" t="s">
        <v>2925</v>
      </c>
      <c r="H292" s="21" t="s">
        <v>2926</v>
      </c>
      <c r="I292" s="8" t="s">
        <v>2927</v>
      </c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>
      <c r="A293" s="18" t="str">
        <f t="shared" si="18"/>
        <v>NODE_31</v>
      </c>
      <c r="B293" s="18">
        <f t="shared" si="19"/>
        <v>52</v>
      </c>
      <c r="C293" s="18" t="str">
        <f t="shared" si="17"/>
        <v>NODE_31_52</v>
      </c>
      <c r="D293" s="18"/>
      <c r="E293" s="18" t="str">
        <f>VLOOKUP(F293,Overview!$A$1:$B$28,2,FALSE)</f>
        <v>ZhaoYun</v>
      </c>
      <c r="F293" s="18" t="s">
        <v>13</v>
      </c>
      <c r="G293" s="21" t="s">
        <v>2928</v>
      </c>
      <c r="H293" s="21" t="s">
        <v>2929</v>
      </c>
      <c r="I293" s="8" t="s">
        <v>2930</v>
      </c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>
      <c r="A294" s="18" t="str">
        <f t="shared" si="18"/>
        <v>NODE_31</v>
      </c>
      <c r="B294" s="18">
        <f t="shared" si="19"/>
        <v>53</v>
      </c>
      <c r="C294" s="18" t="str">
        <f t="shared" si="17"/>
        <v>NODE_31_53</v>
      </c>
      <c r="D294" s="18"/>
      <c r="E294" s="18" t="str">
        <f>VLOOKUP(F294,Overview!$A$1:$B$28,2,FALSE)</f>
        <v>LiuBei</v>
      </c>
      <c r="F294" s="18" t="s">
        <v>1</v>
      </c>
      <c r="G294" s="21" t="s">
        <v>2931</v>
      </c>
      <c r="H294" s="21" t="s">
        <v>2932</v>
      </c>
      <c r="I294" s="8" t="s">
        <v>2933</v>
      </c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>
      <c r="A295" s="18" t="str">
        <f t="shared" si="18"/>
        <v>NODE_31</v>
      </c>
      <c r="B295" s="18">
        <f t="shared" si="19"/>
        <v>54</v>
      </c>
      <c r="C295" s="18" t="str">
        <f t="shared" si="17"/>
        <v>NODE_31_54</v>
      </c>
      <c r="D295" s="18"/>
      <c r="E295" s="18" t="str">
        <f>VLOOKUP(F295,Overview!$A$1:$B$28,2,FALSE)</f>
        <v>LiuBei</v>
      </c>
      <c r="F295" s="18" t="s">
        <v>1</v>
      </c>
      <c r="G295" s="21" t="s">
        <v>2934</v>
      </c>
      <c r="H295" s="21" t="s">
        <v>2935</v>
      </c>
      <c r="I295" s="8" t="s">
        <v>2936</v>
      </c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>
      <c r="A296" s="18" t="str">
        <f t="shared" si="18"/>
        <v>NODE_31</v>
      </c>
      <c r="B296" s="18">
        <f t="shared" si="19"/>
        <v>55</v>
      </c>
      <c r="C296" s="18" t="str">
        <f t="shared" si="17"/>
        <v>NODE_31_55</v>
      </c>
      <c r="D296" s="18"/>
      <c r="E296" s="18" t="str">
        <f>VLOOKUP(F296,Overview!$A$1:$B$28,2,FALSE)</f>
        <v>LiuBei</v>
      </c>
      <c r="F296" s="18" t="s">
        <v>1</v>
      </c>
      <c r="G296" s="21" t="s">
        <v>2937</v>
      </c>
      <c r="H296" s="21" t="s">
        <v>2938</v>
      </c>
      <c r="I296" s="8" t="s">
        <v>2939</v>
      </c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>
      <c r="A297" s="18" t="str">
        <f t="shared" si="18"/>
        <v>NODE_31</v>
      </c>
      <c r="B297" s="18">
        <f t="shared" si="19"/>
        <v>56</v>
      </c>
      <c r="C297" s="18" t="str">
        <f t="shared" si="17"/>
        <v>NODE_31_56</v>
      </c>
      <c r="D297" s="18"/>
      <c r="E297" s="18" t="str">
        <f>VLOOKUP(F297,Overview!$A$1:$B$28,2,FALSE)</f>
        <v>LiuBei</v>
      </c>
      <c r="F297" s="18" t="s">
        <v>1</v>
      </c>
      <c r="G297" s="21" t="s">
        <v>2940</v>
      </c>
      <c r="H297" s="21" t="s">
        <v>2941</v>
      </c>
      <c r="I297" s="8" t="s">
        <v>2942</v>
      </c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>
      <c r="A298" s="18" t="str">
        <f t="shared" si="18"/>
        <v>NODE_31</v>
      </c>
      <c r="B298" s="18">
        <f t="shared" si="19"/>
        <v>57</v>
      </c>
      <c r="C298" s="18" t="str">
        <f t="shared" si="17"/>
        <v>NODE_31_57</v>
      </c>
      <c r="D298" s="18"/>
      <c r="E298" s="18" t="str">
        <f>VLOOKUP(F298,Overview!$A$1:$B$28,2,FALSE)</f>
        <v>LiuBei</v>
      </c>
      <c r="F298" s="18" t="s">
        <v>1</v>
      </c>
      <c r="G298" s="21" t="s">
        <v>2943</v>
      </c>
      <c r="H298" s="21" t="s">
        <v>2944</v>
      </c>
      <c r="I298" s="8" t="s">
        <v>2945</v>
      </c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>
      <c r="A299" s="18" t="str">
        <f t="shared" si="18"/>
        <v>NODE_31</v>
      </c>
      <c r="B299" s="18">
        <f t="shared" si="19"/>
        <v>58</v>
      </c>
      <c r="C299" s="18" t="str">
        <f t="shared" si="17"/>
        <v>NODE_31_58</v>
      </c>
      <c r="D299" s="18"/>
      <c r="E299" s="18" t="str">
        <f>VLOOKUP(F299,Overview!$A$1:$B$28,2,FALSE)</f>
        <v>LiuBei</v>
      </c>
      <c r="F299" s="18" t="s">
        <v>1</v>
      </c>
      <c r="G299" s="21" t="s">
        <v>2946</v>
      </c>
      <c r="H299" s="21" t="s">
        <v>2947</v>
      </c>
      <c r="I299" s="8" t="s">
        <v>2948</v>
      </c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>
      <c r="A300" s="18" t="str">
        <f t="shared" si="18"/>
        <v>NODE_31</v>
      </c>
      <c r="B300" s="18">
        <f t="shared" si="19"/>
        <v>59</v>
      </c>
      <c r="C300" s="18" t="str">
        <f t="shared" si="17"/>
        <v>NODE_31_59</v>
      </c>
      <c r="D300" s="18"/>
      <c r="E300" s="18" t="str">
        <f>VLOOKUP(F300,Overview!$A$1:$B$28,2,FALSE)</f>
        <v>LiuBei</v>
      </c>
      <c r="F300" s="18" t="s">
        <v>1</v>
      </c>
      <c r="G300" s="21" t="s">
        <v>2949</v>
      </c>
      <c r="H300" s="21" t="s">
        <v>2950</v>
      </c>
      <c r="I300" s="8" t="s">
        <v>2951</v>
      </c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>
      <c r="A301" s="20"/>
      <c r="B301" s="20"/>
      <c r="C301" s="20"/>
      <c r="D301" s="20"/>
      <c r="E301" s="20"/>
      <c r="F301" s="20"/>
      <c r="G301" s="23"/>
      <c r="H301" s="23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>
      <c r="A302" s="20"/>
      <c r="B302" s="20"/>
      <c r="C302" s="20"/>
      <c r="D302" s="20"/>
      <c r="E302" s="20"/>
      <c r="F302" s="20"/>
      <c r="G302" s="23"/>
      <c r="H302" s="23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>
      <c r="A303" s="20"/>
      <c r="B303" s="20"/>
      <c r="C303" s="20"/>
      <c r="D303" s="20"/>
      <c r="E303" s="20"/>
      <c r="F303" s="20"/>
      <c r="G303" s="23"/>
      <c r="H303" s="23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>
      <c r="A304" s="20"/>
      <c r="B304" s="20"/>
      <c r="C304" s="20"/>
      <c r="D304" s="20"/>
      <c r="E304" s="20"/>
      <c r="F304" s="20"/>
      <c r="G304" s="23"/>
      <c r="H304" s="23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>
      <c r="A305" s="20"/>
      <c r="B305" s="20"/>
      <c r="C305" s="20"/>
      <c r="D305" s="20"/>
      <c r="E305" s="20"/>
      <c r="F305" s="20"/>
      <c r="G305" s="23"/>
      <c r="H305" s="23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>
      <c r="A306" s="20"/>
      <c r="B306" s="20"/>
      <c r="C306" s="20"/>
      <c r="D306" s="20"/>
      <c r="E306" s="20"/>
      <c r="F306" s="20"/>
      <c r="G306" s="23"/>
      <c r="H306" s="23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>
      <c r="A307" s="20"/>
      <c r="B307" s="20"/>
      <c r="C307" s="20"/>
      <c r="D307" s="20"/>
      <c r="E307" s="20"/>
      <c r="F307" s="20"/>
      <c r="G307" s="23"/>
      <c r="H307" s="23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>
      <c r="A308" s="20"/>
      <c r="B308" s="20"/>
      <c r="C308" s="20"/>
      <c r="D308" s="20"/>
      <c r="E308" s="20"/>
      <c r="F308" s="20"/>
      <c r="G308" s="23"/>
      <c r="H308" s="23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>
      <c r="A309" s="20"/>
      <c r="B309" s="20"/>
      <c r="C309" s="20"/>
      <c r="D309" s="20"/>
      <c r="E309" s="20"/>
      <c r="F309" s="20"/>
      <c r="G309" s="23"/>
      <c r="H309" s="23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>
      <c r="A310" s="20"/>
      <c r="B310" s="20"/>
      <c r="C310" s="20"/>
      <c r="D310" s="20"/>
      <c r="E310" s="20"/>
      <c r="F310" s="20"/>
      <c r="G310" s="23"/>
      <c r="H310" s="23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>
      <c r="A311" s="20"/>
      <c r="B311" s="20"/>
      <c r="C311" s="20"/>
      <c r="D311" s="20"/>
      <c r="E311" s="20"/>
      <c r="F311" s="20"/>
      <c r="G311" s="23"/>
      <c r="H311" s="23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>
      <c r="A312" s="20"/>
      <c r="B312" s="20"/>
      <c r="C312" s="20"/>
      <c r="D312" s="20"/>
      <c r="E312" s="20"/>
      <c r="F312" s="20"/>
      <c r="G312" s="23"/>
      <c r="H312" s="23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>
      <c r="A313" s="20"/>
      <c r="B313" s="20"/>
      <c r="C313" s="20"/>
      <c r="D313" s="20"/>
      <c r="E313" s="20"/>
      <c r="F313" s="20"/>
      <c r="G313" s="23"/>
      <c r="H313" s="23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>
      <c r="A314" s="20"/>
      <c r="B314" s="20"/>
      <c r="C314" s="20"/>
      <c r="D314" s="20"/>
      <c r="E314" s="20"/>
      <c r="F314" s="20"/>
      <c r="G314" s="23"/>
      <c r="H314" s="23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>
      <c r="A315" s="20"/>
      <c r="B315" s="20"/>
      <c r="C315" s="20"/>
      <c r="D315" s="20"/>
      <c r="E315" s="20"/>
      <c r="F315" s="20"/>
      <c r="G315" s="23"/>
      <c r="H315" s="23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>
      <c r="A316" s="20"/>
      <c r="B316" s="20"/>
      <c r="C316" s="20"/>
      <c r="D316" s="20"/>
      <c r="E316" s="20"/>
      <c r="F316" s="20"/>
      <c r="G316" s="23"/>
      <c r="H316" s="23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>
      <c r="A317" s="20"/>
      <c r="B317" s="20"/>
      <c r="C317" s="20"/>
      <c r="D317" s="20"/>
      <c r="E317" s="20"/>
      <c r="F317" s="20"/>
      <c r="G317" s="23"/>
      <c r="H317" s="23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>
      <c r="A318" s="20"/>
      <c r="B318" s="20"/>
      <c r="C318" s="20"/>
      <c r="D318" s="20"/>
      <c r="E318" s="20"/>
      <c r="F318" s="20"/>
      <c r="G318" s="23"/>
      <c r="H318" s="23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>
      <c r="A319" s="20"/>
      <c r="B319" s="20"/>
      <c r="C319" s="20"/>
      <c r="D319" s="20"/>
      <c r="E319" s="20"/>
      <c r="F319" s="20"/>
      <c r="G319" s="23"/>
      <c r="H319" s="23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>
      <c r="A320" s="20"/>
      <c r="B320" s="20"/>
      <c r="C320" s="20"/>
      <c r="D320" s="20"/>
      <c r="E320" s="20"/>
      <c r="F320" s="20"/>
      <c r="G320" s="23"/>
      <c r="H320" s="23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>
      <c r="A321" s="20"/>
      <c r="B321" s="20"/>
      <c r="C321" s="20"/>
      <c r="D321" s="20"/>
      <c r="E321" s="20"/>
      <c r="F321" s="20"/>
      <c r="G321" s="23"/>
      <c r="H321" s="23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>
      <c r="A322" s="20"/>
      <c r="B322" s="20"/>
      <c r="C322" s="20"/>
      <c r="D322" s="20"/>
      <c r="E322" s="20"/>
      <c r="F322" s="20"/>
      <c r="G322" s="23"/>
      <c r="H322" s="23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>
      <c r="A323" s="20"/>
      <c r="B323" s="20"/>
      <c r="C323" s="20"/>
      <c r="D323" s="20"/>
      <c r="E323" s="20"/>
      <c r="F323" s="20"/>
      <c r="G323" s="23"/>
      <c r="H323" s="23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>
      <c r="A324" s="20"/>
      <c r="B324" s="20"/>
      <c r="C324" s="20"/>
      <c r="D324" s="20"/>
      <c r="E324" s="20"/>
      <c r="F324" s="20"/>
      <c r="G324" s="23"/>
      <c r="H324" s="23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>
      <c r="A325" s="20"/>
      <c r="B325" s="20"/>
      <c r="C325" s="20"/>
      <c r="D325" s="20"/>
      <c r="E325" s="20"/>
      <c r="F325" s="20"/>
      <c r="G325" s="23"/>
      <c r="H325" s="23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>
      <c r="A326" s="20"/>
      <c r="B326" s="20"/>
      <c r="C326" s="20"/>
      <c r="D326" s="20"/>
      <c r="E326" s="20"/>
      <c r="F326" s="20"/>
      <c r="G326" s="23"/>
      <c r="H326" s="23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>
      <c r="A327" s="20"/>
      <c r="B327" s="20"/>
      <c r="C327" s="20"/>
      <c r="D327" s="20"/>
      <c r="E327" s="20"/>
      <c r="F327" s="20"/>
      <c r="G327" s="23"/>
      <c r="H327" s="23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>
      <c r="A328" s="20"/>
      <c r="B328" s="20"/>
      <c r="C328" s="20"/>
      <c r="D328" s="20"/>
      <c r="E328" s="20"/>
      <c r="F328" s="20"/>
      <c r="G328" s="23"/>
      <c r="H328" s="23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>
      <c r="A329" s="20"/>
      <c r="B329" s="20"/>
      <c r="C329" s="20"/>
      <c r="D329" s="20"/>
      <c r="E329" s="20"/>
      <c r="F329" s="20"/>
      <c r="G329" s="23"/>
      <c r="H329" s="23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>
      <c r="A330" s="20"/>
      <c r="B330" s="20"/>
      <c r="C330" s="20"/>
      <c r="D330" s="20"/>
      <c r="E330" s="20"/>
      <c r="F330" s="20"/>
      <c r="G330" s="23"/>
      <c r="H330" s="23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>
      <c r="A331" s="20"/>
      <c r="B331" s="20"/>
      <c r="C331" s="20"/>
      <c r="D331" s="20"/>
      <c r="E331" s="20"/>
      <c r="F331" s="20"/>
      <c r="G331" s="23"/>
      <c r="H331" s="23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>
      <c r="A332" s="20"/>
      <c r="B332" s="20"/>
      <c r="C332" s="20"/>
      <c r="D332" s="20"/>
      <c r="E332" s="20"/>
      <c r="F332" s="20"/>
      <c r="G332" s="23"/>
      <c r="H332" s="23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>
      <c r="A333" s="20"/>
      <c r="B333" s="20"/>
      <c r="C333" s="20"/>
      <c r="D333" s="20"/>
      <c r="E333" s="20"/>
      <c r="F333" s="20"/>
      <c r="G333" s="23"/>
      <c r="H333" s="23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>
      <c r="A334" s="20"/>
      <c r="B334" s="20"/>
      <c r="C334" s="20"/>
      <c r="D334" s="20"/>
      <c r="E334" s="20"/>
      <c r="F334" s="20"/>
      <c r="G334" s="23"/>
      <c r="H334" s="23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>
      <c r="A335" s="20"/>
      <c r="B335" s="20"/>
      <c r="C335" s="20"/>
      <c r="D335" s="20"/>
      <c r="E335" s="20"/>
      <c r="F335" s="20"/>
      <c r="G335" s="23"/>
      <c r="H335" s="23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>
      <c r="A336" s="20"/>
      <c r="B336" s="20"/>
      <c r="C336" s="20"/>
      <c r="D336" s="20"/>
      <c r="E336" s="20"/>
      <c r="F336" s="20"/>
      <c r="G336" s="23"/>
      <c r="H336" s="23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>
      <c r="A337" s="20"/>
      <c r="B337" s="20"/>
      <c r="C337" s="20"/>
      <c r="D337" s="20"/>
      <c r="E337" s="20"/>
      <c r="F337" s="20"/>
      <c r="G337" s="23"/>
      <c r="H337" s="23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>
      <c r="A338" s="20"/>
      <c r="B338" s="20"/>
      <c r="C338" s="20"/>
      <c r="D338" s="20"/>
      <c r="E338" s="20"/>
      <c r="F338" s="20"/>
      <c r="G338" s="23"/>
      <c r="H338" s="23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>
      <c r="A339" s="20"/>
      <c r="B339" s="20"/>
      <c r="C339" s="20"/>
      <c r="D339" s="20"/>
      <c r="E339" s="20"/>
      <c r="F339" s="20"/>
      <c r="G339" s="23"/>
      <c r="H339" s="23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>
      <c r="A340" s="20"/>
      <c r="B340" s="20"/>
      <c r="C340" s="20"/>
      <c r="D340" s="20"/>
      <c r="E340" s="20"/>
      <c r="F340" s="20"/>
      <c r="G340" s="23"/>
      <c r="H340" s="23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>
      <c r="A341" s="20"/>
      <c r="B341" s="20"/>
      <c r="C341" s="20"/>
      <c r="D341" s="20"/>
      <c r="E341" s="20"/>
      <c r="F341" s="20"/>
      <c r="G341" s="23"/>
      <c r="H341" s="23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>
      <c r="A342" s="20"/>
      <c r="B342" s="20"/>
      <c r="C342" s="20"/>
      <c r="D342" s="20"/>
      <c r="E342" s="20"/>
      <c r="F342" s="20"/>
      <c r="G342" s="23"/>
      <c r="H342" s="23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>
      <c r="A343" s="20"/>
      <c r="B343" s="20"/>
      <c r="C343" s="20"/>
      <c r="D343" s="20"/>
      <c r="E343" s="20"/>
      <c r="F343" s="20"/>
      <c r="G343" s="23"/>
      <c r="H343" s="23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>
      <c r="A344" s="20"/>
      <c r="B344" s="20"/>
      <c r="C344" s="20"/>
      <c r="D344" s="20"/>
      <c r="E344" s="20"/>
      <c r="F344" s="20"/>
      <c r="G344" s="23"/>
      <c r="H344" s="23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>
      <c r="A345" s="20"/>
      <c r="B345" s="20"/>
      <c r="C345" s="20"/>
      <c r="D345" s="20"/>
      <c r="E345" s="20"/>
      <c r="F345" s="20"/>
      <c r="G345" s="23"/>
      <c r="H345" s="23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>
      <c r="A346" s="20"/>
      <c r="B346" s="20"/>
      <c r="C346" s="20"/>
      <c r="D346" s="20"/>
      <c r="E346" s="20"/>
      <c r="F346" s="20"/>
      <c r="G346" s="23"/>
      <c r="H346" s="23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>
      <c r="A347" s="20"/>
      <c r="B347" s="20"/>
      <c r="C347" s="20"/>
      <c r="D347" s="20"/>
      <c r="E347" s="20"/>
      <c r="F347" s="20"/>
      <c r="G347" s="23"/>
      <c r="H347" s="23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>
      <c r="A348" s="20"/>
      <c r="B348" s="20"/>
      <c r="C348" s="20"/>
      <c r="D348" s="20"/>
      <c r="E348" s="20"/>
      <c r="F348" s="20"/>
      <c r="G348" s="23"/>
      <c r="H348" s="23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>
      <c r="A349" s="20"/>
      <c r="B349" s="20"/>
      <c r="C349" s="20"/>
      <c r="D349" s="20"/>
      <c r="E349" s="20"/>
      <c r="F349" s="20"/>
      <c r="G349" s="23"/>
      <c r="H349" s="23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>
      <c r="A350" s="20"/>
      <c r="B350" s="20"/>
      <c r="C350" s="20"/>
      <c r="D350" s="20"/>
      <c r="E350" s="20"/>
      <c r="F350" s="20"/>
      <c r="G350" s="23"/>
      <c r="H350" s="23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>
      <c r="A351" s="20"/>
      <c r="B351" s="20"/>
      <c r="C351" s="20"/>
      <c r="D351" s="20"/>
      <c r="E351" s="20"/>
      <c r="F351" s="20"/>
      <c r="G351" s="23"/>
      <c r="H351" s="23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>
      <c r="A352" s="20"/>
      <c r="B352" s="20"/>
      <c r="C352" s="20"/>
      <c r="D352" s="20"/>
      <c r="E352" s="20"/>
      <c r="F352" s="20"/>
      <c r="G352" s="23"/>
      <c r="H352" s="23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>
      <c r="A353" s="20"/>
      <c r="B353" s="20"/>
      <c r="C353" s="20"/>
      <c r="D353" s="20"/>
      <c r="E353" s="20"/>
      <c r="F353" s="20"/>
      <c r="G353" s="23"/>
      <c r="H353" s="23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>
      <c r="A354" s="20"/>
      <c r="B354" s="20"/>
      <c r="C354" s="20"/>
      <c r="D354" s="20"/>
      <c r="E354" s="20"/>
      <c r="F354" s="20"/>
      <c r="G354" s="23"/>
      <c r="H354" s="23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>
      <c r="A355" s="20"/>
      <c r="B355" s="20"/>
      <c r="C355" s="20"/>
      <c r="D355" s="20"/>
      <c r="E355" s="20"/>
      <c r="F355" s="20"/>
      <c r="G355" s="23"/>
      <c r="H355" s="23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>
      <c r="A356" s="20"/>
      <c r="B356" s="20"/>
      <c r="C356" s="20"/>
      <c r="D356" s="20"/>
      <c r="E356" s="20"/>
      <c r="F356" s="20"/>
      <c r="G356" s="23"/>
      <c r="H356" s="23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>
      <c r="A357" s="20"/>
      <c r="B357" s="20"/>
      <c r="C357" s="20"/>
      <c r="D357" s="20"/>
      <c r="E357" s="20"/>
      <c r="F357" s="20"/>
      <c r="G357" s="23"/>
      <c r="H357" s="23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>
      <c r="A358" s="20"/>
      <c r="B358" s="20"/>
      <c r="C358" s="20"/>
      <c r="D358" s="20"/>
      <c r="E358" s="20"/>
      <c r="F358" s="20"/>
      <c r="G358" s="23"/>
      <c r="H358" s="23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>
      <c r="A359" s="20"/>
      <c r="B359" s="20"/>
      <c r="C359" s="20"/>
      <c r="D359" s="20"/>
      <c r="E359" s="20"/>
      <c r="F359" s="20"/>
      <c r="G359" s="23"/>
      <c r="H359" s="23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>
      <c r="A360" s="20"/>
      <c r="B360" s="20"/>
      <c r="C360" s="20"/>
      <c r="D360" s="20"/>
      <c r="E360" s="20"/>
      <c r="F360" s="20"/>
      <c r="G360" s="23"/>
      <c r="H360" s="23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>
      <c r="A361" s="20"/>
      <c r="B361" s="20"/>
      <c r="C361" s="20"/>
      <c r="D361" s="20"/>
      <c r="E361" s="20"/>
      <c r="F361" s="20"/>
      <c r="G361" s="23"/>
      <c r="H361" s="23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>
      <c r="A362" s="20"/>
      <c r="B362" s="20"/>
      <c r="C362" s="20"/>
      <c r="D362" s="20"/>
      <c r="E362" s="20"/>
      <c r="F362" s="20"/>
      <c r="G362" s="23"/>
      <c r="H362" s="23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>
      <c r="A363" s="20"/>
      <c r="B363" s="20"/>
      <c r="C363" s="20"/>
      <c r="D363" s="20"/>
      <c r="E363" s="20"/>
      <c r="F363" s="20"/>
      <c r="G363" s="23"/>
      <c r="H363" s="23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>
      <c r="A364" s="20"/>
      <c r="B364" s="20"/>
      <c r="C364" s="20"/>
      <c r="D364" s="20"/>
      <c r="E364" s="20"/>
      <c r="F364" s="20"/>
      <c r="G364" s="23"/>
      <c r="H364" s="23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>
      <c r="A365" s="20"/>
      <c r="B365" s="20"/>
      <c r="C365" s="20"/>
      <c r="D365" s="20"/>
      <c r="E365" s="20"/>
      <c r="F365" s="20"/>
      <c r="G365" s="23"/>
      <c r="H365" s="23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>
      <c r="A366" s="20"/>
      <c r="B366" s="20"/>
      <c r="C366" s="20"/>
      <c r="D366" s="20"/>
      <c r="E366" s="20"/>
      <c r="F366" s="20"/>
      <c r="G366" s="23"/>
      <c r="H366" s="23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>
      <c r="A367" s="20"/>
      <c r="B367" s="20"/>
      <c r="C367" s="20"/>
      <c r="D367" s="20"/>
      <c r="E367" s="20"/>
      <c r="F367" s="20"/>
      <c r="G367" s="23"/>
      <c r="H367" s="23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>
      <c r="A368" s="20"/>
      <c r="B368" s="20"/>
      <c r="C368" s="20"/>
      <c r="D368" s="20"/>
      <c r="E368" s="20"/>
      <c r="F368" s="20"/>
      <c r="G368" s="23"/>
      <c r="H368" s="23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>
      <c r="A369" s="20"/>
      <c r="B369" s="20"/>
      <c r="C369" s="20"/>
      <c r="D369" s="20"/>
      <c r="E369" s="20"/>
      <c r="F369" s="20"/>
      <c r="G369" s="23"/>
      <c r="H369" s="23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>
      <c r="A370" s="20"/>
      <c r="B370" s="20"/>
      <c r="C370" s="20"/>
      <c r="D370" s="20"/>
      <c r="E370" s="20"/>
      <c r="F370" s="20"/>
      <c r="G370" s="23"/>
      <c r="H370" s="23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>
      <c r="A371" s="20"/>
      <c r="B371" s="20"/>
      <c r="C371" s="20"/>
      <c r="D371" s="20"/>
      <c r="E371" s="20"/>
      <c r="F371" s="20"/>
      <c r="G371" s="23"/>
      <c r="H371" s="23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>
      <c r="A372" s="20"/>
      <c r="B372" s="20"/>
      <c r="C372" s="20"/>
      <c r="D372" s="20"/>
      <c r="E372" s="20"/>
      <c r="F372" s="20"/>
      <c r="G372" s="23"/>
      <c r="H372" s="23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>
      <c r="A373" s="20"/>
      <c r="B373" s="20"/>
      <c r="C373" s="20"/>
      <c r="D373" s="20"/>
      <c r="E373" s="20"/>
      <c r="F373" s="20"/>
      <c r="G373" s="23"/>
      <c r="H373" s="23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>
      <c r="A374" s="20"/>
      <c r="B374" s="20"/>
      <c r="C374" s="20"/>
      <c r="D374" s="20"/>
      <c r="E374" s="20"/>
      <c r="F374" s="20"/>
      <c r="G374" s="23"/>
      <c r="H374" s="23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>
      <c r="A375" s="20"/>
      <c r="B375" s="20"/>
      <c r="C375" s="20"/>
      <c r="D375" s="20"/>
      <c r="E375" s="20"/>
      <c r="F375" s="20"/>
      <c r="G375" s="23"/>
      <c r="H375" s="23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>
      <c r="A376" s="20"/>
      <c r="B376" s="20"/>
      <c r="C376" s="20"/>
      <c r="D376" s="20"/>
      <c r="E376" s="20"/>
      <c r="F376" s="20"/>
      <c r="G376" s="23"/>
      <c r="H376" s="23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>
      <c r="A377" s="20"/>
      <c r="B377" s="20"/>
      <c r="C377" s="20"/>
      <c r="D377" s="20"/>
      <c r="E377" s="20"/>
      <c r="F377" s="20"/>
      <c r="G377" s="23"/>
      <c r="H377" s="23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>
      <c r="A378" s="20"/>
      <c r="B378" s="20"/>
      <c r="C378" s="20"/>
      <c r="D378" s="20"/>
      <c r="E378" s="20"/>
      <c r="F378" s="20"/>
      <c r="G378" s="23"/>
      <c r="H378" s="23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>
      <c r="A379" s="20"/>
      <c r="B379" s="20"/>
      <c r="C379" s="20"/>
      <c r="D379" s="20"/>
      <c r="E379" s="20"/>
      <c r="F379" s="20"/>
      <c r="G379" s="23"/>
      <c r="H379" s="23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>
      <c r="A380" s="20"/>
      <c r="B380" s="20"/>
      <c r="C380" s="20"/>
      <c r="D380" s="20"/>
      <c r="E380" s="20"/>
      <c r="F380" s="20"/>
      <c r="G380" s="23"/>
      <c r="H380" s="23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>
      <c r="A381" s="20"/>
      <c r="B381" s="20"/>
      <c r="C381" s="20"/>
      <c r="D381" s="20"/>
      <c r="E381" s="20"/>
      <c r="F381" s="20"/>
      <c r="G381" s="23"/>
      <c r="H381" s="23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>
      <c r="A382" s="20"/>
      <c r="B382" s="20"/>
      <c r="C382" s="20"/>
      <c r="D382" s="20"/>
      <c r="E382" s="20"/>
      <c r="F382" s="20"/>
      <c r="G382" s="23"/>
      <c r="H382" s="23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>
      <c r="A383" s="20"/>
      <c r="B383" s="20"/>
      <c r="C383" s="20"/>
      <c r="D383" s="20"/>
      <c r="E383" s="20"/>
      <c r="F383" s="20"/>
      <c r="G383" s="23"/>
      <c r="H383" s="23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>
      <c r="A384" s="20"/>
      <c r="B384" s="20"/>
      <c r="C384" s="20"/>
      <c r="D384" s="20"/>
      <c r="E384" s="20"/>
      <c r="F384" s="20"/>
      <c r="G384" s="23"/>
      <c r="H384" s="23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>
      <c r="A385" s="20"/>
      <c r="B385" s="20"/>
      <c r="C385" s="20"/>
      <c r="D385" s="20"/>
      <c r="E385" s="20"/>
      <c r="F385" s="20"/>
      <c r="G385" s="23"/>
      <c r="H385" s="23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>
      <c r="A386" s="20"/>
      <c r="B386" s="20"/>
      <c r="C386" s="20"/>
      <c r="D386" s="20"/>
      <c r="E386" s="20"/>
      <c r="F386" s="20"/>
      <c r="G386" s="23"/>
      <c r="H386" s="23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>
      <c r="A387" s="20"/>
      <c r="B387" s="20"/>
      <c r="C387" s="20"/>
      <c r="D387" s="20"/>
      <c r="E387" s="20"/>
      <c r="F387" s="20"/>
      <c r="G387" s="23"/>
      <c r="H387" s="23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>
      <c r="A388" s="20"/>
      <c r="B388" s="20"/>
      <c r="C388" s="20"/>
      <c r="D388" s="20"/>
      <c r="E388" s="20"/>
      <c r="F388" s="20"/>
      <c r="G388" s="23"/>
      <c r="H388" s="23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>
      <c r="A389" s="20"/>
      <c r="B389" s="20"/>
      <c r="C389" s="20"/>
      <c r="D389" s="20"/>
      <c r="E389" s="20"/>
      <c r="F389" s="20"/>
      <c r="G389" s="23"/>
      <c r="H389" s="23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>
      <c r="A390" s="20"/>
      <c r="B390" s="20"/>
      <c r="C390" s="20"/>
      <c r="D390" s="20"/>
      <c r="E390" s="20"/>
      <c r="F390" s="20"/>
      <c r="G390" s="23"/>
      <c r="H390" s="23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>
      <c r="A391" s="20"/>
      <c r="B391" s="20"/>
      <c r="C391" s="20"/>
      <c r="D391" s="20"/>
      <c r="E391" s="20"/>
      <c r="F391" s="20"/>
      <c r="G391" s="23"/>
      <c r="H391" s="23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>
      <c r="A392" s="20"/>
      <c r="B392" s="20"/>
      <c r="C392" s="20"/>
      <c r="D392" s="20"/>
      <c r="E392" s="20"/>
      <c r="F392" s="20"/>
      <c r="G392" s="23"/>
      <c r="H392" s="23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>
      <c r="A393" s="20"/>
      <c r="B393" s="20"/>
      <c r="C393" s="20"/>
      <c r="D393" s="20"/>
      <c r="E393" s="20"/>
      <c r="F393" s="20"/>
      <c r="G393" s="23"/>
      <c r="H393" s="23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>
      <c r="A394" s="20"/>
      <c r="B394" s="20"/>
      <c r="C394" s="20"/>
      <c r="D394" s="20"/>
      <c r="E394" s="20"/>
      <c r="F394" s="20"/>
      <c r="G394" s="23"/>
      <c r="H394" s="23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>
      <c r="A395" s="20"/>
      <c r="B395" s="20"/>
      <c r="C395" s="20"/>
      <c r="D395" s="20"/>
      <c r="E395" s="20"/>
      <c r="F395" s="20"/>
      <c r="G395" s="23"/>
      <c r="H395" s="23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>
      <c r="A396" s="20"/>
      <c r="B396" s="20"/>
      <c r="C396" s="20"/>
      <c r="D396" s="20"/>
      <c r="E396" s="20"/>
      <c r="F396" s="20"/>
      <c r="G396" s="23"/>
      <c r="H396" s="23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>
      <c r="A397" s="20"/>
      <c r="B397" s="20"/>
      <c r="C397" s="20"/>
      <c r="D397" s="20"/>
      <c r="E397" s="20"/>
      <c r="F397" s="20"/>
      <c r="G397" s="23"/>
      <c r="H397" s="23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>
      <c r="A398" s="20"/>
      <c r="B398" s="20"/>
      <c r="C398" s="20"/>
      <c r="D398" s="20"/>
      <c r="E398" s="20"/>
      <c r="F398" s="20"/>
      <c r="G398" s="23"/>
      <c r="H398" s="23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>
      <c r="A399" s="20"/>
      <c r="B399" s="20"/>
      <c r="C399" s="20"/>
      <c r="D399" s="20"/>
      <c r="E399" s="20"/>
      <c r="F399" s="20"/>
      <c r="G399" s="23"/>
      <c r="H399" s="23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>
      <c r="A400" s="20"/>
      <c r="B400" s="20"/>
      <c r="C400" s="20"/>
      <c r="D400" s="20"/>
      <c r="E400" s="20"/>
      <c r="F400" s="20"/>
      <c r="G400" s="23"/>
      <c r="H400" s="23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>
      <c r="A401" s="20"/>
      <c r="B401" s="20"/>
      <c r="C401" s="20"/>
      <c r="D401" s="20"/>
      <c r="E401" s="20"/>
      <c r="F401" s="20"/>
      <c r="G401" s="23"/>
      <c r="H401" s="23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>
      <c r="A402" s="20"/>
      <c r="B402" s="20"/>
      <c r="C402" s="20"/>
      <c r="D402" s="20"/>
      <c r="E402" s="20"/>
      <c r="F402" s="20"/>
      <c r="G402" s="23"/>
      <c r="H402" s="23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>
      <c r="A403" s="20"/>
      <c r="B403" s="20"/>
      <c r="C403" s="20"/>
      <c r="D403" s="20"/>
      <c r="E403" s="20"/>
      <c r="F403" s="20"/>
      <c r="G403" s="23"/>
      <c r="H403" s="23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>
      <c r="A404" s="20"/>
      <c r="B404" s="20"/>
      <c r="C404" s="20"/>
      <c r="D404" s="20"/>
      <c r="E404" s="20"/>
      <c r="F404" s="20"/>
      <c r="G404" s="23"/>
      <c r="H404" s="23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>
      <c r="A405" s="20"/>
      <c r="B405" s="20"/>
      <c r="C405" s="20"/>
      <c r="D405" s="20"/>
      <c r="E405" s="20"/>
      <c r="F405" s="20"/>
      <c r="G405" s="23"/>
      <c r="H405" s="23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>
      <c r="A406" s="20"/>
      <c r="B406" s="20"/>
      <c r="C406" s="20"/>
      <c r="D406" s="20"/>
      <c r="E406" s="20"/>
      <c r="F406" s="20"/>
      <c r="G406" s="23"/>
      <c r="H406" s="23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>
      <c r="A407" s="20"/>
      <c r="B407" s="20"/>
      <c r="C407" s="20"/>
      <c r="D407" s="20"/>
      <c r="E407" s="20"/>
      <c r="F407" s="20"/>
      <c r="G407" s="23"/>
      <c r="H407" s="23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>
      <c r="A408" s="20"/>
      <c r="B408" s="20"/>
      <c r="C408" s="20"/>
      <c r="D408" s="20"/>
      <c r="E408" s="20"/>
      <c r="F408" s="20"/>
      <c r="G408" s="23"/>
      <c r="H408" s="23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>
      <c r="A409" s="20"/>
      <c r="B409" s="20"/>
      <c r="C409" s="20"/>
      <c r="D409" s="20"/>
      <c r="E409" s="20"/>
      <c r="F409" s="20"/>
      <c r="G409" s="23"/>
      <c r="H409" s="23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>
      <c r="A410" s="20"/>
      <c r="B410" s="20"/>
      <c r="C410" s="20"/>
      <c r="D410" s="20"/>
      <c r="E410" s="20"/>
      <c r="F410" s="20"/>
      <c r="G410" s="23"/>
      <c r="H410" s="23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>
      <c r="A411" s="20"/>
      <c r="B411" s="20"/>
      <c r="C411" s="20"/>
      <c r="D411" s="20"/>
      <c r="E411" s="20"/>
      <c r="F411" s="20"/>
      <c r="G411" s="23"/>
      <c r="H411" s="23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>
      <c r="A412" s="20"/>
      <c r="B412" s="20"/>
      <c r="C412" s="20"/>
      <c r="D412" s="20"/>
      <c r="E412" s="20"/>
      <c r="F412" s="20"/>
      <c r="G412" s="23"/>
      <c r="H412" s="23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>
      <c r="A413" s="20"/>
      <c r="B413" s="20"/>
      <c r="C413" s="20"/>
      <c r="D413" s="20"/>
      <c r="E413" s="20"/>
      <c r="F413" s="20"/>
      <c r="G413" s="23"/>
      <c r="H413" s="23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>
      <c r="A414" s="20"/>
      <c r="B414" s="20"/>
      <c r="C414" s="20"/>
      <c r="D414" s="20"/>
      <c r="E414" s="20"/>
      <c r="F414" s="20"/>
      <c r="G414" s="23"/>
      <c r="H414" s="23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>
      <c r="A415" s="20"/>
      <c r="B415" s="20"/>
      <c r="C415" s="20"/>
      <c r="D415" s="20"/>
      <c r="E415" s="20"/>
      <c r="F415" s="20"/>
      <c r="G415" s="23"/>
      <c r="H415" s="23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>
      <c r="A416" s="20"/>
      <c r="B416" s="20"/>
      <c r="C416" s="20"/>
      <c r="D416" s="20"/>
      <c r="E416" s="20"/>
      <c r="F416" s="20"/>
      <c r="G416" s="23"/>
      <c r="H416" s="23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>
      <c r="A417" s="20"/>
      <c r="B417" s="20"/>
      <c r="C417" s="20"/>
      <c r="D417" s="20"/>
      <c r="E417" s="20"/>
      <c r="F417" s="20"/>
      <c r="G417" s="23"/>
      <c r="H417" s="23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>
      <c r="A418" s="20"/>
      <c r="B418" s="20"/>
      <c r="C418" s="20"/>
      <c r="D418" s="20"/>
      <c r="E418" s="20"/>
      <c r="F418" s="20"/>
      <c r="G418" s="23"/>
      <c r="H418" s="23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>
      <c r="A419" s="20"/>
      <c r="B419" s="20"/>
      <c r="C419" s="20"/>
      <c r="D419" s="20"/>
      <c r="E419" s="20"/>
      <c r="F419" s="20"/>
      <c r="G419" s="23"/>
      <c r="H419" s="23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>
      <c r="A420" s="20"/>
      <c r="B420" s="20"/>
      <c r="C420" s="20"/>
      <c r="D420" s="20"/>
      <c r="E420" s="20"/>
      <c r="F420" s="20"/>
      <c r="G420" s="23"/>
      <c r="H420" s="23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>
      <c r="A421" s="20"/>
      <c r="B421" s="20"/>
      <c r="C421" s="20"/>
      <c r="D421" s="20"/>
      <c r="E421" s="20"/>
      <c r="F421" s="20"/>
      <c r="G421" s="23"/>
      <c r="H421" s="23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>
      <c r="A422" s="20"/>
      <c r="B422" s="20"/>
      <c r="C422" s="20"/>
      <c r="D422" s="20"/>
      <c r="E422" s="20"/>
      <c r="F422" s="20"/>
      <c r="G422" s="23"/>
      <c r="H422" s="23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>
      <c r="A423" s="20"/>
      <c r="B423" s="20"/>
      <c r="C423" s="20"/>
      <c r="D423" s="20"/>
      <c r="E423" s="20"/>
      <c r="F423" s="20"/>
      <c r="G423" s="23"/>
      <c r="H423" s="23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>
      <c r="A424" s="20"/>
      <c r="B424" s="20"/>
      <c r="C424" s="20"/>
      <c r="D424" s="20"/>
      <c r="E424" s="20"/>
      <c r="F424" s="20"/>
      <c r="G424" s="23"/>
      <c r="H424" s="23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>
      <c r="A425" s="20"/>
      <c r="B425" s="20"/>
      <c r="C425" s="20"/>
      <c r="D425" s="20"/>
      <c r="E425" s="20"/>
      <c r="F425" s="20"/>
      <c r="G425" s="23"/>
      <c r="H425" s="23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>
      <c r="A426" s="20"/>
      <c r="B426" s="20"/>
      <c r="C426" s="20"/>
      <c r="D426" s="20"/>
      <c r="E426" s="20"/>
      <c r="F426" s="20"/>
      <c r="G426" s="23"/>
      <c r="H426" s="23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>
      <c r="A427" s="20"/>
      <c r="B427" s="20"/>
      <c r="C427" s="20"/>
      <c r="D427" s="20"/>
      <c r="E427" s="20"/>
      <c r="F427" s="20"/>
      <c r="G427" s="23"/>
      <c r="H427" s="23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>
      <c r="A428" s="20"/>
      <c r="B428" s="20"/>
      <c r="C428" s="20"/>
      <c r="D428" s="20"/>
      <c r="E428" s="20"/>
      <c r="F428" s="20"/>
      <c r="G428" s="23"/>
      <c r="H428" s="23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>
      <c r="A429" s="20"/>
      <c r="B429" s="20"/>
      <c r="C429" s="20"/>
      <c r="D429" s="20"/>
      <c r="E429" s="20"/>
      <c r="F429" s="20"/>
      <c r="G429" s="23"/>
      <c r="H429" s="23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>
      <c r="A430" s="20"/>
      <c r="B430" s="20"/>
      <c r="C430" s="20"/>
      <c r="D430" s="20"/>
      <c r="E430" s="20"/>
      <c r="F430" s="20"/>
      <c r="G430" s="23"/>
      <c r="H430" s="23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>
      <c r="A431" s="20"/>
      <c r="B431" s="20"/>
      <c r="C431" s="20"/>
      <c r="D431" s="20"/>
      <c r="E431" s="20"/>
      <c r="F431" s="20"/>
      <c r="G431" s="23"/>
      <c r="H431" s="23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>
      <c r="A432" s="20"/>
      <c r="B432" s="20"/>
      <c r="C432" s="20"/>
      <c r="D432" s="20"/>
      <c r="E432" s="20"/>
      <c r="F432" s="20"/>
      <c r="G432" s="23"/>
      <c r="H432" s="23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>
      <c r="A433" s="20"/>
      <c r="B433" s="20"/>
      <c r="C433" s="20"/>
      <c r="D433" s="20"/>
      <c r="E433" s="20"/>
      <c r="F433" s="20"/>
      <c r="G433" s="23"/>
      <c r="H433" s="23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>
      <c r="A434" s="20"/>
      <c r="B434" s="20"/>
      <c r="C434" s="20"/>
      <c r="D434" s="20"/>
      <c r="E434" s="20"/>
      <c r="F434" s="20"/>
      <c r="G434" s="23"/>
      <c r="H434" s="23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>
      <c r="A435" s="20"/>
      <c r="B435" s="20"/>
      <c r="C435" s="20"/>
      <c r="D435" s="20"/>
      <c r="E435" s="20"/>
      <c r="F435" s="20"/>
      <c r="G435" s="23"/>
      <c r="H435" s="23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>
      <c r="A436" s="20"/>
      <c r="B436" s="20"/>
      <c r="C436" s="20"/>
      <c r="D436" s="20"/>
      <c r="E436" s="20"/>
      <c r="F436" s="20"/>
      <c r="G436" s="23"/>
      <c r="H436" s="23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>
      <c r="A437" s="20"/>
      <c r="B437" s="20"/>
      <c r="C437" s="20"/>
      <c r="D437" s="20"/>
      <c r="E437" s="20"/>
      <c r="F437" s="20"/>
      <c r="G437" s="23"/>
      <c r="H437" s="23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>
      <c r="A438" s="20"/>
      <c r="B438" s="20"/>
      <c r="C438" s="20"/>
      <c r="D438" s="20"/>
      <c r="E438" s="20"/>
      <c r="F438" s="20"/>
      <c r="G438" s="23"/>
      <c r="H438" s="23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>
      <c r="A439" s="20"/>
      <c r="B439" s="20"/>
      <c r="C439" s="20"/>
      <c r="D439" s="20"/>
      <c r="E439" s="20"/>
      <c r="F439" s="20"/>
      <c r="G439" s="23"/>
      <c r="H439" s="23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>
      <c r="A440" s="20"/>
      <c r="B440" s="20"/>
      <c r="C440" s="20"/>
      <c r="D440" s="20"/>
      <c r="E440" s="20"/>
      <c r="F440" s="20"/>
      <c r="G440" s="23"/>
      <c r="H440" s="23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>
      <c r="A441" s="20"/>
      <c r="B441" s="20"/>
      <c r="C441" s="20"/>
      <c r="D441" s="20"/>
      <c r="E441" s="20"/>
      <c r="F441" s="20"/>
      <c r="G441" s="23"/>
      <c r="H441" s="23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>
      <c r="A442" s="20"/>
      <c r="B442" s="20"/>
      <c r="C442" s="20"/>
      <c r="D442" s="20"/>
      <c r="E442" s="20"/>
      <c r="F442" s="20"/>
      <c r="G442" s="23"/>
      <c r="H442" s="23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>
      <c r="A443" s="20"/>
      <c r="B443" s="20"/>
      <c r="C443" s="20"/>
      <c r="D443" s="20"/>
      <c r="E443" s="20"/>
      <c r="F443" s="20"/>
      <c r="G443" s="23"/>
      <c r="H443" s="23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>
      <c r="A444" s="20"/>
      <c r="B444" s="20"/>
      <c r="C444" s="20"/>
      <c r="D444" s="20"/>
      <c r="E444" s="20"/>
      <c r="F444" s="20"/>
      <c r="G444" s="23"/>
      <c r="H444" s="23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>
      <c r="A445" s="20"/>
      <c r="B445" s="20"/>
      <c r="C445" s="20"/>
      <c r="D445" s="20"/>
      <c r="E445" s="20"/>
      <c r="F445" s="20"/>
      <c r="G445" s="23"/>
      <c r="H445" s="23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>
      <c r="A446" s="20"/>
      <c r="B446" s="20"/>
      <c r="C446" s="20"/>
      <c r="D446" s="20"/>
      <c r="E446" s="20"/>
      <c r="F446" s="20"/>
      <c r="G446" s="23"/>
      <c r="H446" s="23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>
      <c r="A447" s="20"/>
      <c r="B447" s="20"/>
      <c r="C447" s="20"/>
      <c r="D447" s="20"/>
      <c r="E447" s="20"/>
      <c r="F447" s="20"/>
      <c r="G447" s="23"/>
      <c r="H447" s="23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>
      <c r="A448" s="20"/>
      <c r="B448" s="20"/>
      <c r="C448" s="20"/>
      <c r="D448" s="20"/>
      <c r="E448" s="20"/>
      <c r="F448" s="20"/>
      <c r="G448" s="23"/>
      <c r="H448" s="23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>
      <c r="A449" s="20"/>
      <c r="B449" s="20"/>
      <c r="C449" s="20"/>
      <c r="D449" s="20"/>
      <c r="E449" s="20"/>
      <c r="F449" s="20"/>
      <c r="G449" s="23"/>
      <c r="H449" s="23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>
      <c r="A450" s="20"/>
      <c r="B450" s="20"/>
      <c r="C450" s="20"/>
      <c r="D450" s="20"/>
      <c r="E450" s="20"/>
      <c r="F450" s="20"/>
      <c r="G450" s="23"/>
      <c r="H450" s="23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>
      <c r="A451" s="20"/>
      <c r="B451" s="20"/>
      <c r="C451" s="20"/>
      <c r="D451" s="20"/>
      <c r="E451" s="20"/>
      <c r="F451" s="20"/>
      <c r="G451" s="23"/>
      <c r="H451" s="23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>
      <c r="A452" s="20"/>
      <c r="B452" s="20"/>
      <c r="C452" s="20"/>
      <c r="D452" s="20"/>
      <c r="E452" s="20"/>
      <c r="F452" s="20"/>
      <c r="G452" s="23"/>
      <c r="H452" s="23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>
      <c r="A453" s="20"/>
      <c r="B453" s="20"/>
      <c r="C453" s="20"/>
      <c r="D453" s="20"/>
      <c r="E453" s="20"/>
      <c r="F453" s="20"/>
      <c r="G453" s="23"/>
      <c r="H453" s="23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>
      <c r="A454" s="20"/>
      <c r="B454" s="20"/>
      <c r="C454" s="20"/>
      <c r="D454" s="20"/>
      <c r="E454" s="20"/>
      <c r="F454" s="20"/>
      <c r="G454" s="23"/>
      <c r="H454" s="23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>
      <c r="A455" s="20"/>
      <c r="B455" s="20"/>
      <c r="C455" s="20"/>
      <c r="D455" s="20"/>
      <c r="E455" s="20"/>
      <c r="F455" s="20"/>
      <c r="G455" s="23"/>
      <c r="H455" s="23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>
      <c r="A456" s="20"/>
      <c r="B456" s="20"/>
      <c r="C456" s="20"/>
      <c r="D456" s="20"/>
      <c r="E456" s="20"/>
      <c r="F456" s="20"/>
      <c r="G456" s="23"/>
      <c r="H456" s="23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>
      <c r="A457" s="20"/>
      <c r="B457" s="20"/>
      <c r="C457" s="20"/>
      <c r="D457" s="20"/>
      <c r="E457" s="20"/>
      <c r="F457" s="20"/>
      <c r="G457" s="23"/>
      <c r="H457" s="23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>
      <c r="A458" s="20"/>
      <c r="B458" s="20"/>
      <c r="C458" s="20"/>
      <c r="D458" s="20"/>
      <c r="E458" s="20"/>
      <c r="F458" s="20"/>
      <c r="G458" s="23"/>
      <c r="H458" s="23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>
      <c r="A459" s="20"/>
      <c r="B459" s="20"/>
      <c r="C459" s="20"/>
      <c r="D459" s="20"/>
      <c r="E459" s="20"/>
      <c r="F459" s="20"/>
      <c r="G459" s="23"/>
      <c r="H459" s="23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>
      <c r="A460" s="20"/>
      <c r="B460" s="20"/>
      <c r="C460" s="20"/>
      <c r="D460" s="20"/>
      <c r="E460" s="20"/>
      <c r="F460" s="20"/>
      <c r="G460" s="23"/>
      <c r="H460" s="23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>
      <c r="A461" s="20"/>
      <c r="B461" s="20"/>
      <c r="C461" s="20"/>
      <c r="D461" s="20"/>
      <c r="E461" s="20"/>
      <c r="F461" s="20"/>
      <c r="G461" s="23"/>
      <c r="H461" s="23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>
      <c r="A462" s="20"/>
      <c r="B462" s="20"/>
      <c r="C462" s="20"/>
      <c r="D462" s="20"/>
      <c r="E462" s="20"/>
      <c r="F462" s="20"/>
      <c r="G462" s="23"/>
      <c r="H462" s="23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>
      <c r="A463" s="20"/>
      <c r="B463" s="20"/>
      <c r="C463" s="20"/>
      <c r="D463" s="20"/>
      <c r="E463" s="20"/>
      <c r="F463" s="20"/>
      <c r="G463" s="23"/>
      <c r="H463" s="23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>
      <c r="A464" s="20"/>
      <c r="B464" s="20"/>
      <c r="C464" s="20"/>
      <c r="D464" s="20"/>
      <c r="E464" s="20"/>
      <c r="F464" s="20"/>
      <c r="G464" s="23"/>
      <c r="H464" s="23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>
      <c r="A465" s="20"/>
      <c r="B465" s="20"/>
      <c r="C465" s="20"/>
      <c r="D465" s="20"/>
      <c r="E465" s="20"/>
      <c r="F465" s="20"/>
      <c r="G465" s="23"/>
      <c r="H465" s="23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>
      <c r="A466" s="20"/>
      <c r="B466" s="20"/>
      <c r="C466" s="20"/>
      <c r="D466" s="20"/>
      <c r="E466" s="20"/>
      <c r="F466" s="20"/>
      <c r="G466" s="23"/>
      <c r="H466" s="23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>
      <c r="A467" s="20"/>
      <c r="B467" s="20"/>
      <c r="C467" s="20"/>
      <c r="D467" s="20"/>
      <c r="E467" s="20"/>
      <c r="F467" s="20"/>
      <c r="G467" s="23"/>
      <c r="H467" s="23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>
      <c r="A468" s="20"/>
      <c r="B468" s="20"/>
      <c r="C468" s="20"/>
      <c r="D468" s="20"/>
      <c r="E468" s="20"/>
      <c r="F468" s="20"/>
      <c r="G468" s="23"/>
      <c r="H468" s="23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>
      <c r="A469" s="20"/>
      <c r="B469" s="20"/>
      <c r="C469" s="20"/>
      <c r="D469" s="20"/>
      <c r="E469" s="20"/>
      <c r="F469" s="20"/>
      <c r="G469" s="23"/>
      <c r="H469" s="23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>
      <c r="A470" s="20"/>
      <c r="B470" s="20"/>
      <c r="C470" s="20"/>
      <c r="D470" s="20"/>
      <c r="E470" s="20"/>
      <c r="F470" s="20"/>
      <c r="G470" s="23"/>
      <c r="H470" s="23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>
      <c r="A471" s="20"/>
      <c r="B471" s="20"/>
      <c r="C471" s="20"/>
      <c r="D471" s="20"/>
      <c r="E471" s="20"/>
      <c r="F471" s="20"/>
      <c r="G471" s="23"/>
      <c r="H471" s="23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>
      <c r="A472" s="20"/>
      <c r="B472" s="20"/>
      <c r="C472" s="20"/>
      <c r="D472" s="20"/>
      <c r="E472" s="20"/>
      <c r="F472" s="20"/>
      <c r="G472" s="23"/>
      <c r="H472" s="23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>
      <c r="A473" s="20"/>
      <c r="B473" s="20"/>
      <c r="C473" s="20"/>
      <c r="D473" s="20"/>
      <c r="E473" s="20"/>
      <c r="F473" s="20"/>
      <c r="G473" s="23"/>
      <c r="H473" s="23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>
      <c r="A474" s="20"/>
      <c r="B474" s="20"/>
      <c r="C474" s="20"/>
      <c r="D474" s="20"/>
      <c r="E474" s="20"/>
      <c r="F474" s="20"/>
      <c r="G474" s="23"/>
      <c r="H474" s="23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>
      <c r="A475" s="20"/>
      <c r="B475" s="20"/>
      <c r="C475" s="20"/>
      <c r="D475" s="20"/>
      <c r="E475" s="20"/>
      <c r="F475" s="20"/>
      <c r="G475" s="23"/>
      <c r="H475" s="23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>
      <c r="A476" s="20"/>
      <c r="B476" s="20"/>
      <c r="C476" s="20"/>
      <c r="D476" s="20"/>
      <c r="E476" s="20"/>
      <c r="F476" s="20"/>
      <c r="G476" s="23"/>
      <c r="H476" s="23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>
      <c r="A477" s="20"/>
      <c r="B477" s="20"/>
      <c r="C477" s="20"/>
      <c r="D477" s="20"/>
      <c r="E477" s="20"/>
      <c r="F477" s="20"/>
      <c r="G477" s="23"/>
      <c r="H477" s="23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>
      <c r="A478" s="20"/>
      <c r="B478" s="20"/>
      <c r="C478" s="20"/>
      <c r="D478" s="20"/>
      <c r="E478" s="20"/>
      <c r="F478" s="20"/>
      <c r="G478" s="23"/>
      <c r="H478" s="23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>
      <c r="A479" s="20"/>
      <c r="B479" s="20"/>
      <c r="C479" s="20"/>
      <c r="D479" s="20"/>
      <c r="E479" s="20"/>
      <c r="F479" s="20"/>
      <c r="G479" s="23"/>
      <c r="H479" s="23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>
      <c r="A480" s="20"/>
      <c r="B480" s="20"/>
      <c r="C480" s="20"/>
      <c r="D480" s="20"/>
      <c r="E480" s="20"/>
      <c r="F480" s="20"/>
      <c r="G480" s="23"/>
      <c r="H480" s="23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>
      <c r="A481" s="20"/>
      <c r="B481" s="20"/>
      <c r="C481" s="20"/>
      <c r="D481" s="20"/>
      <c r="E481" s="20"/>
      <c r="F481" s="20"/>
      <c r="G481" s="23"/>
      <c r="H481" s="23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>
      <c r="A482" s="20"/>
      <c r="B482" s="20"/>
      <c r="C482" s="20"/>
      <c r="D482" s="20"/>
      <c r="E482" s="20"/>
      <c r="F482" s="20"/>
      <c r="G482" s="23"/>
      <c r="H482" s="23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>
      <c r="A483" s="20"/>
      <c r="B483" s="20"/>
      <c r="C483" s="20"/>
      <c r="D483" s="20"/>
      <c r="E483" s="20"/>
      <c r="F483" s="20"/>
      <c r="G483" s="23"/>
      <c r="H483" s="23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>
      <c r="A484" s="20"/>
      <c r="B484" s="20"/>
      <c r="C484" s="20"/>
      <c r="D484" s="20"/>
      <c r="E484" s="20"/>
      <c r="F484" s="20"/>
      <c r="G484" s="23"/>
      <c r="H484" s="23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>
      <c r="A485" s="20"/>
      <c r="B485" s="20"/>
      <c r="C485" s="20"/>
      <c r="D485" s="20"/>
      <c r="E485" s="20"/>
      <c r="F485" s="20"/>
      <c r="G485" s="23"/>
      <c r="H485" s="23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>
      <c r="A486" s="20"/>
      <c r="B486" s="20"/>
      <c r="C486" s="20"/>
      <c r="D486" s="20"/>
      <c r="E486" s="20"/>
      <c r="F486" s="20"/>
      <c r="G486" s="23"/>
      <c r="H486" s="23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>
      <c r="A487" s="20"/>
      <c r="B487" s="20"/>
      <c r="C487" s="20"/>
      <c r="D487" s="20"/>
      <c r="E487" s="20"/>
      <c r="F487" s="20"/>
      <c r="G487" s="23"/>
      <c r="H487" s="23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>
      <c r="A488" s="20"/>
      <c r="B488" s="20"/>
      <c r="C488" s="20"/>
      <c r="D488" s="20"/>
      <c r="E488" s="20"/>
      <c r="F488" s="20"/>
      <c r="G488" s="23"/>
      <c r="H488" s="23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>
      <c r="A489" s="20"/>
      <c r="B489" s="20"/>
      <c r="C489" s="20"/>
      <c r="D489" s="20"/>
      <c r="E489" s="20"/>
      <c r="F489" s="20"/>
      <c r="G489" s="23"/>
      <c r="H489" s="23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>
      <c r="A490" s="20"/>
      <c r="B490" s="20"/>
      <c r="C490" s="20"/>
      <c r="D490" s="20"/>
      <c r="E490" s="20"/>
      <c r="F490" s="20"/>
      <c r="G490" s="23"/>
      <c r="H490" s="23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>
      <c r="A491" s="20"/>
      <c r="B491" s="20"/>
      <c r="C491" s="20"/>
      <c r="D491" s="20"/>
      <c r="E491" s="20"/>
      <c r="F491" s="20"/>
      <c r="G491" s="23"/>
      <c r="H491" s="23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>
      <c r="A492" s="20"/>
      <c r="B492" s="20"/>
      <c r="C492" s="20"/>
      <c r="D492" s="20"/>
      <c r="E492" s="20"/>
      <c r="F492" s="20"/>
      <c r="G492" s="23"/>
      <c r="H492" s="23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>
      <c r="A493" s="20"/>
      <c r="B493" s="20"/>
      <c r="C493" s="20"/>
      <c r="D493" s="20"/>
      <c r="E493" s="20"/>
      <c r="F493" s="20"/>
      <c r="G493" s="23"/>
      <c r="H493" s="23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>
      <c r="A494" s="20"/>
      <c r="B494" s="20"/>
      <c r="C494" s="20"/>
      <c r="D494" s="20"/>
      <c r="E494" s="20"/>
      <c r="F494" s="20"/>
      <c r="G494" s="23"/>
      <c r="H494" s="23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>
      <c r="A495" s="20"/>
      <c r="B495" s="20"/>
      <c r="C495" s="20"/>
      <c r="D495" s="20"/>
      <c r="E495" s="20"/>
      <c r="F495" s="20"/>
      <c r="G495" s="23"/>
      <c r="H495" s="23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>
      <c r="A496" s="20"/>
      <c r="B496" s="20"/>
      <c r="C496" s="20"/>
      <c r="D496" s="20"/>
      <c r="E496" s="20"/>
      <c r="F496" s="20"/>
      <c r="G496" s="23"/>
      <c r="H496" s="23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>
      <c r="A497" s="20"/>
      <c r="B497" s="20"/>
      <c r="C497" s="20"/>
      <c r="D497" s="20"/>
      <c r="E497" s="20"/>
      <c r="F497" s="20"/>
      <c r="G497" s="23"/>
      <c r="H497" s="23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>
      <c r="A498" s="20"/>
      <c r="B498" s="20"/>
      <c r="C498" s="20"/>
      <c r="D498" s="20"/>
      <c r="E498" s="20"/>
      <c r="F498" s="20"/>
      <c r="G498" s="23"/>
      <c r="H498" s="23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>
      <c r="A499" s="20"/>
      <c r="B499" s="20"/>
      <c r="C499" s="20"/>
      <c r="D499" s="20"/>
      <c r="E499" s="20"/>
      <c r="F499" s="20"/>
      <c r="G499" s="23"/>
      <c r="H499" s="23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>
      <c r="A500" s="20"/>
      <c r="B500" s="20"/>
      <c r="C500" s="20"/>
      <c r="D500" s="20"/>
      <c r="E500" s="20"/>
      <c r="F500" s="20"/>
      <c r="G500" s="23"/>
      <c r="H500" s="23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>
      <c r="A501" s="20"/>
      <c r="B501" s="20"/>
      <c r="C501" s="20"/>
      <c r="D501" s="20"/>
      <c r="E501" s="20"/>
      <c r="F501" s="20"/>
      <c r="G501" s="23"/>
      <c r="H501" s="23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>
      <c r="A502" s="20"/>
      <c r="B502" s="20"/>
      <c r="C502" s="20"/>
      <c r="D502" s="20"/>
      <c r="E502" s="20"/>
      <c r="F502" s="20"/>
      <c r="G502" s="23"/>
      <c r="H502" s="23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>
      <c r="A503" s="20"/>
      <c r="B503" s="20"/>
      <c r="C503" s="20"/>
      <c r="D503" s="20"/>
      <c r="E503" s="20"/>
      <c r="F503" s="20"/>
      <c r="G503" s="23"/>
      <c r="H503" s="23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>
      <c r="A504" s="20"/>
      <c r="B504" s="20"/>
      <c r="C504" s="20"/>
      <c r="D504" s="20"/>
      <c r="E504" s="20"/>
      <c r="F504" s="20"/>
      <c r="G504" s="23"/>
      <c r="H504" s="23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>
      <c r="A505" s="20"/>
      <c r="B505" s="20"/>
      <c r="C505" s="20"/>
      <c r="D505" s="20"/>
      <c r="E505" s="20"/>
      <c r="F505" s="20"/>
      <c r="G505" s="23"/>
      <c r="H505" s="23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>
      <c r="A506" s="20"/>
      <c r="B506" s="20"/>
      <c r="C506" s="20"/>
      <c r="D506" s="20"/>
      <c r="E506" s="20"/>
      <c r="F506" s="20"/>
      <c r="G506" s="23"/>
      <c r="H506" s="23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>
      <c r="A507" s="20"/>
      <c r="B507" s="20"/>
      <c r="C507" s="20"/>
      <c r="D507" s="20"/>
      <c r="E507" s="20"/>
      <c r="F507" s="20"/>
      <c r="G507" s="23"/>
      <c r="H507" s="23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>
      <c r="A508" s="20"/>
      <c r="B508" s="20"/>
      <c r="C508" s="20"/>
      <c r="D508" s="20"/>
      <c r="E508" s="20"/>
      <c r="F508" s="20"/>
      <c r="G508" s="23"/>
      <c r="H508" s="23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>
      <c r="A509" s="20"/>
      <c r="B509" s="20"/>
      <c r="C509" s="20"/>
      <c r="D509" s="20"/>
      <c r="E509" s="20"/>
      <c r="F509" s="20"/>
      <c r="G509" s="23"/>
      <c r="H509" s="23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>
      <c r="A510" s="20"/>
      <c r="B510" s="20"/>
      <c r="C510" s="20"/>
      <c r="D510" s="20"/>
      <c r="E510" s="20"/>
      <c r="F510" s="20"/>
      <c r="G510" s="23"/>
      <c r="H510" s="23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>
      <c r="A511" s="20"/>
      <c r="B511" s="20"/>
      <c r="C511" s="20"/>
      <c r="D511" s="20"/>
      <c r="E511" s="20"/>
      <c r="F511" s="20"/>
      <c r="G511" s="23"/>
      <c r="H511" s="23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>
      <c r="A512" s="20"/>
      <c r="B512" s="20"/>
      <c r="C512" s="20"/>
      <c r="D512" s="20"/>
      <c r="E512" s="20"/>
      <c r="F512" s="20"/>
      <c r="G512" s="23"/>
      <c r="H512" s="23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>
      <c r="A513" s="20"/>
      <c r="B513" s="20"/>
      <c r="C513" s="20"/>
      <c r="D513" s="20"/>
      <c r="E513" s="20"/>
      <c r="F513" s="20"/>
      <c r="G513" s="23"/>
      <c r="H513" s="23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>
      <c r="A514" s="20"/>
      <c r="B514" s="20"/>
      <c r="C514" s="20"/>
      <c r="D514" s="20"/>
      <c r="E514" s="20"/>
      <c r="F514" s="20"/>
      <c r="G514" s="23"/>
      <c r="H514" s="23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>
      <c r="A515" s="20"/>
      <c r="B515" s="20"/>
      <c r="C515" s="20"/>
      <c r="D515" s="20"/>
      <c r="E515" s="20"/>
      <c r="F515" s="20"/>
      <c r="G515" s="23"/>
      <c r="H515" s="23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>
      <c r="A516" s="20"/>
      <c r="B516" s="20"/>
      <c r="C516" s="20"/>
      <c r="D516" s="20"/>
      <c r="E516" s="20"/>
      <c r="F516" s="20"/>
      <c r="G516" s="23"/>
      <c r="H516" s="23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>
      <c r="A517" s="20"/>
      <c r="B517" s="20"/>
      <c r="C517" s="20"/>
      <c r="D517" s="20"/>
      <c r="E517" s="20"/>
      <c r="F517" s="20"/>
      <c r="G517" s="23"/>
      <c r="H517" s="23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>
      <c r="A518" s="20"/>
      <c r="B518" s="20"/>
      <c r="C518" s="20"/>
      <c r="D518" s="20"/>
      <c r="E518" s="20"/>
      <c r="F518" s="20"/>
      <c r="G518" s="23"/>
      <c r="H518" s="23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>
      <c r="A519" s="20"/>
      <c r="B519" s="20"/>
      <c r="C519" s="20"/>
      <c r="D519" s="20"/>
      <c r="E519" s="20"/>
      <c r="F519" s="20"/>
      <c r="G519" s="23"/>
      <c r="H519" s="23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>
      <c r="A520" s="20"/>
      <c r="B520" s="20"/>
      <c r="C520" s="20"/>
      <c r="D520" s="20"/>
      <c r="E520" s="20"/>
      <c r="F520" s="20"/>
      <c r="G520" s="23"/>
      <c r="H520" s="23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>
      <c r="A521" s="20"/>
      <c r="B521" s="20"/>
      <c r="C521" s="20"/>
      <c r="D521" s="20"/>
      <c r="E521" s="20"/>
      <c r="F521" s="20"/>
      <c r="G521" s="23"/>
      <c r="H521" s="23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>
      <c r="A522" s="20"/>
      <c r="B522" s="20"/>
      <c r="C522" s="20"/>
      <c r="D522" s="20"/>
      <c r="E522" s="20"/>
      <c r="F522" s="20"/>
      <c r="G522" s="23"/>
      <c r="H522" s="23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>
      <c r="A523" s="20"/>
      <c r="B523" s="20"/>
      <c r="C523" s="20"/>
      <c r="D523" s="20"/>
      <c r="E523" s="20"/>
      <c r="F523" s="20"/>
      <c r="G523" s="23"/>
      <c r="H523" s="23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>
      <c r="A524" s="20"/>
      <c r="B524" s="20"/>
      <c r="C524" s="20"/>
      <c r="D524" s="20"/>
      <c r="E524" s="20"/>
      <c r="F524" s="20"/>
      <c r="G524" s="23"/>
      <c r="H524" s="23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>
      <c r="A525" s="20"/>
      <c r="B525" s="20"/>
      <c r="C525" s="20"/>
      <c r="D525" s="20"/>
      <c r="E525" s="20"/>
      <c r="F525" s="20"/>
      <c r="G525" s="23"/>
      <c r="H525" s="23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>
      <c r="A526" s="20"/>
      <c r="B526" s="20"/>
      <c r="C526" s="20"/>
      <c r="D526" s="20"/>
      <c r="E526" s="20"/>
      <c r="F526" s="20"/>
      <c r="G526" s="23"/>
      <c r="H526" s="23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>
      <c r="A527" s="20"/>
      <c r="B527" s="20"/>
      <c r="C527" s="20"/>
      <c r="D527" s="20"/>
      <c r="E527" s="20"/>
      <c r="F527" s="20"/>
      <c r="G527" s="23"/>
      <c r="H527" s="23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>
      <c r="A528" s="20"/>
      <c r="B528" s="20"/>
      <c r="C528" s="20"/>
      <c r="D528" s="20"/>
      <c r="E528" s="20"/>
      <c r="F528" s="20"/>
      <c r="G528" s="23"/>
      <c r="H528" s="23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>
      <c r="A529" s="20"/>
      <c r="B529" s="20"/>
      <c r="C529" s="20"/>
      <c r="D529" s="20"/>
      <c r="E529" s="20"/>
      <c r="F529" s="20"/>
      <c r="G529" s="23"/>
      <c r="H529" s="23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>
      <c r="A530" s="20"/>
      <c r="B530" s="20"/>
      <c r="C530" s="20"/>
      <c r="D530" s="20"/>
      <c r="E530" s="20"/>
      <c r="F530" s="20"/>
      <c r="G530" s="23"/>
      <c r="H530" s="23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>
      <c r="A531" s="20"/>
      <c r="B531" s="20"/>
      <c r="C531" s="20"/>
      <c r="D531" s="20"/>
      <c r="E531" s="20"/>
      <c r="F531" s="20"/>
      <c r="G531" s="23"/>
      <c r="H531" s="23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>
      <c r="A532" s="20"/>
      <c r="B532" s="20"/>
      <c r="C532" s="20"/>
      <c r="D532" s="20"/>
      <c r="E532" s="20"/>
      <c r="F532" s="20"/>
      <c r="G532" s="23"/>
      <c r="H532" s="23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>
      <c r="A533" s="20"/>
      <c r="B533" s="20"/>
      <c r="C533" s="20"/>
      <c r="D533" s="20"/>
      <c r="E533" s="20"/>
      <c r="F533" s="20"/>
      <c r="G533" s="23"/>
      <c r="H533" s="23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>
      <c r="A534" s="20"/>
      <c r="B534" s="20"/>
      <c r="C534" s="20"/>
      <c r="D534" s="20"/>
      <c r="E534" s="20"/>
      <c r="F534" s="20"/>
      <c r="G534" s="23"/>
      <c r="H534" s="23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>
      <c r="A535" s="20"/>
      <c r="B535" s="20"/>
      <c r="C535" s="20"/>
      <c r="D535" s="20"/>
      <c r="E535" s="20"/>
      <c r="F535" s="20"/>
      <c r="G535" s="23"/>
      <c r="H535" s="23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>
      <c r="A536" s="20"/>
      <c r="B536" s="20"/>
      <c r="C536" s="20"/>
      <c r="D536" s="20"/>
      <c r="E536" s="20"/>
      <c r="F536" s="20"/>
      <c r="G536" s="23"/>
      <c r="H536" s="23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>
      <c r="A537" s="20"/>
      <c r="B537" s="20"/>
      <c r="C537" s="20"/>
      <c r="D537" s="20"/>
      <c r="E537" s="20"/>
      <c r="F537" s="20"/>
      <c r="G537" s="23"/>
      <c r="H537" s="23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>
      <c r="A538" s="20"/>
      <c r="B538" s="20"/>
      <c r="C538" s="20"/>
      <c r="D538" s="20"/>
      <c r="E538" s="20"/>
      <c r="F538" s="20"/>
      <c r="G538" s="23"/>
      <c r="H538" s="23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>
      <c r="A539" s="20"/>
      <c r="B539" s="20"/>
      <c r="C539" s="20"/>
      <c r="D539" s="20"/>
      <c r="E539" s="20"/>
      <c r="F539" s="20"/>
      <c r="G539" s="23"/>
      <c r="H539" s="23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>
      <c r="A540" s="20"/>
      <c r="B540" s="20"/>
      <c r="C540" s="20"/>
      <c r="D540" s="20"/>
      <c r="E540" s="20"/>
      <c r="F540" s="20"/>
      <c r="G540" s="23"/>
      <c r="H540" s="23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>
      <c r="A541" s="20"/>
      <c r="B541" s="20"/>
      <c r="C541" s="20"/>
      <c r="D541" s="20"/>
      <c r="E541" s="20"/>
      <c r="F541" s="20"/>
      <c r="G541" s="23"/>
      <c r="H541" s="23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>
      <c r="A542" s="20"/>
      <c r="B542" s="20"/>
      <c r="C542" s="20"/>
      <c r="D542" s="20"/>
      <c r="E542" s="20"/>
      <c r="F542" s="20"/>
      <c r="G542" s="23"/>
      <c r="H542" s="23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>
      <c r="A543" s="20"/>
      <c r="B543" s="20"/>
      <c r="C543" s="20"/>
      <c r="D543" s="20"/>
      <c r="E543" s="20"/>
      <c r="F543" s="20"/>
      <c r="G543" s="23"/>
      <c r="H543" s="23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>
      <c r="A544" s="20"/>
      <c r="B544" s="20"/>
      <c r="C544" s="20"/>
      <c r="D544" s="20"/>
      <c r="E544" s="20"/>
      <c r="F544" s="20"/>
      <c r="G544" s="23"/>
      <c r="H544" s="23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>
      <c r="A545" s="20"/>
      <c r="B545" s="20"/>
      <c r="C545" s="20"/>
      <c r="D545" s="20"/>
      <c r="E545" s="20"/>
      <c r="F545" s="20"/>
      <c r="G545" s="23"/>
      <c r="H545" s="23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>
      <c r="A546" s="20"/>
      <c r="B546" s="20"/>
      <c r="C546" s="20"/>
      <c r="D546" s="20"/>
      <c r="E546" s="20"/>
      <c r="F546" s="20"/>
      <c r="G546" s="23"/>
      <c r="H546" s="23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>
      <c r="A547" s="20"/>
      <c r="B547" s="20"/>
      <c r="C547" s="20"/>
      <c r="D547" s="20"/>
      <c r="E547" s="20"/>
      <c r="F547" s="20"/>
      <c r="G547" s="23"/>
      <c r="H547" s="23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>
      <c r="A548" s="20"/>
      <c r="B548" s="20"/>
      <c r="C548" s="20"/>
      <c r="D548" s="20"/>
      <c r="E548" s="20"/>
      <c r="F548" s="20"/>
      <c r="G548" s="23"/>
      <c r="H548" s="23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>
      <c r="A549" s="20"/>
      <c r="B549" s="20"/>
      <c r="C549" s="20"/>
      <c r="D549" s="20"/>
      <c r="E549" s="20"/>
      <c r="F549" s="20"/>
      <c r="G549" s="23"/>
      <c r="H549" s="23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>
      <c r="A550" s="20"/>
      <c r="B550" s="20"/>
      <c r="C550" s="20"/>
      <c r="D550" s="20"/>
      <c r="E550" s="20"/>
      <c r="F550" s="20"/>
      <c r="G550" s="23"/>
      <c r="H550" s="23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>
      <c r="A551" s="20"/>
      <c r="B551" s="20"/>
      <c r="C551" s="20"/>
      <c r="D551" s="20"/>
      <c r="E551" s="20"/>
      <c r="F551" s="20"/>
      <c r="G551" s="23"/>
      <c r="H551" s="23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>
      <c r="A552" s="20"/>
      <c r="B552" s="20"/>
      <c r="C552" s="20"/>
      <c r="D552" s="20"/>
      <c r="E552" s="20"/>
      <c r="F552" s="20"/>
      <c r="G552" s="23"/>
      <c r="H552" s="23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>
      <c r="A553" s="20"/>
      <c r="B553" s="20"/>
      <c r="C553" s="20"/>
      <c r="D553" s="20"/>
      <c r="E553" s="20"/>
      <c r="F553" s="20"/>
      <c r="G553" s="23"/>
      <c r="H553" s="23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>
      <c r="A554" s="20"/>
      <c r="B554" s="20"/>
      <c r="C554" s="20"/>
      <c r="D554" s="20"/>
      <c r="E554" s="20"/>
      <c r="F554" s="20"/>
      <c r="G554" s="23"/>
      <c r="H554" s="23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>
      <c r="A555" s="20"/>
      <c r="B555" s="20"/>
      <c r="C555" s="20"/>
      <c r="D555" s="20"/>
      <c r="E555" s="20"/>
      <c r="F555" s="20"/>
      <c r="G555" s="23"/>
      <c r="H555" s="23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>
      <c r="A556" s="20"/>
      <c r="B556" s="20"/>
      <c r="C556" s="20"/>
      <c r="D556" s="20"/>
      <c r="E556" s="20"/>
      <c r="F556" s="20"/>
      <c r="G556" s="23"/>
      <c r="H556" s="23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>
      <c r="A557" s="20"/>
      <c r="B557" s="20"/>
      <c r="C557" s="20"/>
      <c r="D557" s="20"/>
      <c r="E557" s="20"/>
      <c r="F557" s="20"/>
      <c r="G557" s="23"/>
      <c r="H557" s="23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>
      <c r="A558" s="20"/>
      <c r="B558" s="20"/>
      <c r="C558" s="20"/>
      <c r="D558" s="20"/>
      <c r="E558" s="20"/>
      <c r="F558" s="20"/>
      <c r="G558" s="23"/>
      <c r="H558" s="23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>
      <c r="A559" s="20"/>
      <c r="B559" s="20"/>
      <c r="C559" s="20"/>
      <c r="D559" s="20"/>
      <c r="E559" s="20"/>
      <c r="F559" s="20"/>
      <c r="G559" s="23"/>
      <c r="H559" s="23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>
      <c r="A560" s="20"/>
      <c r="B560" s="20"/>
      <c r="C560" s="20"/>
      <c r="D560" s="20"/>
      <c r="E560" s="20"/>
      <c r="F560" s="20"/>
      <c r="G560" s="23"/>
      <c r="H560" s="23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>
      <c r="A561" s="20"/>
      <c r="B561" s="20"/>
      <c r="C561" s="20"/>
      <c r="D561" s="20"/>
      <c r="E561" s="20"/>
      <c r="F561" s="20"/>
      <c r="G561" s="23"/>
      <c r="H561" s="23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>
      <c r="A562" s="20"/>
      <c r="B562" s="20"/>
      <c r="C562" s="20"/>
      <c r="D562" s="20"/>
      <c r="E562" s="20"/>
      <c r="F562" s="20"/>
      <c r="G562" s="23"/>
      <c r="H562" s="23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>
      <c r="A563" s="20"/>
      <c r="B563" s="20"/>
      <c r="C563" s="20"/>
      <c r="D563" s="20"/>
      <c r="E563" s="20"/>
      <c r="F563" s="20"/>
      <c r="G563" s="23"/>
      <c r="H563" s="23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>
      <c r="A564" s="20"/>
      <c r="B564" s="20"/>
      <c r="C564" s="20"/>
      <c r="D564" s="20"/>
      <c r="E564" s="20"/>
      <c r="F564" s="20"/>
      <c r="G564" s="23"/>
      <c r="H564" s="23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>
      <c r="A565" s="20"/>
      <c r="B565" s="20"/>
      <c r="C565" s="20"/>
      <c r="D565" s="20"/>
      <c r="E565" s="20"/>
      <c r="F565" s="20"/>
      <c r="G565" s="23"/>
      <c r="H565" s="23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>
      <c r="A566" s="20"/>
      <c r="B566" s="20"/>
      <c r="C566" s="20"/>
      <c r="D566" s="20"/>
      <c r="E566" s="20"/>
      <c r="F566" s="20"/>
      <c r="G566" s="23"/>
      <c r="H566" s="23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>
      <c r="A567" s="20"/>
      <c r="B567" s="20"/>
      <c r="C567" s="20"/>
      <c r="D567" s="20"/>
      <c r="E567" s="20"/>
      <c r="F567" s="20"/>
      <c r="G567" s="23"/>
      <c r="H567" s="23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>
      <c r="A568" s="20"/>
      <c r="B568" s="20"/>
      <c r="C568" s="20"/>
      <c r="D568" s="20"/>
      <c r="E568" s="20"/>
      <c r="F568" s="20"/>
      <c r="G568" s="23"/>
      <c r="H568" s="23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>
      <c r="A569" s="20"/>
      <c r="B569" s="20"/>
      <c r="C569" s="20"/>
      <c r="D569" s="20"/>
      <c r="E569" s="20"/>
      <c r="F569" s="20"/>
      <c r="G569" s="23"/>
      <c r="H569" s="23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>
      <c r="A570" s="20"/>
      <c r="B570" s="20"/>
      <c r="C570" s="20"/>
      <c r="D570" s="20"/>
      <c r="E570" s="20"/>
      <c r="F570" s="20"/>
      <c r="G570" s="23"/>
      <c r="H570" s="23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>
      <c r="A571" s="20"/>
      <c r="B571" s="20"/>
      <c r="C571" s="20"/>
      <c r="D571" s="20"/>
      <c r="E571" s="20"/>
      <c r="F571" s="20"/>
      <c r="G571" s="23"/>
      <c r="H571" s="23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>
      <c r="A572" s="20"/>
      <c r="B572" s="20"/>
      <c r="C572" s="20"/>
      <c r="D572" s="20"/>
      <c r="E572" s="20"/>
      <c r="F572" s="20"/>
      <c r="G572" s="23"/>
      <c r="H572" s="23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>
      <c r="A573" s="20"/>
      <c r="B573" s="20"/>
      <c r="C573" s="20"/>
      <c r="D573" s="20"/>
      <c r="E573" s="20"/>
      <c r="F573" s="20"/>
      <c r="G573" s="23"/>
      <c r="H573" s="23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>
      <c r="A574" s="20"/>
      <c r="B574" s="20"/>
      <c r="C574" s="20"/>
      <c r="D574" s="20"/>
      <c r="E574" s="20"/>
      <c r="F574" s="20"/>
      <c r="G574" s="23"/>
      <c r="H574" s="23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>
      <c r="A575" s="20"/>
      <c r="B575" s="20"/>
      <c r="C575" s="20"/>
      <c r="D575" s="20"/>
      <c r="E575" s="20"/>
      <c r="F575" s="20"/>
      <c r="G575" s="23"/>
      <c r="H575" s="23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>
      <c r="A576" s="20"/>
      <c r="B576" s="20"/>
      <c r="C576" s="20"/>
      <c r="D576" s="20"/>
      <c r="E576" s="20"/>
      <c r="F576" s="20"/>
      <c r="G576" s="23"/>
      <c r="H576" s="23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>
      <c r="A577" s="20"/>
      <c r="B577" s="20"/>
      <c r="C577" s="20"/>
      <c r="D577" s="20"/>
      <c r="E577" s="20"/>
      <c r="F577" s="20"/>
      <c r="G577" s="23"/>
      <c r="H577" s="23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>
      <c r="A578" s="20"/>
      <c r="B578" s="20"/>
      <c r="C578" s="20"/>
      <c r="D578" s="20"/>
      <c r="E578" s="20"/>
      <c r="F578" s="20"/>
      <c r="G578" s="23"/>
      <c r="H578" s="23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>
      <c r="A579" s="20"/>
      <c r="B579" s="20"/>
      <c r="C579" s="20"/>
      <c r="D579" s="20"/>
      <c r="E579" s="20"/>
      <c r="F579" s="20"/>
      <c r="G579" s="23"/>
      <c r="H579" s="23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>
      <c r="A580" s="20"/>
      <c r="B580" s="20"/>
      <c r="C580" s="20"/>
      <c r="D580" s="20"/>
      <c r="E580" s="20"/>
      <c r="F580" s="20"/>
      <c r="G580" s="23"/>
      <c r="H580" s="23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>
      <c r="A581" s="20"/>
      <c r="B581" s="20"/>
      <c r="C581" s="20"/>
      <c r="D581" s="20"/>
      <c r="E581" s="20"/>
      <c r="F581" s="20"/>
      <c r="G581" s="23"/>
      <c r="H581" s="23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>
      <c r="A582" s="20"/>
      <c r="B582" s="20"/>
      <c r="C582" s="20"/>
      <c r="D582" s="20"/>
      <c r="E582" s="20"/>
      <c r="F582" s="20"/>
      <c r="G582" s="23"/>
      <c r="H582" s="23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>
      <c r="A583" s="20"/>
      <c r="B583" s="20"/>
      <c r="C583" s="20"/>
      <c r="D583" s="20"/>
      <c r="E583" s="20"/>
      <c r="F583" s="20"/>
      <c r="G583" s="23"/>
      <c r="H583" s="23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>
      <c r="A584" s="20"/>
      <c r="B584" s="20"/>
      <c r="C584" s="20"/>
      <c r="D584" s="20"/>
      <c r="E584" s="20"/>
      <c r="F584" s="20"/>
      <c r="G584" s="23"/>
      <c r="H584" s="23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>
      <c r="A585" s="20"/>
      <c r="B585" s="20"/>
      <c r="C585" s="20"/>
      <c r="D585" s="20"/>
      <c r="E585" s="20"/>
      <c r="F585" s="20"/>
      <c r="G585" s="23"/>
      <c r="H585" s="23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>
      <c r="A586" s="20"/>
      <c r="B586" s="20"/>
      <c r="C586" s="20"/>
      <c r="D586" s="20"/>
      <c r="E586" s="20"/>
      <c r="F586" s="20"/>
      <c r="G586" s="23"/>
      <c r="H586" s="23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>
      <c r="A587" s="20"/>
      <c r="B587" s="20"/>
      <c r="C587" s="20"/>
      <c r="D587" s="20"/>
      <c r="E587" s="20"/>
      <c r="F587" s="20"/>
      <c r="G587" s="23"/>
      <c r="H587" s="23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>
      <c r="A588" s="20"/>
      <c r="B588" s="20"/>
      <c r="C588" s="20"/>
      <c r="D588" s="20"/>
      <c r="E588" s="20"/>
      <c r="F588" s="20"/>
      <c r="G588" s="23"/>
      <c r="H588" s="23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>
      <c r="A589" s="20"/>
      <c r="B589" s="20"/>
      <c r="C589" s="20"/>
      <c r="D589" s="20"/>
      <c r="E589" s="20"/>
      <c r="F589" s="20"/>
      <c r="G589" s="23"/>
      <c r="H589" s="23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>
      <c r="A590" s="20"/>
      <c r="B590" s="20"/>
      <c r="C590" s="20"/>
      <c r="D590" s="20"/>
      <c r="E590" s="20"/>
      <c r="F590" s="20"/>
      <c r="G590" s="23"/>
      <c r="H590" s="23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>
      <c r="A591" s="20"/>
      <c r="B591" s="20"/>
      <c r="C591" s="20"/>
      <c r="D591" s="20"/>
      <c r="E591" s="20"/>
      <c r="F591" s="20"/>
      <c r="G591" s="23"/>
      <c r="H591" s="23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>
      <c r="A592" s="20"/>
      <c r="B592" s="20"/>
      <c r="C592" s="20"/>
      <c r="D592" s="20"/>
      <c r="E592" s="20"/>
      <c r="F592" s="20"/>
      <c r="G592" s="23"/>
      <c r="H592" s="23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>
      <c r="A593" s="20"/>
      <c r="B593" s="20"/>
      <c r="C593" s="20"/>
      <c r="D593" s="20"/>
      <c r="E593" s="20"/>
      <c r="F593" s="20"/>
      <c r="G593" s="23"/>
      <c r="H593" s="23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>
      <c r="A594" s="20"/>
      <c r="B594" s="20"/>
      <c r="C594" s="20"/>
      <c r="D594" s="20"/>
      <c r="E594" s="20"/>
      <c r="F594" s="20"/>
      <c r="G594" s="23"/>
      <c r="H594" s="23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>
      <c r="A595" s="20"/>
      <c r="B595" s="20"/>
      <c r="C595" s="20"/>
      <c r="D595" s="20"/>
      <c r="E595" s="20"/>
      <c r="F595" s="20"/>
      <c r="G595" s="23"/>
      <c r="H595" s="23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>
      <c r="A596" s="20"/>
      <c r="B596" s="20"/>
      <c r="C596" s="20"/>
      <c r="D596" s="20"/>
      <c r="E596" s="20"/>
      <c r="F596" s="20"/>
      <c r="G596" s="23"/>
      <c r="H596" s="23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>
      <c r="A597" s="20"/>
      <c r="B597" s="20"/>
      <c r="C597" s="20"/>
      <c r="D597" s="20"/>
      <c r="E597" s="20"/>
      <c r="F597" s="20"/>
      <c r="G597" s="23"/>
      <c r="H597" s="23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>
      <c r="A598" s="20"/>
      <c r="B598" s="20"/>
      <c r="C598" s="20"/>
      <c r="D598" s="20"/>
      <c r="E598" s="20"/>
      <c r="F598" s="20"/>
      <c r="G598" s="23"/>
      <c r="H598" s="23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>
      <c r="A599" s="20"/>
      <c r="B599" s="20"/>
      <c r="C599" s="20"/>
      <c r="D599" s="20"/>
      <c r="E599" s="20"/>
      <c r="F599" s="20"/>
      <c r="G599" s="23"/>
      <c r="H599" s="23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>
      <c r="A600" s="20"/>
      <c r="B600" s="20"/>
      <c r="C600" s="20"/>
      <c r="D600" s="20"/>
      <c r="E600" s="20"/>
      <c r="F600" s="20"/>
      <c r="G600" s="23"/>
      <c r="H600" s="23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>
      <c r="A601" s="20"/>
      <c r="B601" s="20"/>
      <c r="C601" s="20"/>
      <c r="D601" s="20"/>
      <c r="E601" s="20"/>
      <c r="F601" s="20"/>
      <c r="G601" s="23"/>
      <c r="H601" s="23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>
      <c r="A602" s="20"/>
      <c r="B602" s="20"/>
      <c r="C602" s="20"/>
      <c r="D602" s="20"/>
      <c r="E602" s="20"/>
      <c r="F602" s="20"/>
      <c r="G602" s="23"/>
      <c r="H602" s="23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>
      <c r="A603" s="20"/>
      <c r="B603" s="20"/>
      <c r="C603" s="20"/>
      <c r="D603" s="20"/>
      <c r="E603" s="20"/>
      <c r="F603" s="20"/>
      <c r="G603" s="23"/>
      <c r="H603" s="23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>
      <c r="A604" s="20"/>
      <c r="B604" s="20"/>
      <c r="C604" s="20"/>
      <c r="D604" s="20"/>
      <c r="E604" s="20"/>
      <c r="F604" s="20"/>
      <c r="G604" s="23"/>
      <c r="H604" s="23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>
      <c r="A605" s="20"/>
      <c r="B605" s="20"/>
      <c r="C605" s="20"/>
      <c r="D605" s="20"/>
      <c r="E605" s="20"/>
      <c r="F605" s="20"/>
      <c r="G605" s="23"/>
      <c r="H605" s="23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>
      <c r="A606" s="20"/>
      <c r="B606" s="20"/>
      <c r="C606" s="20"/>
      <c r="D606" s="20"/>
      <c r="E606" s="20"/>
      <c r="F606" s="20"/>
      <c r="G606" s="23"/>
      <c r="H606" s="23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>
      <c r="A607" s="20"/>
      <c r="B607" s="20"/>
      <c r="C607" s="20"/>
      <c r="D607" s="20"/>
      <c r="E607" s="20"/>
      <c r="F607" s="20"/>
      <c r="G607" s="23"/>
      <c r="H607" s="23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>
      <c r="A608" s="20"/>
      <c r="B608" s="20"/>
      <c r="C608" s="20"/>
      <c r="D608" s="20"/>
      <c r="E608" s="20"/>
      <c r="F608" s="20"/>
      <c r="G608" s="23"/>
      <c r="H608" s="23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>
      <c r="A609" s="20"/>
      <c r="B609" s="20"/>
      <c r="C609" s="20"/>
      <c r="D609" s="20"/>
      <c r="E609" s="20"/>
      <c r="F609" s="20"/>
      <c r="G609" s="23"/>
      <c r="H609" s="23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>
      <c r="A610" s="20"/>
      <c r="B610" s="20"/>
      <c r="C610" s="20"/>
      <c r="D610" s="20"/>
      <c r="E610" s="20"/>
      <c r="F610" s="20"/>
      <c r="G610" s="23"/>
      <c r="H610" s="23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>
      <c r="A611" s="20"/>
      <c r="B611" s="20"/>
      <c r="C611" s="20"/>
      <c r="D611" s="20"/>
      <c r="E611" s="20"/>
      <c r="F611" s="20"/>
      <c r="G611" s="23"/>
      <c r="H611" s="23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>
      <c r="A612" s="20"/>
      <c r="B612" s="20"/>
      <c r="C612" s="20"/>
      <c r="D612" s="20"/>
      <c r="E612" s="20"/>
      <c r="F612" s="20"/>
      <c r="G612" s="23"/>
      <c r="H612" s="23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>
      <c r="A613" s="20"/>
      <c r="B613" s="20"/>
      <c r="C613" s="20"/>
      <c r="D613" s="20"/>
      <c r="E613" s="20"/>
      <c r="F613" s="20"/>
      <c r="G613" s="23"/>
      <c r="H613" s="23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>
      <c r="A614" s="20"/>
      <c r="B614" s="20"/>
      <c r="C614" s="20"/>
      <c r="D614" s="20"/>
      <c r="E614" s="20"/>
      <c r="F614" s="20"/>
      <c r="G614" s="23"/>
      <c r="H614" s="23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>
      <c r="A615" s="20"/>
      <c r="B615" s="20"/>
      <c r="C615" s="20"/>
      <c r="D615" s="20"/>
      <c r="E615" s="20"/>
      <c r="F615" s="20"/>
      <c r="G615" s="23"/>
      <c r="H615" s="23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>
      <c r="A616" s="20"/>
      <c r="B616" s="20"/>
      <c r="C616" s="20"/>
      <c r="D616" s="20"/>
      <c r="E616" s="20"/>
      <c r="F616" s="20"/>
      <c r="G616" s="23"/>
      <c r="H616" s="23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>
      <c r="A617" s="20"/>
      <c r="B617" s="20"/>
      <c r="C617" s="20"/>
      <c r="D617" s="20"/>
      <c r="E617" s="20"/>
      <c r="F617" s="20"/>
      <c r="G617" s="23"/>
      <c r="H617" s="23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>
      <c r="A618" s="20"/>
      <c r="B618" s="20"/>
      <c r="C618" s="20"/>
      <c r="D618" s="20"/>
      <c r="E618" s="20"/>
      <c r="F618" s="20"/>
      <c r="G618" s="23"/>
      <c r="H618" s="23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>
      <c r="A619" s="20"/>
      <c r="B619" s="20"/>
      <c r="C619" s="20"/>
      <c r="D619" s="20"/>
      <c r="E619" s="20"/>
      <c r="F619" s="20"/>
      <c r="G619" s="23"/>
      <c r="H619" s="23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>
      <c r="A620" s="20"/>
      <c r="B620" s="20"/>
      <c r="C620" s="20"/>
      <c r="D620" s="20"/>
      <c r="E620" s="20"/>
      <c r="F620" s="20"/>
      <c r="G620" s="23"/>
      <c r="H620" s="23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>
      <c r="A621" s="20"/>
      <c r="B621" s="20"/>
      <c r="C621" s="20"/>
      <c r="D621" s="20"/>
      <c r="E621" s="20"/>
      <c r="F621" s="20"/>
      <c r="G621" s="23"/>
      <c r="H621" s="23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>
      <c r="A622" s="20"/>
      <c r="B622" s="20"/>
      <c r="C622" s="20"/>
      <c r="D622" s="20"/>
      <c r="E622" s="20"/>
      <c r="F622" s="20"/>
      <c r="G622" s="23"/>
      <c r="H622" s="23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>
      <c r="A623" s="20"/>
      <c r="B623" s="20"/>
      <c r="C623" s="20"/>
      <c r="D623" s="20"/>
      <c r="E623" s="20"/>
      <c r="F623" s="20"/>
      <c r="G623" s="23"/>
      <c r="H623" s="23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>
      <c r="A624" s="20"/>
      <c r="B624" s="20"/>
      <c r="C624" s="20"/>
      <c r="D624" s="20"/>
      <c r="E624" s="20"/>
      <c r="F624" s="20"/>
      <c r="G624" s="23"/>
      <c r="H624" s="23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>
      <c r="A625" s="20"/>
      <c r="B625" s="20"/>
      <c r="C625" s="20"/>
      <c r="D625" s="20"/>
      <c r="E625" s="20"/>
      <c r="F625" s="20"/>
      <c r="G625" s="23"/>
      <c r="H625" s="23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>
      <c r="A626" s="20"/>
      <c r="B626" s="20"/>
      <c r="C626" s="20"/>
      <c r="D626" s="20"/>
      <c r="E626" s="20"/>
      <c r="F626" s="20"/>
      <c r="G626" s="23"/>
      <c r="H626" s="23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>
      <c r="A627" s="20"/>
      <c r="B627" s="20"/>
      <c r="C627" s="20"/>
      <c r="D627" s="20"/>
      <c r="E627" s="20"/>
      <c r="F627" s="20"/>
      <c r="G627" s="23"/>
      <c r="H627" s="23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>
      <c r="A628" s="20"/>
      <c r="B628" s="20"/>
      <c r="C628" s="20"/>
      <c r="D628" s="20"/>
      <c r="E628" s="20"/>
      <c r="F628" s="20"/>
      <c r="G628" s="23"/>
      <c r="H628" s="23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>
      <c r="A629" s="20"/>
      <c r="B629" s="20"/>
      <c r="C629" s="20"/>
      <c r="D629" s="20"/>
      <c r="E629" s="20"/>
      <c r="F629" s="20"/>
      <c r="G629" s="23"/>
      <c r="H629" s="23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>
      <c r="A630" s="20"/>
      <c r="B630" s="20"/>
      <c r="C630" s="20"/>
      <c r="D630" s="20"/>
      <c r="E630" s="20"/>
      <c r="F630" s="20"/>
      <c r="G630" s="23"/>
      <c r="H630" s="23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>
      <c r="A631" s="20"/>
      <c r="B631" s="20"/>
      <c r="C631" s="20"/>
      <c r="D631" s="20"/>
      <c r="E631" s="20"/>
      <c r="F631" s="20"/>
      <c r="G631" s="23"/>
      <c r="H631" s="23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>
      <c r="A632" s="20"/>
      <c r="B632" s="20"/>
      <c r="C632" s="20"/>
      <c r="D632" s="20"/>
      <c r="E632" s="20"/>
      <c r="F632" s="20"/>
      <c r="G632" s="23"/>
      <c r="H632" s="23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>
      <c r="A633" s="20"/>
      <c r="B633" s="20"/>
      <c r="C633" s="20"/>
      <c r="D633" s="20"/>
      <c r="E633" s="20"/>
      <c r="F633" s="20"/>
      <c r="G633" s="23"/>
      <c r="H633" s="23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>
      <c r="A634" s="20"/>
      <c r="B634" s="20"/>
      <c r="C634" s="20"/>
      <c r="D634" s="20"/>
      <c r="E634" s="20"/>
      <c r="F634" s="20"/>
      <c r="G634" s="23"/>
      <c r="H634" s="23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>
      <c r="A635" s="20"/>
      <c r="B635" s="20"/>
      <c r="C635" s="20"/>
      <c r="D635" s="20"/>
      <c r="E635" s="20"/>
      <c r="F635" s="20"/>
      <c r="G635" s="23"/>
      <c r="H635" s="23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>
      <c r="A636" s="20"/>
      <c r="B636" s="20"/>
      <c r="C636" s="20"/>
      <c r="D636" s="20"/>
      <c r="E636" s="20"/>
      <c r="F636" s="20"/>
      <c r="G636" s="23"/>
      <c r="H636" s="23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>
      <c r="A637" s="20"/>
      <c r="B637" s="20"/>
      <c r="C637" s="20"/>
      <c r="D637" s="20"/>
      <c r="E637" s="20"/>
      <c r="F637" s="20"/>
      <c r="G637" s="23"/>
      <c r="H637" s="23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>
      <c r="A638" s="20"/>
      <c r="B638" s="20"/>
      <c r="C638" s="20"/>
      <c r="D638" s="20"/>
      <c r="E638" s="20"/>
      <c r="F638" s="20"/>
      <c r="G638" s="23"/>
      <c r="H638" s="23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>
      <c r="A639" s="20"/>
      <c r="B639" s="20"/>
      <c r="C639" s="20"/>
      <c r="D639" s="20"/>
      <c r="E639" s="20"/>
      <c r="F639" s="20"/>
      <c r="G639" s="23"/>
      <c r="H639" s="23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>
      <c r="A640" s="20"/>
      <c r="B640" s="20"/>
      <c r="C640" s="20"/>
      <c r="D640" s="20"/>
      <c r="E640" s="20"/>
      <c r="F640" s="20"/>
      <c r="G640" s="23"/>
      <c r="H640" s="23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>
      <c r="A641" s="20"/>
      <c r="B641" s="20"/>
      <c r="C641" s="20"/>
      <c r="D641" s="20"/>
      <c r="E641" s="20"/>
      <c r="F641" s="20"/>
      <c r="G641" s="23"/>
      <c r="H641" s="23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>
      <c r="A642" s="20"/>
      <c r="B642" s="20"/>
      <c r="C642" s="20"/>
      <c r="D642" s="20"/>
      <c r="E642" s="20"/>
      <c r="F642" s="20"/>
      <c r="G642" s="23"/>
      <c r="H642" s="23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>
      <c r="A643" s="20"/>
      <c r="B643" s="20"/>
      <c r="C643" s="20"/>
      <c r="D643" s="20"/>
      <c r="E643" s="20"/>
      <c r="F643" s="20"/>
      <c r="G643" s="23"/>
      <c r="H643" s="23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>
      <c r="A644" s="20"/>
      <c r="B644" s="20"/>
      <c r="C644" s="20"/>
      <c r="D644" s="20"/>
      <c r="E644" s="20"/>
      <c r="F644" s="20"/>
      <c r="G644" s="23"/>
      <c r="H644" s="23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>
      <c r="A645" s="20"/>
      <c r="B645" s="20"/>
      <c r="C645" s="20"/>
      <c r="D645" s="20"/>
      <c r="E645" s="20"/>
      <c r="F645" s="20"/>
      <c r="G645" s="23"/>
      <c r="H645" s="23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>
      <c r="A646" s="20"/>
      <c r="B646" s="20"/>
      <c r="C646" s="20"/>
      <c r="D646" s="20"/>
      <c r="E646" s="20"/>
      <c r="F646" s="20"/>
      <c r="G646" s="23"/>
      <c r="H646" s="23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>
      <c r="A647" s="20"/>
      <c r="B647" s="20"/>
      <c r="C647" s="20"/>
      <c r="D647" s="20"/>
      <c r="E647" s="20"/>
      <c r="F647" s="20"/>
      <c r="G647" s="23"/>
      <c r="H647" s="23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>
      <c r="A648" s="20"/>
      <c r="B648" s="20"/>
      <c r="C648" s="20"/>
      <c r="D648" s="20"/>
      <c r="E648" s="20"/>
      <c r="F648" s="20"/>
      <c r="G648" s="23"/>
      <c r="H648" s="23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>
      <c r="A649" s="20"/>
      <c r="B649" s="20"/>
      <c r="C649" s="20"/>
      <c r="D649" s="20"/>
      <c r="E649" s="20"/>
      <c r="F649" s="20"/>
      <c r="G649" s="23"/>
      <c r="H649" s="23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>
      <c r="A650" s="20"/>
      <c r="B650" s="20"/>
      <c r="C650" s="20"/>
      <c r="D650" s="20"/>
      <c r="E650" s="20"/>
      <c r="F650" s="20"/>
      <c r="G650" s="23"/>
      <c r="H650" s="23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>
      <c r="A651" s="20"/>
      <c r="B651" s="20"/>
      <c r="C651" s="20"/>
      <c r="D651" s="20"/>
      <c r="E651" s="20"/>
      <c r="F651" s="20"/>
      <c r="G651" s="23"/>
      <c r="H651" s="23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>
      <c r="A652" s="20"/>
      <c r="B652" s="20"/>
      <c r="C652" s="20"/>
      <c r="D652" s="20"/>
      <c r="E652" s="20"/>
      <c r="F652" s="20"/>
      <c r="G652" s="23"/>
      <c r="H652" s="23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>
      <c r="A653" s="20"/>
      <c r="B653" s="20"/>
      <c r="C653" s="20"/>
      <c r="D653" s="20"/>
      <c r="E653" s="20"/>
      <c r="F653" s="20"/>
      <c r="G653" s="23"/>
      <c r="H653" s="23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>
      <c r="A654" s="20"/>
      <c r="B654" s="20"/>
      <c r="C654" s="20"/>
      <c r="D654" s="20"/>
      <c r="E654" s="20"/>
      <c r="F654" s="20"/>
      <c r="G654" s="23"/>
      <c r="H654" s="23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>
      <c r="A655" s="20"/>
      <c r="B655" s="20"/>
      <c r="C655" s="20"/>
      <c r="D655" s="20"/>
      <c r="E655" s="20"/>
      <c r="F655" s="20"/>
      <c r="G655" s="23"/>
      <c r="H655" s="23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>
      <c r="A656" s="20"/>
      <c r="B656" s="20"/>
      <c r="C656" s="20"/>
      <c r="D656" s="20"/>
      <c r="E656" s="20"/>
      <c r="F656" s="20"/>
      <c r="G656" s="23"/>
      <c r="H656" s="23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>
      <c r="A657" s="20"/>
      <c r="B657" s="20"/>
      <c r="C657" s="20"/>
      <c r="D657" s="20"/>
      <c r="E657" s="20"/>
      <c r="F657" s="20"/>
      <c r="G657" s="23"/>
      <c r="H657" s="23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>
      <c r="A658" s="20"/>
      <c r="B658" s="20"/>
      <c r="C658" s="20"/>
      <c r="D658" s="20"/>
      <c r="E658" s="20"/>
      <c r="F658" s="20"/>
      <c r="G658" s="23"/>
      <c r="H658" s="23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>
      <c r="A659" s="20"/>
      <c r="B659" s="20"/>
      <c r="C659" s="20"/>
      <c r="D659" s="20"/>
      <c r="E659" s="20"/>
      <c r="F659" s="20"/>
      <c r="G659" s="23"/>
      <c r="H659" s="23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>
      <c r="A660" s="20"/>
      <c r="B660" s="20"/>
      <c r="C660" s="20"/>
      <c r="D660" s="20"/>
      <c r="E660" s="20"/>
      <c r="F660" s="20"/>
      <c r="G660" s="23"/>
      <c r="H660" s="23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>
      <c r="A661" s="20"/>
      <c r="B661" s="20"/>
      <c r="C661" s="20"/>
      <c r="D661" s="20"/>
      <c r="E661" s="20"/>
      <c r="F661" s="20"/>
      <c r="G661" s="23"/>
      <c r="H661" s="23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>
      <c r="A662" s="20"/>
      <c r="B662" s="20"/>
      <c r="C662" s="20"/>
      <c r="D662" s="20"/>
      <c r="E662" s="20"/>
      <c r="F662" s="20"/>
      <c r="G662" s="23"/>
      <c r="H662" s="23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>
      <c r="A663" s="20"/>
      <c r="B663" s="20"/>
      <c r="C663" s="20"/>
      <c r="D663" s="20"/>
      <c r="E663" s="20"/>
      <c r="F663" s="20"/>
      <c r="G663" s="23"/>
      <c r="H663" s="23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>
      <c r="A664" s="20"/>
      <c r="B664" s="20"/>
      <c r="C664" s="20"/>
      <c r="D664" s="20"/>
      <c r="E664" s="20"/>
      <c r="F664" s="20"/>
      <c r="G664" s="23"/>
      <c r="H664" s="23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>
      <c r="A665" s="20"/>
      <c r="B665" s="20"/>
      <c r="C665" s="20"/>
      <c r="D665" s="20"/>
      <c r="E665" s="20"/>
      <c r="F665" s="20"/>
      <c r="G665" s="23"/>
      <c r="H665" s="23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>
      <c r="A666" s="20"/>
      <c r="B666" s="20"/>
      <c r="C666" s="20"/>
      <c r="D666" s="20"/>
      <c r="E666" s="20"/>
      <c r="F666" s="20"/>
      <c r="G666" s="23"/>
      <c r="H666" s="23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>
      <c r="A667" s="20"/>
      <c r="B667" s="20"/>
      <c r="C667" s="20"/>
      <c r="D667" s="20"/>
      <c r="E667" s="20"/>
      <c r="F667" s="20"/>
      <c r="G667" s="23"/>
      <c r="H667" s="23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>
      <c r="A668" s="20"/>
      <c r="B668" s="20"/>
      <c r="C668" s="20"/>
      <c r="D668" s="20"/>
      <c r="E668" s="20"/>
      <c r="F668" s="20"/>
      <c r="G668" s="23"/>
      <c r="H668" s="23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>
      <c r="A669" s="20"/>
      <c r="B669" s="20"/>
      <c r="C669" s="20"/>
      <c r="D669" s="20"/>
      <c r="E669" s="20"/>
      <c r="F669" s="20"/>
      <c r="G669" s="23"/>
      <c r="H669" s="23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>
      <c r="A670" s="20"/>
      <c r="B670" s="20"/>
      <c r="C670" s="20"/>
      <c r="D670" s="20"/>
      <c r="E670" s="20"/>
      <c r="F670" s="20"/>
      <c r="G670" s="23"/>
      <c r="H670" s="23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>
      <c r="A671" s="20"/>
      <c r="B671" s="20"/>
      <c r="C671" s="20"/>
      <c r="D671" s="20"/>
      <c r="E671" s="20"/>
      <c r="F671" s="20"/>
      <c r="G671" s="23"/>
      <c r="H671" s="23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>
      <c r="A672" s="20"/>
      <c r="B672" s="20"/>
      <c r="C672" s="20"/>
      <c r="D672" s="20"/>
      <c r="E672" s="20"/>
      <c r="F672" s="20"/>
      <c r="G672" s="23"/>
      <c r="H672" s="23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>
      <c r="A673" s="20"/>
      <c r="B673" s="20"/>
      <c r="C673" s="20"/>
      <c r="D673" s="20"/>
      <c r="E673" s="20"/>
      <c r="F673" s="20"/>
      <c r="G673" s="23"/>
      <c r="H673" s="23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>
      <c r="A674" s="20"/>
      <c r="B674" s="20"/>
      <c r="C674" s="20"/>
      <c r="D674" s="20"/>
      <c r="E674" s="20"/>
      <c r="F674" s="20"/>
      <c r="G674" s="23"/>
      <c r="H674" s="23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>
      <c r="A675" s="20"/>
      <c r="B675" s="20"/>
      <c r="C675" s="20"/>
      <c r="D675" s="20"/>
      <c r="E675" s="20"/>
      <c r="F675" s="20"/>
      <c r="G675" s="23"/>
      <c r="H675" s="23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>
      <c r="A676" s="20"/>
      <c r="B676" s="20"/>
      <c r="C676" s="20"/>
      <c r="D676" s="20"/>
      <c r="E676" s="20"/>
      <c r="F676" s="20"/>
      <c r="G676" s="23"/>
      <c r="H676" s="23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>
      <c r="A677" s="20"/>
      <c r="B677" s="20"/>
      <c r="C677" s="20"/>
      <c r="D677" s="20"/>
      <c r="E677" s="20"/>
      <c r="F677" s="20"/>
      <c r="G677" s="23"/>
      <c r="H677" s="23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>
      <c r="A678" s="20"/>
      <c r="B678" s="20"/>
      <c r="C678" s="20"/>
      <c r="D678" s="20"/>
      <c r="E678" s="20"/>
      <c r="F678" s="20"/>
      <c r="G678" s="23"/>
      <c r="H678" s="23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>
      <c r="A679" s="20"/>
      <c r="B679" s="20"/>
      <c r="C679" s="20"/>
      <c r="D679" s="20"/>
      <c r="E679" s="20"/>
      <c r="F679" s="20"/>
      <c r="G679" s="23"/>
      <c r="H679" s="23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>
      <c r="A680" s="20"/>
      <c r="B680" s="20"/>
      <c r="C680" s="20"/>
      <c r="D680" s="20"/>
      <c r="E680" s="20"/>
      <c r="F680" s="20"/>
      <c r="G680" s="23"/>
      <c r="H680" s="23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>
      <c r="A681" s="20"/>
      <c r="B681" s="20"/>
      <c r="C681" s="20"/>
      <c r="D681" s="20"/>
      <c r="E681" s="20"/>
      <c r="F681" s="20"/>
      <c r="G681" s="23"/>
      <c r="H681" s="23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>
      <c r="A682" s="20"/>
      <c r="B682" s="20"/>
      <c r="C682" s="20"/>
      <c r="D682" s="20"/>
      <c r="E682" s="20"/>
      <c r="F682" s="20"/>
      <c r="G682" s="23"/>
      <c r="H682" s="23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>
      <c r="A683" s="20"/>
      <c r="B683" s="20"/>
      <c r="C683" s="20"/>
      <c r="D683" s="20"/>
      <c r="E683" s="20"/>
      <c r="F683" s="20"/>
      <c r="G683" s="23"/>
      <c r="H683" s="23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>
      <c r="A684" s="20"/>
      <c r="B684" s="20"/>
      <c r="C684" s="20"/>
      <c r="D684" s="20"/>
      <c r="E684" s="20"/>
      <c r="F684" s="20"/>
      <c r="G684" s="23"/>
      <c r="H684" s="23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>
      <c r="A685" s="20"/>
      <c r="B685" s="20"/>
      <c r="C685" s="20"/>
      <c r="D685" s="20"/>
      <c r="E685" s="20"/>
      <c r="F685" s="20"/>
      <c r="G685" s="23"/>
      <c r="H685" s="23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>
      <c r="A686" s="20"/>
      <c r="B686" s="20"/>
      <c r="C686" s="20"/>
      <c r="D686" s="20"/>
      <c r="E686" s="20"/>
      <c r="F686" s="20"/>
      <c r="G686" s="23"/>
      <c r="H686" s="23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>
      <c r="A687" s="20"/>
      <c r="B687" s="20"/>
      <c r="C687" s="20"/>
      <c r="D687" s="20"/>
      <c r="E687" s="20"/>
      <c r="F687" s="20"/>
      <c r="G687" s="23"/>
      <c r="H687" s="23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>
      <c r="A688" s="20"/>
      <c r="B688" s="20"/>
      <c r="C688" s="20"/>
      <c r="D688" s="20"/>
      <c r="E688" s="20"/>
      <c r="F688" s="20"/>
      <c r="G688" s="23"/>
      <c r="H688" s="23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>
      <c r="A689" s="20"/>
      <c r="B689" s="20"/>
      <c r="C689" s="20"/>
      <c r="D689" s="20"/>
      <c r="E689" s="20"/>
      <c r="F689" s="20"/>
      <c r="G689" s="23"/>
      <c r="H689" s="23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>
      <c r="A690" s="20"/>
      <c r="B690" s="20"/>
      <c r="C690" s="20"/>
      <c r="D690" s="20"/>
      <c r="E690" s="20"/>
      <c r="F690" s="20"/>
      <c r="G690" s="23"/>
      <c r="H690" s="23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>
      <c r="A691" s="20"/>
      <c r="B691" s="20"/>
      <c r="C691" s="20"/>
      <c r="D691" s="20"/>
      <c r="E691" s="20"/>
      <c r="F691" s="20"/>
      <c r="G691" s="23"/>
      <c r="H691" s="23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>
      <c r="A692" s="20"/>
      <c r="B692" s="20"/>
      <c r="C692" s="20"/>
      <c r="D692" s="20"/>
      <c r="E692" s="20"/>
      <c r="F692" s="20"/>
      <c r="G692" s="23"/>
      <c r="H692" s="23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>
      <c r="A693" s="20"/>
      <c r="B693" s="20"/>
      <c r="C693" s="20"/>
      <c r="D693" s="20"/>
      <c r="E693" s="20"/>
      <c r="F693" s="20"/>
      <c r="G693" s="23"/>
      <c r="H693" s="23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>
      <c r="A694" s="20"/>
      <c r="B694" s="20"/>
      <c r="C694" s="20"/>
      <c r="D694" s="20"/>
      <c r="E694" s="20"/>
      <c r="F694" s="20"/>
      <c r="G694" s="23"/>
      <c r="H694" s="23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>
      <c r="A695" s="20"/>
      <c r="B695" s="20"/>
      <c r="C695" s="20"/>
      <c r="D695" s="20"/>
      <c r="E695" s="20"/>
      <c r="F695" s="20"/>
      <c r="G695" s="23"/>
      <c r="H695" s="23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>
      <c r="A696" s="20"/>
      <c r="B696" s="20"/>
      <c r="C696" s="20"/>
      <c r="D696" s="20"/>
      <c r="E696" s="20"/>
      <c r="F696" s="20"/>
      <c r="G696" s="23"/>
      <c r="H696" s="23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>
      <c r="A697" s="20"/>
      <c r="B697" s="20"/>
      <c r="C697" s="20"/>
      <c r="D697" s="20"/>
      <c r="E697" s="20"/>
      <c r="F697" s="20"/>
      <c r="G697" s="23"/>
      <c r="H697" s="23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>
      <c r="A698" s="20"/>
      <c r="B698" s="20"/>
      <c r="C698" s="20"/>
      <c r="D698" s="20"/>
      <c r="E698" s="20"/>
      <c r="F698" s="20"/>
      <c r="G698" s="23"/>
      <c r="H698" s="23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>
      <c r="A699" s="20"/>
      <c r="B699" s="20"/>
      <c r="C699" s="20"/>
      <c r="D699" s="20"/>
      <c r="E699" s="20"/>
      <c r="F699" s="20"/>
      <c r="G699" s="23"/>
      <c r="H699" s="23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>
      <c r="A700" s="20"/>
      <c r="B700" s="20"/>
      <c r="C700" s="20"/>
      <c r="D700" s="20"/>
      <c r="E700" s="20"/>
      <c r="F700" s="20"/>
      <c r="G700" s="23"/>
      <c r="H700" s="23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>
      <c r="A701" s="20"/>
      <c r="B701" s="20"/>
      <c r="C701" s="20"/>
      <c r="D701" s="20"/>
      <c r="E701" s="20"/>
      <c r="F701" s="20"/>
      <c r="G701" s="23"/>
      <c r="H701" s="23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>
      <c r="A702" s="20"/>
      <c r="B702" s="20"/>
      <c r="C702" s="20"/>
      <c r="D702" s="20"/>
      <c r="E702" s="20"/>
      <c r="F702" s="20"/>
      <c r="G702" s="23"/>
      <c r="H702" s="23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>
      <c r="A703" s="20"/>
      <c r="B703" s="20"/>
      <c r="C703" s="20"/>
      <c r="D703" s="20"/>
      <c r="E703" s="20"/>
      <c r="F703" s="20"/>
      <c r="G703" s="23"/>
      <c r="H703" s="23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>
      <c r="A704" s="20"/>
      <c r="B704" s="20"/>
      <c r="C704" s="20"/>
      <c r="D704" s="20"/>
      <c r="E704" s="20"/>
      <c r="F704" s="20"/>
      <c r="G704" s="23"/>
      <c r="H704" s="23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>
      <c r="A705" s="20"/>
      <c r="B705" s="20"/>
      <c r="C705" s="20"/>
      <c r="D705" s="20"/>
      <c r="E705" s="20"/>
      <c r="F705" s="20"/>
      <c r="G705" s="23"/>
      <c r="H705" s="23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>
      <c r="A706" s="20"/>
      <c r="B706" s="20"/>
      <c r="C706" s="20"/>
      <c r="D706" s="20"/>
      <c r="E706" s="20"/>
      <c r="F706" s="20"/>
      <c r="G706" s="23"/>
      <c r="H706" s="23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>
      <c r="A707" s="20"/>
      <c r="B707" s="20"/>
      <c r="C707" s="20"/>
      <c r="D707" s="20"/>
      <c r="E707" s="20"/>
      <c r="F707" s="20"/>
      <c r="G707" s="23"/>
      <c r="H707" s="23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>
      <c r="A708" s="20"/>
      <c r="B708" s="20"/>
      <c r="C708" s="20"/>
      <c r="D708" s="20"/>
      <c r="E708" s="20"/>
      <c r="F708" s="20"/>
      <c r="G708" s="23"/>
      <c r="H708" s="23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>
      <c r="A709" s="20"/>
      <c r="B709" s="20"/>
      <c r="C709" s="20"/>
      <c r="D709" s="20"/>
      <c r="E709" s="20"/>
      <c r="F709" s="20"/>
      <c r="G709" s="23"/>
      <c r="H709" s="23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>
      <c r="A710" s="20"/>
      <c r="B710" s="20"/>
      <c r="C710" s="20"/>
      <c r="D710" s="20"/>
      <c r="E710" s="20"/>
      <c r="F710" s="20"/>
      <c r="G710" s="23"/>
      <c r="H710" s="23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>
      <c r="A711" s="20"/>
      <c r="B711" s="20"/>
      <c r="C711" s="20"/>
      <c r="D711" s="20"/>
      <c r="E711" s="20"/>
      <c r="F711" s="20"/>
      <c r="G711" s="23"/>
      <c r="H711" s="23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>
      <c r="A712" s="20"/>
      <c r="B712" s="20"/>
      <c r="C712" s="20"/>
      <c r="D712" s="20"/>
      <c r="E712" s="20"/>
      <c r="F712" s="20"/>
      <c r="G712" s="23"/>
      <c r="H712" s="23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>
      <c r="A713" s="20"/>
      <c r="B713" s="20"/>
      <c r="C713" s="20"/>
      <c r="D713" s="20"/>
      <c r="E713" s="20"/>
      <c r="F713" s="20"/>
      <c r="G713" s="23"/>
      <c r="H713" s="23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>
      <c r="A714" s="20"/>
      <c r="B714" s="20"/>
      <c r="C714" s="20"/>
      <c r="D714" s="20"/>
      <c r="E714" s="20"/>
      <c r="F714" s="20"/>
      <c r="G714" s="23"/>
      <c r="H714" s="23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>
      <c r="A715" s="20"/>
      <c r="B715" s="20"/>
      <c r="C715" s="20"/>
      <c r="D715" s="20"/>
      <c r="E715" s="20"/>
      <c r="F715" s="20"/>
      <c r="G715" s="23"/>
      <c r="H715" s="23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>
      <c r="A716" s="20"/>
      <c r="B716" s="20"/>
      <c r="C716" s="20"/>
      <c r="D716" s="20"/>
      <c r="E716" s="20"/>
      <c r="F716" s="20"/>
      <c r="G716" s="23"/>
      <c r="H716" s="23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>
      <c r="A717" s="20"/>
      <c r="B717" s="20"/>
      <c r="C717" s="20"/>
      <c r="D717" s="20"/>
      <c r="E717" s="20"/>
      <c r="F717" s="20"/>
      <c r="G717" s="23"/>
      <c r="H717" s="23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>
      <c r="A718" s="20"/>
      <c r="B718" s="20"/>
      <c r="C718" s="20"/>
      <c r="D718" s="20"/>
      <c r="E718" s="20"/>
      <c r="F718" s="20"/>
      <c r="G718" s="23"/>
      <c r="H718" s="23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>
      <c r="A719" s="20"/>
      <c r="B719" s="20"/>
      <c r="C719" s="20"/>
      <c r="D719" s="20"/>
      <c r="E719" s="20"/>
      <c r="F719" s="20"/>
      <c r="G719" s="23"/>
      <c r="H719" s="23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>
      <c r="A720" s="20"/>
      <c r="B720" s="20"/>
      <c r="C720" s="20"/>
      <c r="D720" s="20"/>
      <c r="E720" s="20"/>
      <c r="F720" s="20"/>
      <c r="G720" s="23"/>
      <c r="H720" s="23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>
      <c r="A721" s="20"/>
      <c r="B721" s="20"/>
      <c r="C721" s="20"/>
      <c r="D721" s="20"/>
      <c r="E721" s="20"/>
      <c r="F721" s="20"/>
      <c r="G721" s="23"/>
      <c r="H721" s="23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>
      <c r="A722" s="20"/>
      <c r="B722" s="20"/>
      <c r="C722" s="20"/>
      <c r="D722" s="20"/>
      <c r="E722" s="20"/>
      <c r="F722" s="20"/>
      <c r="G722" s="23"/>
      <c r="H722" s="23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>
      <c r="A723" s="20"/>
      <c r="B723" s="20"/>
      <c r="C723" s="20"/>
      <c r="D723" s="20"/>
      <c r="E723" s="20"/>
      <c r="F723" s="20"/>
      <c r="G723" s="23"/>
      <c r="H723" s="23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>
      <c r="A724" s="20"/>
      <c r="B724" s="20"/>
      <c r="C724" s="20"/>
      <c r="D724" s="20"/>
      <c r="E724" s="20"/>
      <c r="F724" s="20"/>
      <c r="G724" s="23"/>
      <c r="H724" s="23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>
      <c r="A725" s="20"/>
      <c r="B725" s="20"/>
      <c r="C725" s="20"/>
      <c r="D725" s="20"/>
      <c r="E725" s="20"/>
      <c r="F725" s="20"/>
      <c r="G725" s="23"/>
      <c r="H725" s="23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>
      <c r="A726" s="20"/>
      <c r="B726" s="20"/>
      <c r="C726" s="20"/>
      <c r="D726" s="20"/>
      <c r="E726" s="20"/>
      <c r="F726" s="20"/>
      <c r="G726" s="23"/>
      <c r="H726" s="23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>
      <c r="A727" s="20"/>
      <c r="B727" s="20"/>
      <c r="C727" s="20"/>
      <c r="D727" s="20"/>
      <c r="E727" s="20"/>
      <c r="F727" s="20"/>
      <c r="G727" s="23"/>
      <c r="H727" s="23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>
      <c r="A728" s="20"/>
      <c r="B728" s="20"/>
      <c r="C728" s="20"/>
      <c r="D728" s="20"/>
      <c r="E728" s="20"/>
      <c r="F728" s="20"/>
      <c r="G728" s="23"/>
      <c r="H728" s="23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>
      <c r="A729" s="20"/>
      <c r="B729" s="20"/>
      <c r="C729" s="20"/>
      <c r="D729" s="20"/>
      <c r="E729" s="20"/>
      <c r="F729" s="20"/>
      <c r="G729" s="23"/>
      <c r="H729" s="23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>
      <c r="A730" s="20"/>
      <c r="B730" s="20"/>
      <c r="C730" s="20"/>
      <c r="D730" s="20"/>
      <c r="E730" s="20"/>
      <c r="F730" s="20"/>
      <c r="G730" s="23"/>
      <c r="H730" s="23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>
      <c r="A731" s="20"/>
      <c r="B731" s="20"/>
      <c r="C731" s="20"/>
      <c r="D731" s="20"/>
      <c r="E731" s="20"/>
      <c r="F731" s="20"/>
      <c r="G731" s="23"/>
      <c r="H731" s="23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>
      <c r="A732" s="20"/>
      <c r="B732" s="20"/>
      <c r="C732" s="20"/>
      <c r="D732" s="20"/>
      <c r="E732" s="20"/>
      <c r="F732" s="20"/>
      <c r="G732" s="23"/>
      <c r="H732" s="23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>
      <c r="A733" s="20"/>
      <c r="B733" s="20"/>
      <c r="C733" s="20"/>
      <c r="D733" s="20"/>
      <c r="E733" s="20"/>
      <c r="F733" s="20"/>
      <c r="G733" s="23"/>
      <c r="H733" s="23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>
      <c r="A734" s="20"/>
      <c r="B734" s="20"/>
      <c r="C734" s="20"/>
      <c r="D734" s="20"/>
      <c r="E734" s="20"/>
      <c r="F734" s="20"/>
      <c r="G734" s="23"/>
      <c r="H734" s="23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>
      <c r="A735" s="20"/>
      <c r="B735" s="20"/>
      <c r="C735" s="20"/>
      <c r="D735" s="20"/>
      <c r="E735" s="20"/>
      <c r="F735" s="20"/>
      <c r="G735" s="23"/>
      <c r="H735" s="23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>
      <c r="A736" s="20"/>
      <c r="B736" s="20"/>
      <c r="C736" s="20"/>
      <c r="D736" s="20"/>
      <c r="E736" s="20"/>
      <c r="F736" s="20"/>
      <c r="G736" s="23"/>
      <c r="H736" s="23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>
      <c r="A737" s="20"/>
      <c r="B737" s="20"/>
      <c r="C737" s="20"/>
      <c r="D737" s="20"/>
      <c r="E737" s="20"/>
      <c r="F737" s="20"/>
      <c r="G737" s="23"/>
      <c r="H737" s="23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>
      <c r="A738" s="20"/>
      <c r="B738" s="20"/>
      <c r="C738" s="20"/>
      <c r="D738" s="20"/>
      <c r="E738" s="20"/>
      <c r="F738" s="20"/>
      <c r="G738" s="23"/>
      <c r="H738" s="23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>
      <c r="A739" s="20"/>
      <c r="B739" s="20"/>
      <c r="C739" s="20"/>
      <c r="D739" s="20"/>
      <c r="E739" s="20"/>
      <c r="F739" s="20"/>
      <c r="G739" s="23"/>
      <c r="H739" s="23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>
      <c r="A740" s="20"/>
      <c r="B740" s="20"/>
      <c r="C740" s="20"/>
      <c r="D740" s="20"/>
      <c r="E740" s="20"/>
      <c r="F740" s="20"/>
      <c r="G740" s="23"/>
      <c r="H740" s="23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>
      <c r="A741" s="20"/>
      <c r="B741" s="20"/>
      <c r="C741" s="20"/>
      <c r="D741" s="20"/>
      <c r="E741" s="20"/>
      <c r="F741" s="20"/>
      <c r="G741" s="23"/>
      <c r="H741" s="23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>
      <c r="A742" s="20"/>
      <c r="B742" s="20"/>
      <c r="C742" s="20"/>
      <c r="D742" s="20"/>
      <c r="E742" s="20"/>
      <c r="F742" s="20"/>
      <c r="G742" s="23"/>
      <c r="H742" s="23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>
      <c r="A743" s="20"/>
      <c r="B743" s="20"/>
      <c r="C743" s="20"/>
      <c r="D743" s="20"/>
      <c r="E743" s="20"/>
      <c r="F743" s="20"/>
      <c r="G743" s="23"/>
      <c r="H743" s="23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>
      <c r="A744" s="20"/>
      <c r="B744" s="20"/>
      <c r="C744" s="20"/>
      <c r="D744" s="20"/>
      <c r="E744" s="20"/>
      <c r="F744" s="20"/>
      <c r="G744" s="23"/>
      <c r="H744" s="23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>
      <c r="A745" s="20"/>
      <c r="B745" s="20"/>
      <c r="C745" s="20"/>
      <c r="D745" s="20"/>
      <c r="E745" s="20"/>
      <c r="F745" s="20"/>
      <c r="G745" s="23"/>
      <c r="H745" s="23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>
      <c r="A746" s="20"/>
      <c r="B746" s="20"/>
      <c r="C746" s="20"/>
      <c r="D746" s="20"/>
      <c r="E746" s="20"/>
      <c r="F746" s="20"/>
      <c r="G746" s="23"/>
      <c r="H746" s="23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>
      <c r="A747" s="20"/>
      <c r="B747" s="20"/>
      <c r="C747" s="20"/>
      <c r="D747" s="20"/>
      <c r="E747" s="20"/>
      <c r="F747" s="20"/>
      <c r="G747" s="23"/>
      <c r="H747" s="23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>
      <c r="A748" s="20"/>
      <c r="B748" s="20"/>
      <c r="C748" s="20"/>
      <c r="D748" s="20"/>
      <c r="E748" s="20"/>
      <c r="F748" s="20"/>
      <c r="G748" s="23"/>
      <c r="H748" s="23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>
      <c r="A749" s="20"/>
      <c r="B749" s="20"/>
      <c r="C749" s="20"/>
      <c r="D749" s="20"/>
      <c r="E749" s="20"/>
      <c r="F749" s="20"/>
      <c r="G749" s="23"/>
      <c r="H749" s="23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>
      <c r="A750" s="20"/>
      <c r="B750" s="20"/>
      <c r="C750" s="20"/>
      <c r="D750" s="20"/>
      <c r="E750" s="20"/>
      <c r="F750" s="20"/>
      <c r="G750" s="23"/>
      <c r="H750" s="23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>
      <c r="A751" s="20"/>
      <c r="B751" s="20"/>
      <c r="C751" s="20"/>
      <c r="D751" s="20"/>
      <c r="E751" s="20"/>
      <c r="F751" s="20"/>
      <c r="G751" s="23"/>
      <c r="H751" s="23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>
      <c r="A752" s="20"/>
      <c r="B752" s="20"/>
      <c r="C752" s="20"/>
      <c r="D752" s="20"/>
      <c r="E752" s="20"/>
      <c r="F752" s="20"/>
      <c r="G752" s="23"/>
      <c r="H752" s="23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>
      <c r="A753" s="20"/>
      <c r="B753" s="20"/>
      <c r="C753" s="20"/>
      <c r="D753" s="20"/>
      <c r="E753" s="20"/>
      <c r="F753" s="20"/>
      <c r="G753" s="23"/>
      <c r="H753" s="23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>
      <c r="A754" s="20"/>
      <c r="B754" s="20"/>
      <c r="C754" s="20"/>
      <c r="D754" s="20"/>
      <c r="E754" s="20"/>
      <c r="F754" s="20"/>
      <c r="G754" s="23"/>
      <c r="H754" s="23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>
      <c r="A755" s="20"/>
      <c r="B755" s="20"/>
      <c r="C755" s="20"/>
      <c r="D755" s="20"/>
      <c r="E755" s="20"/>
      <c r="F755" s="20"/>
      <c r="G755" s="23"/>
      <c r="H755" s="23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>
      <c r="A756" s="20"/>
      <c r="B756" s="20"/>
      <c r="C756" s="20"/>
      <c r="D756" s="20"/>
      <c r="E756" s="20"/>
      <c r="F756" s="20"/>
      <c r="G756" s="23"/>
      <c r="H756" s="23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>
      <c r="A757" s="20"/>
      <c r="B757" s="20"/>
      <c r="C757" s="20"/>
      <c r="D757" s="20"/>
      <c r="E757" s="20"/>
      <c r="F757" s="20"/>
      <c r="G757" s="23"/>
      <c r="H757" s="23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>
      <c r="A758" s="20"/>
      <c r="B758" s="20"/>
      <c r="C758" s="20"/>
      <c r="D758" s="20"/>
      <c r="E758" s="20"/>
      <c r="F758" s="20"/>
      <c r="G758" s="23"/>
      <c r="H758" s="23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>
      <c r="A759" s="20"/>
      <c r="B759" s="20"/>
      <c r="C759" s="20"/>
      <c r="D759" s="20"/>
      <c r="E759" s="20"/>
      <c r="F759" s="20"/>
      <c r="G759" s="23"/>
      <c r="H759" s="23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>
      <c r="A760" s="20"/>
      <c r="B760" s="20"/>
      <c r="C760" s="20"/>
      <c r="D760" s="20"/>
      <c r="E760" s="20"/>
      <c r="F760" s="20"/>
      <c r="G760" s="23"/>
      <c r="H760" s="23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>
      <c r="A761" s="20"/>
      <c r="B761" s="20"/>
      <c r="C761" s="20"/>
      <c r="D761" s="20"/>
      <c r="E761" s="20"/>
      <c r="F761" s="20"/>
      <c r="G761" s="23"/>
      <c r="H761" s="23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>
      <c r="A762" s="20"/>
      <c r="B762" s="20"/>
      <c r="C762" s="20"/>
      <c r="D762" s="20"/>
      <c r="E762" s="20"/>
      <c r="F762" s="20"/>
      <c r="G762" s="23"/>
      <c r="H762" s="23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>
      <c r="A763" s="20"/>
      <c r="B763" s="20"/>
      <c r="C763" s="20"/>
      <c r="D763" s="20"/>
      <c r="E763" s="20"/>
      <c r="F763" s="20"/>
      <c r="G763" s="23"/>
      <c r="H763" s="23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>
      <c r="A764" s="20"/>
      <c r="B764" s="20"/>
      <c r="C764" s="20"/>
      <c r="D764" s="20"/>
      <c r="E764" s="20"/>
      <c r="F764" s="20"/>
      <c r="G764" s="23"/>
      <c r="H764" s="23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>
      <c r="A765" s="20"/>
      <c r="B765" s="20"/>
      <c r="C765" s="20"/>
      <c r="D765" s="20"/>
      <c r="E765" s="20"/>
      <c r="F765" s="20"/>
      <c r="G765" s="23"/>
      <c r="H765" s="23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>
      <c r="A766" s="20"/>
      <c r="B766" s="20"/>
      <c r="C766" s="20"/>
      <c r="D766" s="20"/>
      <c r="E766" s="20"/>
      <c r="F766" s="20"/>
      <c r="G766" s="23"/>
      <c r="H766" s="23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>
      <c r="A767" s="20"/>
      <c r="B767" s="20"/>
      <c r="C767" s="20"/>
      <c r="D767" s="20"/>
      <c r="E767" s="20"/>
      <c r="F767" s="20"/>
      <c r="G767" s="23"/>
      <c r="H767" s="23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>
      <c r="A768" s="20"/>
      <c r="B768" s="20"/>
      <c r="C768" s="20"/>
      <c r="D768" s="20"/>
      <c r="E768" s="20"/>
      <c r="F768" s="20"/>
      <c r="G768" s="23"/>
      <c r="H768" s="23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>
      <c r="A769" s="20"/>
      <c r="B769" s="20"/>
      <c r="C769" s="20"/>
      <c r="D769" s="20"/>
      <c r="E769" s="20"/>
      <c r="F769" s="20"/>
      <c r="G769" s="23"/>
      <c r="H769" s="23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>
      <c r="A770" s="20"/>
      <c r="B770" s="20"/>
      <c r="C770" s="20"/>
      <c r="D770" s="20"/>
      <c r="E770" s="20"/>
      <c r="F770" s="20"/>
      <c r="G770" s="23"/>
      <c r="H770" s="23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>
      <c r="A771" s="20"/>
      <c r="B771" s="20"/>
      <c r="C771" s="20"/>
      <c r="D771" s="20"/>
      <c r="E771" s="20"/>
      <c r="F771" s="20"/>
      <c r="G771" s="23"/>
      <c r="H771" s="23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>
      <c r="A772" s="20"/>
      <c r="B772" s="20"/>
      <c r="C772" s="20"/>
      <c r="D772" s="20"/>
      <c r="E772" s="20"/>
      <c r="F772" s="20"/>
      <c r="G772" s="23"/>
      <c r="H772" s="23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>
      <c r="A773" s="20"/>
      <c r="B773" s="20"/>
      <c r="C773" s="20"/>
      <c r="D773" s="20"/>
      <c r="E773" s="20"/>
      <c r="F773" s="20"/>
      <c r="G773" s="23"/>
      <c r="H773" s="23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>
      <c r="A774" s="20"/>
      <c r="B774" s="20"/>
      <c r="C774" s="20"/>
      <c r="D774" s="20"/>
      <c r="E774" s="20"/>
      <c r="F774" s="20"/>
      <c r="G774" s="23"/>
      <c r="H774" s="23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>
      <c r="A775" s="20"/>
      <c r="B775" s="20"/>
      <c r="C775" s="20"/>
      <c r="D775" s="20"/>
      <c r="E775" s="20"/>
      <c r="F775" s="20"/>
      <c r="G775" s="23"/>
      <c r="H775" s="23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>
      <c r="A776" s="20"/>
      <c r="B776" s="20"/>
      <c r="C776" s="20"/>
      <c r="D776" s="20"/>
      <c r="E776" s="20"/>
      <c r="F776" s="20"/>
      <c r="G776" s="23"/>
      <c r="H776" s="23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>
      <c r="A777" s="20"/>
      <c r="B777" s="20"/>
      <c r="C777" s="20"/>
      <c r="D777" s="20"/>
      <c r="E777" s="20"/>
      <c r="F777" s="20"/>
      <c r="G777" s="23"/>
      <c r="H777" s="23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>
      <c r="A778" s="20"/>
      <c r="B778" s="20"/>
      <c r="C778" s="20"/>
      <c r="D778" s="20"/>
      <c r="E778" s="20"/>
      <c r="F778" s="20"/>
      <c r="G778" s="23"/>
      <c r="H778" s="23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>
      <c r="A779" s="20"/>
      <c r="B779" s="20"/>
      <c r="C779" s="20"/>
      <c r="D779" s="20"/>
      <c r="E779" s="20"/>
      <c r="F779" s="20"/>
      <c r="G779" s="23"/>
      <c r="H779" s="23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>
      <c r="A780" s="20"/>
      <c r="B780" s="20"/>
      <c r="C780" s="20"/>
      <c r="D780" s="20"/>
      <c r="E780" s="20"/>
      <c r="F780" s="20"/>
      <c r="G780" s="23"/>
      <c r="H780" s="23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>
      <c r="A781" s="20"/>
      <c r="B781" s="20"/>
      <c r="C781" s="20"/>
      <c r="D781" s="20"/>
      <c r="E781" s="20"/>
      <c r="F781" s="20"/>
      <c r="G781" s="23"/>
      <c r="H781" s="23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>
      <c r="A782" s="20"/>
      <c r="B782" s="20"/>
      <c r="C782" s="20"/>
      <c r="D782" s="20"/>
      <c r="E782" s="20"/>
      <c r="F782" s="20"/>
      <c r="G782" s="23"/>
      <c r="H782" s="23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>
      <c r="A783" s="20"/>
      <c r="B783" s="20"/>
      <c r="C783" s="20"/>
      <c r="D783" s="20"/>
      <c r="E783" s="20"/>
      <c r="F783" s="20"/>
      <c r="G783" s="23"/>
      <c r="H783" s="23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>
      <c r="A784" s="20"/>
      <c r="B784" s="20"/>
      <c r="C784" s="20"/>
      <c r="D784" s="20"/>
      <c r="E784" s="20"/>
      <c r="F784" s="20"/>
      <c r="G784" s="23"/>
      <c r="H784" s="23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>
      <c r="A785" s="20"/>
      <c r="B785" s="20"/>
      <c r="C785" s="20"/>
      <c r="D785" s="20"/>
      <c r="E785" s="20"/>
      <c r="F785" s="20"/>
      <c r="G785" s="23"/>
      <c r="H785" s="23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>
      <c r="A786" s="20"/>
      <c r="B786" s="20"/>
      <c r="C786" s="20"/>
      <c r="D786" s="20"/>
      <c r="E786" s="20"/>
      <c r="F786" s="20"/>
      <c r="G786" s="23"/>
      <c r="H786" s="23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>
      <c r="A787" s="20"/>
      <c r="B787" s="20"/>
      <c r="C787" s="20"/>
      <c r="D787" s="20"/>
      <c r="E787" s="20"/>
      <c r="F787" s="20"/>
      <c r="G787" s="23"/>
      <c r="H787" s="23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>
      <c r="A788" s="20"/>
      <c r="B788" s="20"/>
      <c r="C788" s="20"/>
      <c r="D788" s="20"/>
      <c r="E788" s="20"/>
      <c r="F788" s="20"/>
      <c r="G788" s="23"/>
      <c r="H788" s="23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>
      <c r="A789" s="20"/>
      <c r="B789" s="20"/>
      <c r="C789" s="20"/>
      <c r="D789" s="20"/>
      <c r="E789" s="20"/>
      <c r="F789" s="20"/>
      <c r="G789" s="23"/>
      <c r="H789" s="23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>
      <c r="A790" s="20"/>
      <c r="B790" s="20"/>
      <c r="C790" s="20"/>
      <c r="D790" s="20"/>
      <c r="E790" s="20"/>
      <c r="F790" s="20"/>
      <c r="G790" s="23"/>
      <c r="H790" s="23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>
      <c r="A791" s="20"/>
      <c r="B791" s="20"/>
      <c r="C791" s="20"/>
      <c r="D791" s="20"/>
      <c r="E791" s="20"/>
      <c r="F791" s="20"/>
      <c r="G791" s="23"/>
      <c r="H791" s="23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>
      <c r="A792" s="20"/>
      <c r="B792" s="20"/>
      <c r="C792" s="20"/>
      <c r="D792" s="20"/>
      <c r="E792" s="20"/>
      <c r="F792" s="20"/>
      <c r="G792" s="23"/>
      <c r="H792" s="23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>
      <c r="A793" s="20"/>
      <c r="B793" s="20"/>
      <c r="C793" s="20"/>
      <c r="D793" s="20"/>
      <c r="E793" s="20"/>
      <c r="F793" s="20"/>
      <c r="G793" s="23"/>
      <c r="H793" s="23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>
      <c r="A794" s="20"/>
      <c r="B794" s="20"/>
      <c r="C794" s="20"/>
      <c r="D794" s="20"/>
      <c r="E794" s="20"/>
      <c r="F794" s="20"/>
      <c r="G794" s="23"/>
      <c r="H794" s="23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>
      <c r="A795" s="20"/>
      <c r="B795" s="20"/>
      <c r="C795" s="20"/>
      <c r="D795" s="20"/>
      <c r="E795" s="20"/>
      <c r="F795" s="20"/>
      <c r="G795" s="23"/>
      <c r="H795" s="23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>
      <c r="A796" s="20"/>
      <c r="B796" s="20"/>
      <c r="C796" s="20"/>
      <c r="D796" s="20"/>
      <c r="E796" s="20"/>
      <c r="F796" s="20"/>
      <c r="G796" s="23"/>
      <c r="H796" s="23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>
      <c r="A797" s="20"/>
      <c r="B797" s="20"/>
      <c r="C797" s="20"/>
      <c r="D797" s="20"/>
      <c r="E797" s="20"/>
      <c r="F797" s="20"/>
      <c r="G797" s="23"/>
      <c r="H797" s="23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>
      <c r="A798" s="20"/>
      <c r="B798" s="20"/>
      <c r="C798" s="20"/>
      <c r="D798" s="20"/>
      <c r="E798" s="20"/>
      <c r="F798" s="20"/>
      <c r="G798" s="23"/>
      <c r="H798" s="23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>
      <c r="A799" s="20"/>
      <c r="B799" s="20"/>
      <c r="C799" s="20"/>
      <c r="D799" s="20"/>
      <c r="E799" s="20"/>
      <c r="F799" s="20"/>
      <c r="G799" s="23"/>
      <c r="H799" s="23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>
      <c r="A800" s="20"/>
      <c r="B800" s="20"/>
      <c r="C800" s="20"/>
      <c r="D800" s="20"/>
      <c r="E800" s="20"/>
      <c r="F800" s="20"/>
      <c r="G800" s="23"/>
      <c r="H800" s="23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>
      <c r="A801" s="20"/>
      <c r="B801" s="20"/>
      <c r="C801" s="20"/>
      <c r="D801" s="20"/>
      <c r="E801" s="20"/>
      <c r="F801" s="20"/>
      <c r="G801" s="23"/>
      <c r="H801" s="23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>
      <c r="A802" s="20"/>
      <c r="B802" s="20"/>
      <c r="C802" s="20"/>
      <c r="D802" s="20"/>
      <c r="E802" s="20"/>
      <c r="F802" s="20"/>
      <c r="G802" s="23"/>
      <c r="H802" s="23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>
      <c r="A803" s="20"/>
      <c r="B803" s="20"/>
      <c r="C803" s="20"/>
      <c r="D803" s="20"/>
      <c r="E803" s="20"/>
      <c r="F803" s="20"/>
      <c r="G803" s="23"/>
      <c r="H803" s="23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>
      <c r="A804" s="20"/>
      <c r="B804" s="20"/>
      <c r="C804" s="20"/>
      <c r="D804" s="20"/>
      <c r="E804" s="20"/>
      <c r="F804" s="20"/>
      <c r="G804" s="23"/>
      <c r="H804" s="23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>
      <c r="A805" s="20"/>
      <c r="B805" s="20"/>
      <c r="C805" s="20"/>
      <c r="D805" s="20"/>
      <c r="E805" s="20"/>
      <c r="F805" s="20"/>
      <c r="G805" s="23"/>
      <c r="H805" s="23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>
      <c r="A806" s="20"/>
      <c r="B806" s="20"/>
      <c r="C806" s="20"/>
      <c r="D806" s="20"/>
      <c r="E806" s="20"/>
      <c r="F806" s="20"/>
      <c r="G806" s="23"/>
      <c r="H806" s="23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>
      <c r="A807" s="20"/>
      <c r="B807" s="20"/>
      <c r="C807" s="20"/>
      <c r="D807" s="20"/>
      <c r="E807" s="20"/>
      <c r="F807" s="20"/>
      <c r="G807" s="23"/>
      <c r="H807" s="23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>
      <c r="A808" s="20"/>
      <c r="B808" s="20"/>
      <c r="C808" s="20"/>
      <c r="D808" s="20"/>
      <c r="E808" s="20"/>
      <c r="F808" s="20"/>
      <c r="G808" s="23"/>
      <c r="H808" s="23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>
      <c r="A809" s="20"/>
      <c r="B809" s="20"/>
      <c r="C809" s="20"/>
      <c r="D809" s="20"/>
      <c r="E809" s="20"/>
      <c r="F809" s="20"/>
      <c r="G809" s="23"/>
      <c r="H809" s="23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>
      <c r="A810" s="20"/>
      <c r="B810" s="20"/>
      <c r="C810" s="20"/>
      <c r="D810" s="20"/>
      <c r="E810" s="20"/>
      <c r="F810" s="20"/>
      <c r="G810" s="23"/>
      <c r="H810" s="23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>
      <c r="A811" s="20"/>
      <c r="B811" s="20"/>
      <c r="C811" s="20"/>
      <c r="D811" s="20"/>
      <c r="E811" s="20"/>
      <c r="F811" s="20"/>
      <c r="G811" s="23"/>
      <c r="H811" s="23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>
      <c r="A812" s="20"/>
      <c r="B812" s="20"/>
      <c r="C812" s="20"/>
      <c r="D812" s="20"/>
      <c r="E812" s="20"/>
      <c r="F812" s="20"/>
      <c r="G812" s="23"/>
      <c r="H812" s="23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>
      <c r="A813" s="20"/>
      <c r="B813" s="20"/>
      <c r="C813" s="20"/>
      <c r="D813" s="20"/>
      <c r="E813" s="20"/>
      <c r="F813" s="20"/>
      <c r="G813" s="23"/>
      <c r="H813" s="23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>
      <c r="A814" s="20"/>
      <c r="B814" s="20"/>
      <c r="C814" s="20"/>
      <c r="D814" s="20"/>
      <c r="E814" s="20"/>
      <c r="F814" s="20"/>
      <c r="G814" s="23"/>
      <c r="H814" s="23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>
      <c r="A815" s="20"/>
      <c r="B815" s="20"/>
      <c r="C815" s="20"/>
      <c r="D815" s="20"/>
      <c r="E815" s="20"/>
      <c r="F815" s="20"/>
      <c r="G815" s="23"/>
      <c r="H815" s="23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>
      <c r="A816" s="20"/>
      <c r="B816" s="20"/>
      <c r="C816" s="20"/>
      <c r="D816" s="20"/>
      <c r="E816" s="20"/>
      <c r="F816" s="20"/>
      <c r="G816" s="23"/>
      <c r="H816" s="23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>
      <c r="A817" s="20"/>
      <c r="B817" s="20"/>
      <c r="C817" s="20"/>
      <c r="D817" s="20"/>
      <c r="E817" s="20"/>
      <c r="F817" s="20"/>
      <c r="G817" s="23"/>
      <c r="H817" s="23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>
      <c r="A818" s="20"/>
      <c r="B818" s="20"/>
      <c r="C818" s="20"/>
      <c r="D818" s="20"/>
      <c r="E818" s="20"/>
      <c r="F818" s="20"/>
      <c r="G818" s="23"/>
      <c r="H818" s="23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>
      <c r="A819" s="20"/>
      <c r="B819" s="20"/>
      <c r="C819" s="20"/>
      <c r="D819" s="20"/>
      <c r="E819" s="20"/>
      <c r="F819" s="20"/>
      <c r="G819" s="23"/>
      <c r="H819" s="23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>
      <c r="A820" s="20"/>
      <c r="B820" s="20"/>
      <c r="C820" s="20"/>
      <c r="D820" s="20"/>
      <c r="E820" s="20"/>
      <c r="F820" s="20"/>
      <c r="G820" s="23"/>
      <c r="H820" s="23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>
      <c r="A821" s="20"/>
      <c r="B821" s="20"/>
      <c r="C821" s="20"/>
      <c r="D821" s="20"/>
      <c r="E821" s="20"/>
      <c r="F821" s="20"/>
      <c r="G821" s="23"/>
      <c r="H821" s="23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>
      <c r="A822" s="20"/>
      <c r="B822" s="20"/>
      <c r="C822" s="20"/>
      <c r="D822" s="20"/>
      <c r="E822" s="20"/>
      <c r="F822" s="20"/>
      <c r="G822" s="23"/>
      <c r="H822" s="23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>
      <c r="A823" s="20"/>
      <c r="B823" s="20"/>
      <c r="C823" s="20"/>
      <c r="D823" s="20"/>
      <c r="E823" s="20"/>
      <c r="F823" s="20"/>
      <c r="G823" s="23"/>
      <c r="H823" s="23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>
      <c r="A824" s="20"/>
      <c r="B824" s="20"/>
      <c r="C824" s="20"/>
      <c r="D824" s="20"/>
      <c r="E824" s="20"/>
      <c r="F824" s="20"/>
      <c r="G824" s="23"/>
      <c r="H824" s="23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>
      <c r="A825" s="20"/>
      <c r="B825" s="20"/>
      <c r="C825" s="20"/>
      <c r="D825" s="20"/>
      <c r="E825" s="20"/>
      <c r="F825" s="20"/>
      <c r="G825" s="23"/>
      <c r="H825" s="23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>
      <c r="A826" s="20"/>
      <c r="B826" s="20"/>
      <c r="C826" s="20"/>
      <c r="D826" s="20"/>
      <c r="E826" s="20"/>
      <c r="F826" s="20"/>
      <c r="G826" s="23"/>
      <c r="H826" s="23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>
      <c r="A827" s="20"/>
      <c r="B827" s="20"/>
      <c r="C827" s="20"/>
      <c r="D827" s="20"/>
      <c r="E827" s="20"/>
      <c r="F827" s="20"/>
      <c r="G827" s="23"/>
      <c r="H827" s="23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>
      <c r="A828" s="20"/>
      <c r="B828" s="20"/>
      <c r="C828" s="20"/>
      <c r="D828" s="20"/>
      <c r="E828" s="20"/>
      <c r="F828" s="20"/>
      <c r="G828" s="23"/>
      <c r="H828" s="23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>
      <c r="A829" s="20"/>
      <c r="B829" s="20"/>
      <c r="C829" s="20"/>
      <c r="D829" s="20"/>
      <c r="E829" s="20"/>
      <c r="F829" s="20"/>
      <c r="G829" s="23"/>
      <c r="H829" s="23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>
      <c r="A830" s="20"/>
      <c r="B830" s="20"/>
      <c r="C830" s="20"/>
      <c r="D830" s="20"/>
      <c r="E830" s="20"/>
      <c r="F830" s="20"/>
      <c r="G830" s="23"/>
      <c r="H830" s="23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>
      <c r="A831" s="20"/>
      <c r="B831" s="20"/>
      <c r="C831" s="20"/>
      <c r="D831" s="20"/>
      <c r="E831" s="20"/>
      <c r="F831" s="20"/>
      <c r="G831" s="23"/>
      <c r="H831" s="23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>
      <c r="A832" s="20"/>
      <c r="B832" s="20"/>
      <c r="C832" s="20"/>
      <c r="D832" s="20"/>
      <c r="E832" s="20"/>
      <c r="F832" s="20"/>
      <c r="G832" s="23"/>
      <c r="H832" s="23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>
      <c r="A833" s="20"/>
      <c r="B833" s="20"/>
      <c r="C833" s="20"/>
      <c r="D833" s="20"/>
      <c r="E833" s="20"/>
      <c r="F833" s="20"/>
      <c r="G833" s="23"/>
      <c r="H833" s="23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>
      <c r="A834" s="20"/>
      <c r="B834" s="20"/>
      <c r="C834" s="20"/>
      <c r="D834" s="20"/>
      <c r="E834" s="20"/>
      <c r="F834" s="20"/>
      <c r="G834" s="23"/>
      <c r="H834" s="23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>
      <c r="A835" s="20"/>
      <c r="B835" s="20"/>
      <c r="C835" s="20"/>
      <c r="D835" s="20"/>
      <c r="E835" s="20"/>
      <c r="F835" s="20"/>
      <c r="G835" s="23"/>
      <c r="H835" s="23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>
      <c r="A836" s="20"/>
      <c r="B836" s="20"/>
      <c r="C836" s="20"/>
      <c r="D836" s="20"/>
      <c r="E836" s="20"/>
      <c r="F836" s="20"/>
      <c r="G836" s="23"/>
      <c r="H836" s="23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>
      <c r="A837" s="20"/>
      <c r="B837" s="20"/>
      <c r="C837" s="20"/>
      <c r="D837" s="20"/>
      <c r="E837" s="20"/>
      <c r="F837" s="20"/>
      <c r="G837" s="23"/>
      <c r="H837" s="23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>
      <c r="A838" s="20"/>
      <c r="B838" s="20"/>
      <c r="C838" s="20"/>
      <c r="D838" s="20"/>
      <c r="E838" s="20"/>
      <c r="F838" s="20"/>
      <c r="G838" s="23"/>
      <c r="H838" s="23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>
      <c r="A839" s="20"/>
      <c r="B839" s="20"/>
      <c r="C839" s="20"/>
      <c r="D839" s="20"/>
      <c r="E839" s="20"/>
      <c r="F839" s="20"/>
      <c r="G839" s="23"/>
      <c r="H839" s="23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>
      <c r="A840" s="20"/>
      <c r="B840" s="20"/>
      <c r="C840" s="20"/>
      <c r="D840" s="20"/>
      <c r="E840" s="20"/>
      <c r="F840" s="20"/>
      <c r="G840" s="23"/>
      <c r="H840" s="23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>
      <c r="A841" s="20"/>
      <c r="B841" s="20"/>
      <c r="C841" s="20"/>
      <c r="D841" s="20"/>
      <c r="E841" s="20"/>
      <c r="F841" s="20"/>
      <c r="G841" s="23"/>
      <c r="H841" s="23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>
      <c r="A842" s="20"/>
      <c r="B842" s="20"/>
      <c r="C842" s="20"/>
      <c r="D842" s="20"/>
      <c r="E842" s="20"/>
      <c r="F842" s="20"/>
      <c r="G842" s="23"/>
      <c r="H842" s="23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>
      <c r="A843" s="20"/>
      <c r="B843" s="20"/>
      <c r="C843" s="20"/>
      <c r="D843" s="20"/>
      <c r="E843" s="20"/>
      <c r="F843" s="20"/>
      <c r="G843" s="23"/>
      <c r="H843" s="23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>
      <c r="A844" s="20"/>
      <c r="B844" s="20"/>
      <c r="C844" s="20"/>
      <c r="D844" s="20"/>
      <c r="E844" s="20"/>
      <c r="F844" s="20"/>
      <c r="G844" s="23"/>
      <c r="H844" s="23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>
      <c r="A845" s="20"/>
      <c r="B845" s="20"/>
      <c r="C845" s="20"/>
      <c r="D845" s="20"/>
      <c r="E845" s="20"/>
      <c r="F845" s="20"/>
      <c r="G845" s="23"/>
      <c r="H845" s="23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>
      <c r="A846" s="20"/>
      <c r="B846" s="20"/>
      <c r="C846" s="20"/>
      <c r="D846" s="20"/>
      <c r="E846" s="20"/>
      <c r="F846" s="20"/>
      <c r="G846" s="23"/>
      <c r="H846" s="23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>
      <c r="A847" s="20"/>
      <c r="B847" s="20"/>
      <c r="C847" s="20"/>
      <c r="D847" s="20"/>
      <c r="E847" s="20"/>
      <c r="F847" s="20"/>
      <c r="G847" s="23"/>
      <c r="H847" s="23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>
      <c r="A848" s="20"/>
      <c r="B848" s="20"/>
      <c r="C848" s="20"/>
      <c r="D848" s="20"/>
      <c r="E848" s="20"/>
      <c r="F848" s="20"/>
      <c r="G848" s="23"/>
      <c r="H848" s="23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>
      <c r="A849" s="20"/>
      <c r="B849" s="20"/>
      <c r="C849" s="20"/>
      <c r="D849" s="20"/>
      <c r="E849" s="20"/>
      <c r="F849" s="20"/>
      <c r="G849" s="23"/>
      <c r="H849" s="23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>
      <c r="A850" s="20"/>
      <c r="B850" s="20"/>
      <c r="C850" s="20"/>
      <c r="D850" s="20"/>
      <c r="E850" s="20"/>
      <c r="F850" s="20"/>
      <c r="G850" s="23"/>
      <c r="H850" s="23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>
      <c r="A851" s="20"/>
      <c r="B851" s="20"/>
      <c r="C851" s="20"/>
      <c r="D851" s="20"/>
      <c r="E851" s="20"/>
      <c r="F851" s="20"/>
      <c r="G851" s="23"/>
      <c r="H851" s="23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>
      <c r="A852" s="20"/>
      <c r="B852" s="20"/>
      <c r="C852" s="20"/>
      <c r="D852" s="20"/>
      <c r="E852" s="20"/>
      <c r="F852" s="20"/>
      <c r="G852" s="23"/>
      <c r="H852" s="23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>
      <c r="A853" s="20"/>
      <c r="B853" s="20"/>
      <c r="C853" s="20"/>
      <c r="D853" s="20"/>
      <c r="E853" s="20"/>
      <c r="F853" s="20"/>
      <c r="G853" s="23"/>
      <c r="H853" s="23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>
      <c r="A854" s="20"/>
      <c r="B854" s="20"/>
      <c r="C854" s="20"/>
      <c r="D854" s="20"/>
      <c r="E854" s="20"/>
      <c r="F854" s="20"/>
      <c r="G854" s="23"/>
      <c r="H854" s="23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>
      <c r="A855" s="20"/>
      <c r="B855" s="20"/>
      <c r="C855" s="20"/>
      <c r="D855" s="20"/>
      <c r="E855" s="20"/>
      <c r="F855" s="20"/>
      <c r="G855" s="23"/>
      <c r="H855" s="23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>
      <c r="A856" s="20"/>
      <c r="B856" s="20"/>
      <c r="C856" s="20"/>
      <c r="D856" s="20"/>
      <c r="E856" s="20"/>
      <c r="F856" s="20"/>
      <c r="G856" s="23"/>
      <c r="H856" s="23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>
      <c r="A857" s="20"/>
      <c r="B857" s="20"/>
      <c r="C857" s="20"/>
      <c r="D857" s="20"/>
      <c r="E857" s="20"/>
      <c r="F857" s="20"/>
      <c r="G857" s="23"/>
      <c r="H857" s="23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>
      <c r="A858" s="20"/>
      <c r="B858" s="20"/>
      <c r="C858" s="20"/>
      <c r="D858" s="20"/>
      <c r="E858" s="20"/>
      <c r="F858" s="20"/>
      <c r="G858" s="23"/>
      <c r="H858" s="23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>
      <c r="A859" s="20"/>
      <c r="B859" s="20"/>
      <c r="C859" s="20"/>
      <c r="D859" s="20"/>
      <c r="E859" s="20"/>
      <c r="F859" s="20"/>
      <c r="G859" s="23"/>
      <c r="H859" s="23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>
      <c r="A860" s="20"/>
      <c r="B860" s="20"/>
      <c r="C860" s="20"/>
      <c r="D860" s="20"/>
      <c r="E860" s="20"/>
      <c r="F860" s="20"/>
      <c r="G860" s="23"/>
      <c r="H860" s="23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>
      <c r="A861" s="20"/>
      <c r="B861" s="20"/>
      <c r="C861" s="20"/>
      <c r="D861" s="20"/>
      <c r="E861" s="20"/>
      <c r="F861" s="20"/>
      <c r="G861" s="23"/>
      <c r="H861" s="23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>
      <c r="A862" s="20"/>
      <c r="B862" s="20"/>
      <c r="C862" s="20"/>
      <c r="D862" s="20"/>
      <c r="E862" s="20"/>
      <c r="F862" s="20"/>
      <c r="G862" s="23"/>
      <c r="H862" s="23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>
      <c r="A863" s="20"/>
      <c r="B863" s="20"/>
      <c r="C863" s="20"/>
      <c r="D863" s="20"/>
      <c r="E863" s="20"/>
      <c r="F863" s="20"/>
      <c r="G863" s="23"/>
      <c r="H863" s="23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>
      <c r="A864" s="20"/>
      <c r="B864" s="20"/>
      <c r="C864" s="20"/>
      <c r="D864" s="20"/>
      <c r="E864" s="20"/>
      <c r="F864" s="20"/>
      <c r="G864" s="23"/>
      <c r="H864" s="23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>
      <c r="A865" s="20"/>
      <c r="B865" s="20"/>
      <c r="C865" s="20"/>
      <c r="D865" s="20"/>
      <c r="E865" s="20"/>
      <c r="F865" s="20"/>
      <c r="G865" s="23"/>
      <c r="H865" s="23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>
      <c r="A866" s="20"/>
      <c r="B866" s="20"/>
      <c r="C866" s="20"/>
      <c r="D866" s="20"/>
      <c r="E866" s="20"/>
      <c r="F866" s="20"/>
      <c r="G866" s="23"/>
      <c r="H866" s="23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>
      <c r="A867" s="20"/>
      <c r="B867" s="20"/>
      <c r="C867" s="20"/>
      <c r="D867" s="20"/>
      <c r="E867" s="20"/>
      <c r="F867" s="20"/>
      <c r="G867" s="23"/>
      <c r="H867" s="23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>
      <c r="A868" s="20"/>
      <c r="B868" s="20"/>
      <c r="C868" s="20"/>
      <c r="D868" s="20"/>
      <c r="E868" s="20"/>
      <c r="F868" s="20"/>
      <c r="G868" s="23"/>
      <c r="H868" s="23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>
      <c r="A869" s="20"/>
      <c r="B869" s="20"/>
      <c r="C869" s="20"/>
      <c r="D869" s="20"/>
      <c r="E869" s="20"/>
      <c r="F869" s="20"/>
      <c r="G869" s="23"/>
      <c r="H869" s="23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>
      <c r="A870" s="20"/>
      <c r="B870" s="20"/>
      <c r="C870" s="20"/>
      <c r="D870" s="20"/>
      <c r="E870" s="20"/>
      <c r="F870" s="20"/>
      <c r="G870" s="23"/>
      <c r="H870" s="23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>
      <c r="A871" s="20"/>
      <c r="B871" s="20"/>
      <c r="C871" s="20"/>
      <c r="D871" s="20"/>
      <c r="E871" s="20"/>
      <c r="F871" s="20"/>
      <c r="G871" s="23"/>
      <c r="H871" s="23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>
      <c r="A872" s="20"/>
      <c r="B872" s="20"/>
      <c r="C872" s="20"/>
      <c r="D872" s="20"/>
      <c r="E872" s="20"/>
      <c r="F872" s="20"/>
      <c r="G872" s="23"/>
      <c r="H872" s="23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>
      <c r="A873" s="20"/>
      <c r="B873" s="20"/>
      <c r="C873" s="20"/>
      <c r="D873" s="20"/>
      <c r="E873" s="20"/>
      <c r="F873" s="20"/>
      <c r="G873" s="23"/>
      <c r="H873" s="23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>
      <c r="A874" s="20"/>
      <c r="B874" s="20"/>
      <c r="C874" s="20"/>
      <c r="D874" s="20"/>
      <c r="E874" s="20"/>
      <c r="F874" s="20"/>
      <c r="G874" s="23"/>
      <c r="H874" s="23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>
      <c r="A875" s="20"/>
      <c r="B875" s="20"/>
      <c r="C875" s="20"/>
      <c r="D875" s="20"/>
      <c r="E875" s="20"/>
      <c r="F875" s="20"/>
      <c r="G875" s="23"/>
      <c r="H875" s="23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>
      <c r="A876" s="20"/>
      <c r="B876" s="20"/>
      <c r="C876" s="20"/>
      <c r="D876" s="20"/>
      <c r="E876" s="20"/>
      <c r="F876" s="20"/>
      <c r="G876" s="23"/>
      <c r="H876" s="23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>
      <c r="A877" s="20"/>
      <c r="B877" s="20"/>
      <c r="C877" s="20"/>
      <c r="D877" s="20"/>
      <c r="E877" s="20"/>
      <c r="F877" s="20"/>
      <c r="G877" s="23"/>
      <c r="H877" s="23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>
      <c r="A878" s="20"/>
      <c r="B878" s="20"/>
      <c r="C878" s="20"/>
      <c r="D878" s="20"/>
      <c r="E878" s="20"/>
      <c r="F878" s="20"/>
      <c r="G878" s="23"/>
      <c r="H878" s="23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>
      <c r="A879" s="20"/>
      <c r="B879" s="20"/>
      <c r="C879" s="20"/>
      <c r="D879" s="20"/>
      <c r="E879" s="20"/>
      <c r="F879" s="20"/>
      <c r="G879" s="23"/>
      <c r="H879" s="23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>
      <c r="A880" s="20"/>
      <c r="B880" s="20"/>
      <c r="C880" s="20"/>
      <c r="D880" s="20"/>
      <c r="E880" s="20"/>
      <c r="F880" s="20"/>
      <c r="G880" s="23"/>
      <c r="H880" s="23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>
      <c r="A881" s="20"/>
      <c r="B881" s="20"/>
      <c r="C881" s="20"/>
      <c r="D881" s="20"/>
      <c r="E881" s="20"/>
      <c r="F881" s="20"/>
      <c r="G881" s="23"/>
      <c r="H881" s="23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>
      <c r="A882" s="20"/>
      <c r="B882" s="20"/>
      <c r="C882" s="20"/>
      <c r="D882" s="20"/>
      <c r="E882" s="20"/>
      <c r="F882" s="20"/>
      <c r="G882" s="23"/>
      <c r="H882" s="23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>
      <c r="A883" s="20"/>
      <c r="B883" s="20"/>
      <c r="C883" s="20"/>
      <c r="D883" s="20"/>
      <c r="E883" s="20"/>
      <c r="F883" s="20"/>
      <c r="G883" s="23"/>
      <c r="H883" s="23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>
      <c r="A884" s="20"/>
      <c r="B884" s="20"/>
      <c r="C884" s="20"/>
      <c r="D884" s="20"/>
      <c r="E884" s="20"/>
      <c r="F884" s="20"/>
      <c r="G884" s="23"/>
      <c r="H884" s="23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>
      <c r="A885" s="20"/>
      <c r="B885" s="20"/>
      <c r="C885" s="20"/>
      <c r="D885" s="20"/>
      <c r="E885" s="20"/>
      <c r="F885" s="20"/>
      <c r="G885" s="23"/>
      <c r="H885" s="23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>
      <c r="A886" s="20"/>
      <c r="B886" s="20"/>
      <c r="C886" s="20"/>
      <c r="D886" s="20"/>
      <c r="E886" s="20"/>
      <c r="F886" s="20"/>
      <c r="G886" s="23"/>
      <c r="H886" s="23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>
      <c r="A887" s="20"/>
      <c r="B887" s="20"/>
      <c r="C887" s="20"/>
      <c r="D887" s="20"/>
      <c r="E887" s="20"/>
      <c r="F887" s="20"/>
      <c r="G887" s="23"/>
      <c r="H887" s="23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>
      <c r="A888" s="20"/>
      <c r="B888" s="20"/>
      <c r="C888" s="20"/>
      <c r="D888" s="20"/>
      <c r="E888" s="20"/>
      <c r="F888" s="20"/>
      <c r="G888" s="23"/>
      <c r="H888" s="23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>
      <c r="A889" s="20"/>
      <c r="B889" s="20"/>
      <c r="C889" s="20"/>
      <c r="D889" s="20"/>
      <c r="E889" s="20"/>
      <c r="F889" s="20"/>
      <c r="G889" s="23"/>
      <c r="H889" s="23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>
      <c r="A890" s="20"/>
      <c r="B890" s="20"/>
      <c r="C890" s="20"/>
      <c r="D890" s="20"/>
      <c r="E890" s="20"/>
      <c r="F890" s="20"/>
      <c r="G890" s="23"/>
      <c r="H890" s="23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>
      <c r="A891" s="20"/>
      <c r="B891" s="20"/>
      <c r="C891" s="20"/>
      <c r="D891" s="20"/>
      <c r="E891" s="20"/>
      <c r="F891" s="20"/>
      <c r="G891" s="23"/>
      <c r="H891" s="23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>
      <c r="A892" s="20"/>
      <c r="B892" s="20"/>
      <c r="C892" s="20"/>
      <c r="D892" s="20"/>
      <c r="E892" s="20"/>
      <c r="F892" s="20"/>
      <c r="G892" s="23"/>
      <c r="H892" s="23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>
      <c r="A893" s="20"/>
      <c r="B893" s="20"/>
      <c r="C893" s="20"/>
      <c r="D893" s="20"/>
      <c r="E893" s="20"/>
      <c r="F893" s="20"/>
      <c r="G893" s="23"/>
      <c r="H893" s="23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>
      <c r="A894" s="20"/>
      <c r="B894" s="20"/>
      <c r="C894" s="20"/>
      <c r="D894" s="20"/>
      <c r="E894" s="20"/>
      <c r="F894" s="20"/>
      <c r="G894" s="23"/>
      <c r="H894" s="23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>
      <c r="A895" s="20"/>
      <c r="B895" s="20"/>
      <c r="C895" s="20"/>
      <c r="D895" s="20"/>
      <c r="E895" s="20"/>
      <c r="F895" s="20"/>
      <c r="G895" s="23"/>
      <c r="H895" s="23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>
      <c r="A896" s="20"/>
      <c r="B896" s="20"/>
      <c r="C896" s="20"/>
      <c r="D896" s="20"/>
      <c r="E896" s="20"/>
      <c r="F896" s="20"/>
      <c r="G896" s="23"/>
      <c r="H896" s="23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>
      <c r="A897" s="20"/>
      <c r="B897" s="20"/>
      <c r="C897" s="20"/>
      <c r="D897" s="20"/>
      <c r="E897" s="20"/>
      <c r="F897" s="20"/>
      <c r="G897" s="23"/>
      <c r="H897" s="23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>
      <c r="A898" s="20"/>
      <c r="B898" s="20"/>
      <c r="C898" s="20"/>
      <c r="D898" s="20"/>
      <c r="E898" s="20"/>
      <c r="F898" s="20"/>
      <c r="G898" s="23"/>
      <c r="H898" s="23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>
      <c r="A899" s="20"/>
      <c r="B899" s="20"/>
      <c r="C899" s="20"/>
      <c r="D899" s="20"/>
      <c r="E899" s="20"/>
      <c r="F899" s="20"/>
      <c r="G899" s="23"/>
      <c r="H899" s="23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>
      <c r="A900" s="20"/>
      <c r="B900" s="20"/>
      <c r="C900" s="20"/>
      <c r="D900" s="20"/>
      <c r="E900" s="20"/>
      <c r="F900" s="20"/>
      <c r="G900" s="23"/>
      <c r="H900" s="23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>
      <c r="A901" s="20"/>
      <c r="B901" s="20"/>
      <c r="C901" s="20"/>
      <c r="D901" s="20"/>
      <c r="E901" s="20"/>
      <c r="F901" s="20"/>
      <c r="G901" s="23"/>
      <c r="H901" s="23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>
      <c r="A902" s="20"/>
      <c r="B902" s="20"/>
      <c r="C902" s="20"/>
      <c r="D902" s="20"/>
      <c r="E902" s="20"/>
      <c r="F902" s="20"/>
      <c r="G902" s="23"/>
      <c r="H902" s="23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>
      <c r="A903" s="20"/>
      <c r="B903" s="20"/>
      <c r="C903" s="20"/>
      <c r="D903" s="20"/>
      <c r="E903" s="20"/>
      <c r="F903" s="20"/>
      <c r="G903" s="23"/>
      <c r="H903" s="23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>
      <c r="A904" s="20"/>
      <c r="B904" s="20"/>
      <c r="C904" s="20"/>
      <c r="D904" s="20"/>
      <c r="E904" s="20"/>
      <c r="F904" s="20"/>
      <c r="G904" s="23"/>
      <c r="H904" s="23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>
      <c r="A905" s="20"/>
      <c r="B905" s="20"/>
      <c r="C905" s="20"/>
      <c r="D905" s="20"/>
      <c r="E905" s="20"/>
      <c r="F905" s="20"/>
      <c r="G905" s="23"/>
      <c r="H905" s="23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>
      <c r="A906" s="20"/>
      <c r="B906" s="20"/>
      <c r="C906" s="20"/>
      <c r="D906" s="20"/>
      <c r="E906" s="20"/>
      <c r="F906" s="20"/>
      <c r="G906" s="23"/>
      <c r="H906" s="23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>
      <c r="A907" s="20"/>
      <c r="B907" s="20"/>
      <c r="C907" s="20"/>
      <c r="D907" s="20"/>
      <c r="E907" s="20"/>
      <c r="F907" s="20"/>
      <c r="G907" s="23"/>
      <c r="H907" s="23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>
      <c r="A908" s="20"/>
      <c r="B908" s="20"/>
      <c r="C908" s="20"/>
      <c r="D908" s="20"/>
      <c r="E908" s="20"/>
      <c r="F908" s="20"/>
      <c r="G908" s="23"/>
      <c r="H908" s="23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>
      <c r="A909" s="20"/>
      <c r="B909" s="20"/>
      <c r="C909" s="20"/>
      <c r="D909" s="20"/>
      <c r="E909" s="20"/>
      <c r="F909" s="20"/>
      <c r="G909" s="23"/>
      <c r="H909" s="23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>
      <c r="A910" s="20"/>
      <c r="B910" s="20"/>
      <c r="C910" s="20"/>
      <c r="D910" s="20"/>
      <c r="E910" s="20"/>
      <c r="F910" s="20"/>
      <c r="G910" s="23"/>
      <c r="H910" s="23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>
      <c r="A911" s="20"/>
      <c r="B911" s="20"/>
      <c r="C911" s="20"/>
      <c r="D911" s="20"/>
      <c r="E911" s="20"/>
      <c r="F911" s="20"/>
      <c r="G911" s="23"/>
      <c r="H911" s="23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>
      <c r="A912" s="20"/>
      <c r="B912" s="20"/>
      <c r="C912" s="20"/>
      <c r="D912" s="20"/>
      <c r="E912" s="20"/>
      <c r="F912" s="20"/>
      <c r="G912" s="23"/>
      <c r="H912" s="23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>
      <c r="A913" s="20"/>
      <c r="B913" s="20"/>
      <c r="C913" s="20"/>
      <c r="D913" s="20"/>
      <c r="E913" s="20"/>
      <c r="F913" s="20"/>
      <c r="G913" s="23"/>
      <c r="H913" s="23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>
      <c r="A914" s="20"/>
      <c r="B914" s="20"/>
      <c r="C914" s="20"/>
      <c r="D914" s="20"/>
      <c r="E914" s="20"/>
      <c r="F914" s="20"/>
      <c r="G914" s="23"/>
      <c r="H914" s="23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>
      <c r="A915" s="20"/>
      <c r="B915" s="20"/>
      <c r="C915" s="20"/>
      <c r="D915" s="20"/>
      <c r="E915" s="20"/>
      <c r="F915" s="20"/>
      <c r="G915" s="23"/>
      <c r="H915" s="23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>
      <c r="A916" s="20"/>
      <c r="B916" s="20"/>
      <c r="C916" s="20"/>
      <c r="D916" s="20"/>
      <c r="E916" s="20"/>
      <c r="F916" s="20"/>
      <c r="G916" s="23"/>
      <c r="H916" s="23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>
      <c r="A917" s="20"/>
      <c r="B917" s="20"/>
      <c r="C917" s="20"/>
      <c r="D917" s="20"/>
      <c r="E917" s="20"/>
      <c r="F917" s="20"/>
      <c r="G917" s="23"/>
      <c r="H917" s="23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>
      <c r="A918" s="20"/>
      <c r="B918" s="20"/>
      <c r="C918" s="20"/>
      <c r="D918" s="20"/>
      <c r="E918" s="20"/>
      <c r="F918" s="20"/>
      <c r="G918" s="23"/>
      <c r="H918" s="23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>
      <c r="A919" s="20"/>
      <c r="B919" s="20"/>
      <c r="C919" s="20"/>
      <c r="D919" s="20"/>
      <c r="E919" s="20"/>
      <c r="F919" s="20"/>
      <c r="G919" s="23"/>
      <c r="H919" s="23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>
      <c r="A920" s="20"/>
      <c r="B920" s="20"/>
      <c r="C920" s="20"/>
      <c r="D920" s="20"/>
      <c r="E920" s="20"/>
      <c r="F920" s="20"/>
      <c r="G920" s="23"/>
      <c r="H920" s="23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>
      <c r="A921" s="20"/>
      <c r="B921" s="20"/>
      <c r="C921" s="20"/>
      <c r="D921" s="20"/>
      <c r="E921" s="20"/>
      <c r="F921" s="20"/>
      <c r="G921" s="23"/>
      <c r="H921" s="23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>
      <c r="A922" s="20"/>
      <c r="B922" s="20"/>
      <c r="C922" s="20"/>
      <c r="D922" s="20"/>
      <c r="E922" s="20"/>
      <c r="F922" s="20"/>
      <c r="G922" s="23"/>
      <c r="H922" s="23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>
      <c r="A923" s="20"/>
      <c r="B923" s="20"/>
      <c r="C923" s="20"/>
      <c r="D923" s="20"/>
      <c r="E923" s="20"/>
      <c r="F923" s="20"/>
      <c r="G923" s="23"/>
      <c r="H923" s="23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>
      <c r="A924" s="20"/>
      <c r="B924" s="20"/>
      <c r="C924" s="20"/>
      <c r="D924" s="20"/>
      <c r="E924" s="20"/>
      <c r="F924" s="20"/>
      <c r="G924" s="23"/>
      <c r="H924" s="23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>
      <c r="A925" s="20"/>
      <c r="B925" s="20"/>
      <c r="C925" s="20"/>
      <c r="D925" s="20"/>
      <c r="E925" s="20"/>
      <c r="F925" s="20"/>
      <c r="G925" s="23"/>
      <c r="H925" s="23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>
      <c r="A926" s="20"/>
      <c r="B926" s="20"/>
      <c r="C926" s="20"/>
      <c r="D926" s="20"/>
      <c r="E926" s="20"/>
      <c r="F926" s="20"/>
      <c r="G926" s="23"/>
      <c r="H926" s="23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>
      <c r="A927" s="20"/>
      <c r="B927" s="20"/>
      <c r="C927" s="20"/>
      <c r="D927" s="20"/>
      <c r="E927" s="20"/>
      <c r="F927" s="20"/>
      <c r="G927" s="23"/>
      <c r="H927" s="23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>
      <c r="A928" s="20"/>
      <c r="B928" s="20"/>
      <c r="C928" s="20"/>
      <c r="D928" s="20"/>
      <c r="E928" s="20"/>
      <c r="F928" s="20"/>
      <c r="G928" s="23"/>
      <c r="H928" s="23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>
      <c r="A929" s="20"/>
      <c r="B929" s="20"/>
      <c r="C929" s="20"/>
      <c r="D929" s="20"/>
      <c r="E929" s="20"/>
      <c r="F929" s="20"/>
      <c r="G929" s="23"/>
      <c r="H929" s="23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>
      <c r="A930" s="20"/>
      <c r="B930" s="20"/>
      <c r="C930" s="20"/>
      <c r="D930" s="20"/>
      <c r="E930" s="20"/>
      <c r="F930" s="20"/>
      <c r="G930" s="23"/>
      <c r="H930" s="23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>
      <c r="A931" s="20"/>
      <c r="B931" s="20"/>
      <c r="C931" s="20"/>
      <c r="D931" s="20"/>
      <c r="E931" s="20"/>
      <c r="F931" s="20"/>
      <c r="G931" s="23"/>
      <c r="H931" s="23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>
      <c r="A932" s="20"/>
      <c r="B932" s="20"/>
      <c r="C932" s="20"/>
      <c r="D932" s="20"/>
      <c r="E932" s="20"/>
      <c r="F932" s="20"/>
      <c r="G932" s="23"/>
      <c r="H932" s="23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>
      <c r="A933" s="20"/>
      <c r="B933" s="20"/>
      <c r="C933" s="20"/>
      <c r="D933" s="20"/>
      <c r="E933" s="20"/>
      <c r="F933" s="20"/>
      <c r="G933" s="23"/>
      <c r="H933" s="23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>
      <c r="A934" s="20"/>
      <c r="B934" s="20"/>
      <c r="C934" s="20"/>
      <c r="D934" s="20"/>
      <c r="E934" s="20"/>
      <c r="F934" s="20"/>
      <c r="G934" s="23"/>
      <c r="H934" s="23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>
      <c r="A935" s="20"/>
      <c r="B935" s="20"/>
      <c r="C935" s="20"/>
      <c r="D935" s="20"/>
      <c r="E935" s="20"/>
      <c r="F935" s="20"/>
      <c r="G935" s="23"/>
      <c r="H935" s="23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>
      <c r="A936" s="20"/>
      <c r="B936" s="20"/>
      <c r="C936" s="20"/>
      <c r="D936" s="20"/>
      <c r="E936" s="20"/>
      <c r="F936" s="20"/>
      <c r="G936" s="23"/>
      <c r="H936" s="23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>
      <c r="A937" s="20"/>
      <c r="B937" s="20"/>
      <c r="C937" s="20"/>
      <c r="D937" s="20"/>
      <c r="E937" s="20"/>
      <c r="F937" s="20"/>
      <c r="G937" s="23"/>
      <c r="H937" s="23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>
      <c r="A938" s="20"/>
      <c r="B938" s="20"/>
      <c r="C938" s="20"/>
      <c r="D938" s="20"/>
      <c r="E938" s="20"/>
      <c r="F938" s="20"/>
      <c r="G938" s="23"/>
      <c r="H938" s="23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>
      <c r="A939" s="20"/>
      <c r="B939" s="20"/>
      <c r="C939" s="20"/>
      <c r="D939" s="20"/>
      <c r="E939" s="20"/>
      <c r="F939" s="20"/>
      <c r="G939" s="23"/>
      <c r="H939" s="23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>
      <c r="A940" s="20"/>
      <c r="B940" s="20"/>
      <c r="C940" s="20"/>
      <c r="D940" s="20"/>
      <c r="E940" s="20"/>
      <c r="F940" s="20"/>
      <c r="G940" s="23"/>
      <c r="H940" s="23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>
      <c r="A941" s="20"/>
      <c r="B941" s="20"/>
      <c r="C941" s="20"/>
      <c r="D941" s="20"/>
      <c r="E941" s="20"/>
      <c r="F941" s="20"/>
      <c r="G941" s="23"/>
      <c r="H941" s="23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>
      <c r="A942" s="20"/>
      <c r="B942" s="20"/>
      <c r="C942" s="20"/>
      <c r="D942" s="20"/>
      <c r="E942" s="20"/>
      <c r="F942" s="20"/>
      <c r="G942" s="23"/>
      <c r="H942" s="23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>
      <c r="A943" s="20"/>
      <c r="B943" s="20"/>
      <c r="C943" s="20"/>
      <c r="D943" s="20"/>
      <c r="E943" s="20"/>
      <c r="F943" s="20"/>
      <c r="G943" s="23"/>
      <c r="H943" s="23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>
      <c r="A944" s="20"/>
      <c r="B944" s="20"/>
      <c r="C944" s="20"/>
      <c r="D944" s="20"/>
      <c r="E944" s="20"/>
      <c r="F944" s="20"/>
      <c r="G944" s="23"/>
      <c r="H944" s="23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>
      <c r="A945" s="20"/>
      <c r="B945" s="20"/>
      <c r="C945" s="20"/>
      <c r="D945" s="20"/>
      <c r="E945" s="20"/>
      <c r="F945" s="20"/>
      <c r="G945" s="23"/>
      <c r="H945" s="23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>
      <c r="A946" s="20"/>
      <c r="B946" s="20"/>
      <c r="C946" s="20"/>
      <c r="D946" s="20"/>
      <c r="E946" s="20"/>
      <c r="F946" s="20"/>
      <c r="G946" s="23"/>
      <c r="H946" s="23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>
      <c r="A947" s="20"/>
      <c r="B947" s="20"/>
      <c r="C947" s="20"/>
      <c r="D947" s="20"/>
      <c r="E947" s="20"/>
      <c r="F947" s="20"/>
      <c r="G947" s="23"/>
      <c r="H947" s="23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>
      <c r="A948" s="20"/>
      <c r="B948" s="20"/>
      <c r="C948" s="20"/>
      <c r="D948" s="20"/>
      <c r="E948" s="20"/>
      <c r="F948" s="20"/>
      <c r="G948" s="23"/>
      <c r="H948" s="23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>
      <c r="A949" s="20"/>
      <c r="B949" s="20"/>
      <c r="C949" s="20"/>
      <c r="D949" s="20"/>
      <c r="E949" s="20"/>
      <c r="F949" s="20"/>
      <c r="G949" s="23"/>
      <c r="H949" s="23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>
      <c r="A950" s="20"/>
      <c r="B950" s="20"/>
      <c r="C950" s="20"/>
      <c r="D950" s="20"/>
      <c r="E950" s="20"/>
      <c r="F950" s="20"/>
      <c r="G950" s="23"/>
      <c r="H950" s="23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>
      <c r="A951" s="20"/>
      <c r="B951" s="20"/>
      <c r="C951" s="20"/>
      <c r="D951" s="20"/>
      <c r="E951" s="20"/>
      <c r="F951" s="20"/>
      <c r="G951" s="23"/>
      <c r="H951" s="23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>
      <c r="A952" s="20"/>
      <c r="B952" s="20"/>
      <c r="C952" s="20"/>
      <c r="D952" s="20"/>
      <c r="E952" s="20"/>
      <c r="F952" s="20"/>
      <c r="G952" s="23"/>
      <c r="H952" s="23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>
      <c r="A953" s="20"/>
      <c r="B953" s="20"/>
      <c r="C953" s="20"/>
      <c r="D953" s="20"/>
      <c r="E953" s="20"/>
      <c r="F953" s="20"/>
      <c r="G953" s="23"/>
      <c r="H953" s="23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>
      <c r="A954" s="20"/>
      <c r="B954" s="20"/>
      <c r="C954" s="20"/>
      <c r="D954" s="20"/>
      <c r="E954" s="20"/>
      <c r="F954" s="20"/>
      <c r="G954" s="23"/>
      <c r="H954" s="23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>
      <c r="A955" s="20"/>
      <c r="B955" s="20"/>
      <c r="C955" s="20"/>
      <c r="D955" s="20"/>
      <c r="E955" s="20"/>
      <c r="F955" s="20"/>
      <c r="G955" s="23"/>
      <c r="H955" s="23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>
      <c r="A956" s="20"/>
      <c r="B956" s="20"/>
      <c r="C956" s="20"/>
      <c r="D956" s="20"/>
      <c r="E956" s="20"/>
      <c r="F956" s="20"/>
      <c r="G956" s="23"/>
      <c r="H956" s="23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>
      <c r="A957" s="20"/>
      <c r="B957" s="20"/>
      <c r="C957" s="20"/>
      <c r="D957" s="20"/>
      <c r="E957" s="20"/>
      <c r="F957" s="20"/>
      <c r="G957" s="23"/>
      <c r="H957" s="23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>
      <c r="A958" s="20"/>
      <c r="B958" s="20"/>
      <c r="C958" s="20"/>
      <c r="D958" s="20"/>
      <c r="E958" s="20"/>
      <c r="F958" s="20"/>
      <c r="G958" s="23"/>
      <c r="H958" s="23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>
      <c r="A959" s="20"/>
      <c r="B959" s="20"/>
      <c r="C959" s="20"/>
      <c r="D959" s="20"/>
      <c r="E959" s="20"/>
      <c r="F959" s="20"/>
      <c r="G959" s="23"/>
      <c r="H959" s="23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>
      <c r="A960" s="20"/>
      <c r="B960" s="20"/>
      <c r="C960" s="20"/>
      <c r="D960" s="20"/>
      <c r="E960" s="20"/>
      <c r="F960" s="20"/>
      <c r="G960" s="23"/>
      <c r="H960" s="23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>
      <c r="A961" s="20"/>
      <c r="B961" s="20"/>
      <c r="C961" s="20"/>
      <c r="D961" s="20"/>
      <c r="E961" s="20"/>
      <c r="F961" s="20"/>
      <c r="G961" s="23"/>
      <c r="H961" s="23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>
      <c r="A962" s="20"/>
      <c r="B962" s="20"/>
      <c r="C962" s="20"/>
      <c r="D962" s="20"/>
      <c r="E962" s="20"/>
      <c r="F962" s="20"/>
      <c r="G962" s="23"/>
      <c r="H962" s="23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>
      <c r="A963" s="20"/>
      <c r="B963" s="20"/>
      <c r="C963" s="20"/>
      <c r="D963" s="20"/>
      <c r="E963" s="20"/>
      <c r="F963" s="20"/>
      <c r="G963" s="23"/>
      <c r="H963" s="23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>
      <c r="A964" s="20"/>
      <c r="B964" s="20"/>
      <c r="C964" s="20"/>
      <c r="D964" s="20"/>
      <c r="E964" s="20"/>
      <c r="F964" s="20"/>
      <c r="G964" s="23"/>
      <c r="H964" s="23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>
      <c r="A965" s="20"/>
      <c r="B965" s="20"/>
      <c r="C965" s="20"/>
      <c r="D965" s="20"/>
      <c r="E965" s="20"/>
      <c r="F965" s="20"/>
      <c r="G965" s="23"/>
      <c r="H965" s="23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>
      <c r="A966" s="20"/>
      <c r="B966" s="20"/>
      <c r="C966" s="20"/>
      <c r="D966" s="20"/>
      <c r="E966" s="20"/>
      <c r="F966" s="20"/>
      <c r="G966" s="23"/>
      <c r="H966" s="23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>
      <c r="A967" s="20"/>
      <c r="B967" s="20"/>
      <c r="C967" s="20"/>
      <c r="D967" s="20"/>
      <c r="E967" s="20"/>
      <c r="F967" s="20"/>
      <c r="G967" s="23"/>
      <c r="H967" s="23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>
      <c r="A968" s="20"/>
      <c r="B968" s="20"/>
      <c r="C968" s="20"/>
      <c r="D968" s="20"/>
      <c r="E968" s="20"/>
      <c r="F968" s="20"/>
      <c r="G968" s="23"/>
      <c r="H968" s="23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>
      <c r="A969" s="20"/>
      <c r="B969" s="20"/>
      <c r="C969" s="20"/>
      <c r="D969" s="20"/>
      <c r="E969" s="20"/>
      <c r="F969" s="20"/>
      <c r="G969" s="23"/>
      <c r="H969" s="23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>
      <c r="A970" s="20"/>
      <c r="B970" s="20"/>
      <c r="C970" s="20"/>
      <c r="D970" s="20"/>
      <c r="E970" s="20"/>
      <c r="F970" s="20"/>
      <c r="G970" s="23"/>
      <c r="H970" s="23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>
      <c r="A971" s="20"/>
      <c r="B971" s="20"/>
      <c r="C971" s="20"/>
      <c r="D971" s="20"/>
      <c r="E971" s="20"/>
      <c r="F971" s="20"/>
      <c r="G971" s="23"/>
      <c r="H971" s="23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>
      <c r="A972" s="20"/>
      <c r="B972" s="20"/>
      <c r="C972" s="20"/>
      <c r="D972" s="20"/>
      <c r="E972" s="20"/>
      <c r="F972" s="20"/>
      <c r="G972" s="23"/>
      <c r="H972" s="23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>
      <c r="A973" s="20"/>
      <c r="B973" s="20"/>
      <c r="C973" s="20"/>
      <c r="D973" s="20"/>
      <c r="E973" s="20"/>
      <c r="F973" s="20"/>
      <c r="G973" s="23"/>
      <c r="H973" s="23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>
      <c r="A974" s="20"/>
      <c r="B974" s="20"/>
      <c r="C974" s="20"/>
      <c r="D974" s="20"/>
      <c r="E974" s="20"/>
      <c r="F974" s="20"/>
      <c r="G974" s="23"/>
      <c r="H974" s="23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>
      <c r="A975" s="20"/>
      <c r="B975" s="20"/>
      <c r="C975" s="20"/>
      <c r="D975" s="20"/>
      <c r="E975" s="20"/>
      <c r="F975" s="20"/>
      <c r="G975" s="23"/>
      <c r="H975" s="23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>
      <c r="A976" s="20"/>
      <c r="B976" s="20"/>
      <c r="C976" s="20"/>
      <c r="D976" s="20"/>
      <c r="E976" s="20"/>
      <c r="F976" s="20"/>
      <c r="G976" s="23"/>
      <c r="H976" s="23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>
      <c r="A977" s="20"/>
      <c r="B977" s="20"/>
      <c r="C977" s="20"/>
      <c r="D977" s="20"/>
      <c r="E977" s="20"/>
      <c r="F977" s="20"/>
      <c r="G977" s="23"/>
      <c r="H977" s="23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>
      <c r="A978" s="20"/>
      <c r="B978" s="20"/>
      <c r="C978" s="20"/>
      <c r="D978" s="20"/>
      <c r="E978" s="20"/>
      <c r="F978" s="20"/>
      <c r="G978" s="23"/>
      <c r="H978" s="23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>
      <c r="A979" s="20"/>
      <c r="B979" s="20"/>
      <c r="C979" s="20"/>
      <c r="D979" s="20"/>
      <c r="E979" s="20"/>
      <c r="F979" s="20"/>
      <c r="G979" s="23"/>
      <c r="H979" s="23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>
      <c r="A980" s="20"/>
      <c r="B980" s="20"/>
      <c r="C980" s="20"/>
      <c r="D980" s="20"/>
      <c r="E980" s="20"/>
      <c r="F980" s="20"/>
      <c r="G980" s="23"/>
      <c r="H980" s="23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>
      <c r="A981" s="20"/>
      <c r="B981" s="20"/>
      <c r="C981" s="20"/>
      <c r="D981" s="20"/>
      <c r="E981" s="20"/>
      <c r="F981" s="20"/>
      <c r="G981" s="23"/>
      <c r="H981" s="23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>
      <c r="A982" s="20"/>
      <c r="B982" s="20"/>
      <c r="C982" s="20"/>
      <c r="D982" s="20"/>
      <c r="E982" s="20"/>
      <c r="F982" s="20"/>
      <c r="G982" s="23"/>
      <c r="H982" s="23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>
      <c r="A983" s="20"/>
      <c r="B983" s="20"/>
      <c r="C983" s="20"/>
      <c r="D983" s="20"/>
      <c r="E983" s="20"/>
      <c r="F983" s="20"/>
      <c r="G983" s="23"/>
      <c r="H983" s="23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>
      <c r="A984" s="20"/>
      <c r="B984" s="20"/>
      <c r="C984" s="20"/>
      <c r="D984" s="20"/>
      <c r="E984" s="20"/>
      <c r="F984" s="20"/>
      <c r="G984" s="23"/>
      <c r="H984" s="23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>
      <c r="A985" s="20"/>
      <c r="B985" s="20"/>
      <c r="C985" s="20"/>
      <c r="D985" s="20"/>
      <c r="E985" s="20"/>
      <c r="F985" s="20"/>
      <c r="G985" s="23"/>
      <c r="H985" s="23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>
      <c r="A986" s="20"/>
      <c r="B986" s="20"/>
      <c r="C986" s="20"/>
      <c r="D986" s="20"/>
      <c r="E986" s="20"/>
      <c r="F986" s="20"/>
      <c r="G986" s="23"/>
      <c r="H986" s="23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>
      <c r="A987" s="20"/>
      <c r="B987" s="20"/>
      <c r="C987" s="20"/>
      <c r="D987" s="20"/>
      <c r="E987" s="20"/>
      <c r="F987" s="20"/>
      <c r="G987" s="23"/>
      <c r="H987" s="23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>
      <c r="A988" s="20"/>
      <c r="B988" s="20"/>
      <c r="C988" s="20"/>
      <c r="D988" s="20"/>
      <c r="E988" s="20"/>
      <c r="F988" s="20"/>
      <c r="G988" s="23"/>
      <c r="H988" s="23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>
      <c r="A989" s="20"/>
      <c r="B989" s="20"/>
      <c r="C989" s="20"/>
      <c r="D989" s="20"/>
      <c r="E989" s="20"/>
      <c r="F989" s="20"/>
      <c r="G989" s="23"/>
      <c r="H989" s="23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>
      <c r="A990" s="20"/>
      <c r="B990" s="20"/>
      <c r="C990" s="20"/>
      <c r="D990" s="20"/>
      <c r="E990" s="20"/>
      <c r="F990" s="20"/>
      <c r="G990" s="23"/>
      <c r="H990" s="23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>
      <c r="A991" s="20"/>
      <c r="B991" s="20"/>
      <c r="C991" s="20"/>
      <c r="D991" s="20"/>
      <c r="E991" s="20"/>
      <c r="F991" s="20"/>
      <c r="G991" s="23"/>
      <c r="H991" s="23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>
      <c r="A992" s="20"/>
      <c r="B992" s="20"/>
      <c r="C992" s="20"/>
      <c r="D992" s="20"/>
      <c r="E992" s="20"/>
      <c r="F992" s="20"/>
      <c r="G992" s="23"/>
      <c r="H992" s="23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>
      <c r="A993" s="20"/>
      <c r="B993" s="20"/>
      <c r="C993" s="20"/>
      <c r="D993" s="20"/>
      <c r="E993" s="20"/>
      <c r="F993" s="20"/>
      <c r="G993" s="23"/>
      <c r="H993" s="23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>
      <c r="A994" s="20"/>
      <c r="B994" s="20"/>
      <c r="C994" s="20"/>
      <c r="D994" s="20"/>
      <c r="E994" s="20"/>
      <c r="F994" s="20"/>
      <c r="G994" s="23"/>
      <c r="H994" s="23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>
      <c r="A995" s="20"/>
      <c r="B995" s="20"/>
      <c r="C995" s="20"/>
      <c r="D995" s="20"/>
      <c r="E995" s="20"/>
      <c r="F995" s="20"/>
      <c r="G995" s="23"/>
      <c r="H995" s="23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>
      <c r="A996" s="20"/>
      <c r="B996" s="20"/>
      <c r="C996" s="20"/>
      <c r="D996" s="20"/>
      <c r="E996" s="20"/>
      <c r="F996" s="20"/>
      <c r="G996" s="23"/>
      <c r="H996" s="23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>
      <c r="A997" s="20"/>
      <c r="B997" s="20"/>
      <c r="C997" s="20"/>
      <c r="D997" s="20"/>
      <c r="E997" s="20"/>
      <c r="F997" s="20"/>
      <c r="G997" s="23"/>
      <c r="H997" s="23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>
      <c r="A998" s="20"/>
      <c r="B998" s="20"/>
      <c r="C998" s="20"/>
      <c r="D998" s="20"/>
      <c r="E998" s="20"/>
      <c r="F998" s="20"/>
      <c r="G998" s="23"/>
      <c r="H998" s="23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>
      <c r="A999" s="20"/>
      <c r="B999" s="20"/>
      <c r="C999" s="20"/>
      <c r="D999" s="20"/>
      <c r="E999" s="20"/>
      <c r="F999" s="20"/>
      <c r="G999" s="23"/>
      <c r="H999" s="23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>
      <c r="A1000" s="20"/>
      <c r="B1000" s="20"/>
      <c r="C1000" s="20"/>
      <c r="D1000" s="20"/>
      <c r="E1000" s="20"/>
      <c r="F1000" s="20"/>
      <c r="G1000" s="23"/>
      <c r="H1000" s="23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1" width="14.5703125" customWidth="1"/>
    <col min="3" max="3" width="7.85546875" customWidth="1"/>
    <col min="4" max="4" width="27.7109375" customWidth="1"/>
    <col min="5" max="5" width="42.85546875" customWidth="1"/>
    <col min="6" max="6" width="72.7109375" customWidth="1"/>
    <col min="7" max="7" width="34.85546875" customWidth="1"/>
    <col min="8" max="26" width="8.7109375" customWidth="1"/>
  </cols>
  <sheetData>
    <row r="1" spans="1:7" ht="16.5" customHeight="1">
      <c r="A1" s="4" t="s">
        <v>1709</v>
      </c>
      <c r="B1" s="4" t="s">
        <v>2</v>
      </c>
      <c r="C1" s="4" t="s">
        <v>1714</v>
      </c>
      <c r="D1" s="4" t="s">
        <v>3</v>
      </c>
      <c r="E1" s="4" t="s">
        <v>4</v>
      </c>
      <c r="F1" s="7" t="s">
        <v>6</v>
      </c>
      <c r="G1" s="3" t="s">
        <v>9</v>
      </c>
    </row>
    <row r="2" spans="1:7" ht="16.5" customHeight="1">
      <c r="A2" s="4" t="s">
        <v>11</v>
      </c>
      <c r="B2" s="4" t="s">
        <v>11</v>
      </c>
      <c r="C2" s="4" t="s">
        <v>11</v>
      </c>
      <c r="D2" s="4" t="s">
        <v>11</v>
      </c>
      <c r="E2" s="4" t="s">
        <v>11</v>
      </c>
      <c r="F2" s="7" t="s">
        <v>11</v>
      </c>
      <c r="G2" s="3" t="s">
        <v>11</v>
      </c>
    </row>
    <row r="3" spans="1:7" ht="16.5" customHeight="1">
      <c r="A3" s="11" t="s">
        <v>1730</v>
      </c>
      <c r="B3" s="10" t="s">
        <v>1734</v>
      </c>
      <c r="C3" s="10"/>
      <c r="D3" s="11" t="str">
        <f t="shared" ref="D3:D40" si="0">UPPER(B3)&amp;"_TITLE"</f>
        <v>NODE_1_TITLE</v>
      </c>
      <c r="E3" s="11" t="s">
        <v>1741</v>
      </c>
      <c r="F3" s="11" t="s">
        <v>1743</v>
      </c>
      <c r="G3" s="8" t="s">
        <v>1745</v>
      </c>
    </row>
    <row r="4" spans="1:7" ht="16.5" customHeight="1">
      <c r="A4" s="11" t="s">
        <v>1730</v>
      </c>
      <c r="B4" s="10" t="s">
        <v>1746</v>
      </c>
      <c r="C4" s="10"/>
      <c r="D4" s="11" t="str">
        <f t="shared" si="0"/>
        <v>NODE_2_TITLE</v>
      </c>
      <c r="E4" s="11" t="s">
        <v>1748</v>
      </c>
      <c r="F4" s="11" t="s">
        <v>1750</v>
      </c>
      <c r="G4" s="8" t="s">
        <v>1752</v>
      </c>
    </row>
    <row r="5" spans="1:7" ht="16.5" customHeight="1">
      <c r="A5" s="11" t="s">
        <v>1730</v>
      </c>
      <c r="B5" s="10" t="s">
        <v>1754</v>
      </c>
      <c r="C5" s="10"/>
      <c r="D5" s="11" t="str">
        <f t="shared" si="0"/>
        <v>NODE_3_TITLE</v>
      </c>
      <c r="E5" s="11" t="s">
        <v>1755</v>
      </c>
      <c r="F5" s="11" t="s">
        <v>1756</v>
      </c>
      <c r="G5" s="8" t="s">
        <v>1757</v>
      </c>
    </row>
    <row r="6" spans="1:7" ht="16.5" customHeight="1">
      <c r="A6" s="11" t="s">
        <v>1730</v>
      </c>
      <c r="B6" s="10" t="s">
        <v>1760</v>
      </c>
      <c r="C6" s="10"/>
      <c r="D6" s="11" t="str">
        <f t="shared" si="0"/>
        <v>NODE_4_TITLE</v>
      </c>
      <c r="E6" s="11" t="s">
        <v>1763</v>
      </c>
      <c r="F6" s="11" t="s">
        <v>1764</v>
      </c>
      <c r="G6" s="8" t="s">
        <v>1765</v>
      </c>
    </row>
    <row r="7" spans="1:7" ht="16.5" customHeight="1">
      <c r="A7" s="11" t="s">
        <v>1730</v>
      </c>
      <c r="B7" s="10" t="s">
        <v>1766</v>
      </c>
      <c r="C7" s="10"/>
      <c r="D7" s="11" t="str">
        <f t="shared" si="0"/>
        <v>NODE_5_TITLE</v>
      </c>
      <c r="E7" s="11" t="s">
        <v>1768</v>
      </c>
      <c r="F7" s="11" t="s">
        <v>1770</v>
      </c>
      <c r="G7" s="8" t="s">
        <v>1774</v>
      </c>
    </row>
    <row r="8" spans="1:7" ht="16.5" customHeight="1">
      <c r="A8" s="11" t="s">
        <v>1730</v>
      </c>
      <c r="B8" s="10" t="s">
        <v>1775</v>
      </c>
      <c r="C8" s="10"/>
      <c r="D8" s="11" t="str">
        <f t="shared" si="0"/>
        <v>NODE_6_TITLE</v>
      </c>
      <c r="E8" s="11" t="s">
        <v>1776</v>
      </c>
      <c r="F8" s="11" t="s">
        <v>1777</v>
      </c>
      <c r="G8" s="8" t="s">
        <v>1779</v>
      </c>
    </row>
    <row r="9" spans="1:7" ht="16.5" customHeight="1">
      <c r="A9" s="11" t="s">
        <v>1730</v>
      </c>
      <c r="B9" s="10" t="s">
        <v>1782</v>
      </c>
      <c r="C9" s="10"/>
      <c r="D9" s="11" t="str">
        <f t="shared" si="0"/>
        <v>NODE_7_TITLE</v>
      </c>
      <c r="E9" s="11" t="s">
        <v>1786</v>
      </c>
      <c r="F9" s="11" t="s">
        <v>1787</v>
      </c>
      <c r="G9" s="8" t="s">
        <v>1788</v>
      </c>
    </row>
    <row r="10" spans="1:7" ht="16.5" customHeight="1">
      <c r="A10" s="11" t="s">
        <v>1730</v>
      </c>
      <c r="B10" s="10" t="s">
        <v>1789</v>
      </c>
      <c r="C10" s="10"/>
      <c r="D10" s="11" t="str">
        <f t="shared" si="0"/>
        <v>NODE_8_TITLE</v>
      </c>
      <c r="E10" s="11" t="s">
        <v>1791</v>
      </c>
      <c r="F10" s="11" t="s">
        <v>1792</v>
      </c>
      <c r="G10" s="8" t="s">
        <v>1794</v>
      </c>
    </row>
    <row r="11" spans="1:7" ht="16.5" customHeight="1">
      <c r="A11" s="11" t="s">
        <v>1730</v>
      </c>
      <c r="B11" s="10" t="s">
        <v>1797</v>
      </c>
      <c r="C11" s="10"/>
      <c r="D11" s="11" t="str">
        <f t="shared" si="0"/>
        <v>NODE_9_TITLE</v>
      </c>
      <c r="E11" s="11" t="s">
        <v>1798</v>
      </c>
      <c r="F11" s="11" t="s">
        <v>1799</v>
      </c>
      <c r="G11" s="8" t="s">
        <v>1800</v>
      </c>
    </row>
    <row r="12" spans="1:7" ht="16.5" customHeight="1">
      <c r="A12" s="11" t="s">
        <v>1730</v>
      </c>
      <c r="B12" s="10" t="s">
        <v>1802</v>
      </c>
      <c r="C12" s="10"/>
      <c r="D12" s="11" t="str">
        <f t="shared" si="0"/>
        <v>NODE_10_TITLE</v>
      </c>
      <c r="E12" s="11" t="s">
        <v>1806</v>
      </c>
      <c r="F12" s="11" t="s">
        <v>1807</v>
      </c>
      <c r="G12" s="8" t="s">
        <v>1808</v>
      </c>
    </row>
    <row r="13" spans="1:7" ht="16.5" customHeight="1">
      <c r="A13" s="11" t="s">
        <v>1730</v>
      </c>
      <c r="B13" s="10" t="s">
        <v>1809</v>
      </c>
      <c r="C13" s="10"/>
      <c r="D13" s="11" t="str">
        <f t="shared" si="0"/>
        <v>NODE_11_TITLE</v>
      </c>
      <c r="E13" s="11" t="s">
        <v>1810</v>
      </c>
      <c r="F13" s="11" t="s">
        <v>1812</v>
      </c>
      <c r="G13" s="8" t="s">
        <v>1813</v>
      </c>
    </row>
    <row r="14" spans="1:7" ht="16.5" customHeight="1">
      <c r="A14" s="11" t="s">
        <v>1730</v>
      </c>
      <c r="B14" s="10" t="s">
        <v>1817</v>
      </c>
      <c r="C14" s="10"/>
      <c r="D14" s="11" t="str">
        <f t="shared" si="0"/>
        <v>NODE_12A_TITLE</v>
      </c>
      <c r="E14" s="11" t="s">
        <v>1818</v>
      </c>
      <c r="F14" s="11" t="s">
        <v>1819</v>
      </c>
      <c r="G14" s="8" t="s">
        <v>1820</v>
      </c>
    </row>
    <row r="15" spans="1:7" ht="16.5" customHeight="1">
      <c r="A15" s="11" t="s">
        <v>1730</v>
      </c>
      <c r="B15" s="10" t="s">
        <v>1822</v>
      </c>
      <c r="C15" s="10"/>
      <c r="D15" s="11" t="str">
        <f t="shared" si="0"/>
        <v>NODE_12B_TITLE</v>
      </c>
      <c r="E15" s="11" t="s">
        <v>1824</v>
      </c>
      <c r="F15" s="11" t="s">
        <v>1826</v>
      </c>
      <c r="G15" s="8" t="s">
        <v>1828</v>
      </c>
    </row>
    <row r="16" spans="1:7" ht="16.5" customHeight="1">
      <c r="A16" s="11" t="s">
        <v>1730</v>
      </c>
      <c r="B16" s="10" t="s">
        <v>1829</v>
      </c>
      <c r="C16" s="10"/>
      <c r="D16" s="11" t="str">
        <f t="shared" si="0"/>
        <v>NODE_13_TITLE</v>
      </c>
      <c r="E16" s="11" t="s">
        <v>1830</v>
      </c>
      <c r="F16" s="11" t="s">
        <v>1832</v>
      </c>
      <c r="G16" s="8" t="s">
        <v>1834</v>
      </c>
    </row>
    <row r="17" spans="1:7" ht="16.5" customHeight="1">
      <c r="A17" s="11" t="s">
        <v>1730</v>
      </c>
      <c r="B17" s="10" t="s">
        <v>1837</v>
      </c>
      <c r="C17" s="10"/>
      <c r="D17" s="11" t="str">
        <f t="shared" si="0"/>
        <v>NODE_14_TITLE</v>
      </c>
      <c r="E17" s="11" t="s">
        <v>1841</v>
      </c>
      <c r="F17" s="11" t="s">
        <v>1842</v>
      </c>
      <c r="G17" s="8" t="s">
        <v>1843</v>
      </c>
    </row>
    <row r="18" spans="1:7" ht="16.5" customHeight="1">
      <c r="A18" s="11" t="s">
        <v>1730</v>
      </c>
      <c r="B18" s="10" t="s">
        <v>1844</v>
      </c>
      <c r="C18" s="10"/>
      <c r="D18" s="11" t="str">
        <f t="shared" si="0"/>
        <v>NODE_15_TITLE</v>
      </c>
      <c r="E18" s="11" t="s">
        <v>1845</v>
      </c>
      <c r="F18" s="11" t="s">
        <v>1847</v>
      </c>
      <c r="G18" s="8" t="s">
        <v>1848</v>
      </c>
    </row>
    <row r="19" spans="1:7" ht="16.5" customHeight="1">
      <c r="A19" s="11" t="s">
        <v>1730</v>
      </c>
      <c r="B19" s="10" t="s">
        <v>1852</v>
      </c>
      <c r="C19" s="10"/>
      <c r="D19" s="11" t="str">
        <f t="shared" si="0"/>
        <v>NODE_16_TITLE</v>
      </c>
      <c r="E19" s="11" t="s">
        <v>1853</v>
      </c>
      <c r="F19" s="11" t="s">
        <v>1854</v>
      </c>
      <c r="G19" s="8" t="s">
        <v>1855</v>
      </c>
    </row>
    <row r="20" spans="1:7" ht="16.5" customHeight="1">
      <c r="A20" s="11" t="s">
        <v>1730</v>
      </c>
      <c r="B20" s="10" t="s">
        <v>1856</v>
      </c>
      <c r="C20" s="10"/>
      <c r="D20" s="11" t="str">
        <f t="shared" si="0"/>
        <v>NODE_17_TITLE</v>
      </c>
      <c r="E20" s="11" t="s">
        <v>1858</v>
      </c>
      <c r="F20" s="11" t="s">
        <v>1860</v>
      </c>
      <c r="G20" s="8" t="s">
        <v>1862</v>
      </c>
    </row>
    <row r="21" spans="1:7" ht="16.5" customHeight="1">
      <c r="A21" s="11" t="s">
        <v>1730</v>
      </c>
      <c r="B21" s="10" t="s">
        <v>1864</v>
      </c>
      <c r="C21" s="10"/>
      <c r="D21" s="11" t="str">
        <f t="shared" si="0"/>
        <v>NODE_18_TITLE</v>
      </c>
      <c r="E21" s="11" t="s">
        <v>1865</v>
      </c>
      <c r="F21" s="11" t="s">
        <v>1866</v>
      </c>
      <c r="G21" s="8" t="s">
        <v>1867</v>
      </c>
    </row>
    <row r="22" spans="1:7" ht="16.5" customHeight="1">
      <c r="A22" s="11" t="s">
        <v>1730</v>
      </c>
      <c r="B22" s="10" t="s">
        <v>1869</v>
      </c>
      <c r="C22" s="10"/>
      <c r="D22" s="11" t="str">
        <f t="shared" si="0"/>
        <v>NODE_19A_TITLE</v>
      </c>
      <c r="E22" s="11" t="s">
        <v>1873</v>
      </c>
      <c r="F22" s="11" t="s">
        <v>1874</v>
      </c>
      <c r="G22" s="8" t="s">
        <v>1875</v>
      </c>
    </row>
    <row r="23" spans="1:7" ht="16.5" customHeight="1">
      <c r="A23" s="11" t="s">
        <v>1730</v>
      </c>
      <c r="B23" s="10" t="s">
        <v>1877</v>
      </c>
      <c r="C23" s="10"/>
      <c r="D23" s="11" t="str">
        <f t="shared" si="0"/>
        <v>NODE_19B_TITLE</v>
      </c>
      <c r="E23" s="11" t="s">
        <v>1880</v>
      </c>
      <c r="F23" s="11" t="s">
        <v>1881</v>
      </c>
      <c r="G23" s="8" t="s">
        <v>1883</v>
      </c>
    </row>
    <row r="24" spans="1:7" ht="16.5" customHeight="1">
      <c r="A24" s="11" t="s">
        <v>1730</v>
      </c>
      <c r="B24" s="10" t="s">
        <v>1886</v>
      </c>
      <c r="C24" s="10"/>
      <c r="D24" s="11" t="str">
        <f t="shared" si="0"/>
        <v>NODE_20_TITLE</v>
      </c>
      <c r="E24" s="11" t="s">
        <v>1888</v>
      </c>
      <c r="F24" s="11" t="s">
        <v>1889</v>
      </c>
      <c r="G24" s="8" t="s">
        <v>1890</v>
      </c>
    </row>
    <row r="25" spans="1:7" ht="16.5" customHeight="1">
      <c r="A25" s="11" t="s">
        <v>1730</v>
      </c>
      <c r="B25" s="10" t="s">
        <v>1892</v>
      </c>
      <c r="C25" s="10"/>
      <c r="D25" s="11" t="str">
        <f t="shared" si="0"/>
        <v>NODE_21A_TITLE</v>
      </c>
      <c r="E25" s="11" t="s">
        <v>1896</v>
      </c>
      <c r="F25" s="11" t="s">
        <v>1899</v>
      </c>
      <c r="G25" s="8" t="s">
        <v>1901</v>
      </c>
    </row>
    <row r="26" spans="1:7" ht="16.5" customHeight="1">
      <c r="A26" s="11" t="s">
        <v>1730</v>
      </c>
      <c r="B26" s="10" t="s">
        <v>1903</v>
      </c>
      <c r="C26" s="10"/>
      <c r="D26" s="11" t="str">
        <f t="shared" si="0"/>
        <v>NODE_21B_TITLE</v>
      </c>
      <c r="E26" s="11" t="s">
        <v>1904</v>
      </c>
      <c r="F26" s="11" t="s">
        <v>1905</v>
      </c>
      <c r="G26" s="8" t="s">
        <v>1906</v>
      </c>
    </row>
    <row r="27" spans="1:7" ht="16.5" customHeight="1">
      <c r="A27" s="11" t="s">
        <v>1730</v>
      </c>
      <c r="B27" s="10" t="s">
        <v>1908</v>
      </c>
      <c r="C27" s="10"/>
      <c r="D27" s="11" t="str">
        <f t="shared" si="0"/>
        <v>NODE_22_TITLE</v>
      </c>
      <c r="E27" s="11" t="s">
        <v>1912</v>
      </c>
      <c r="F27" s="11" t="s">
        <v>1913</v>
      </c>
      <c r="G27" s="8" t="s">
        <v>1914</v>
      </c>
    </row>
    <row r="28" spans="1:7" ht="16.5" customHeight="1">
      <c r="A28" s="11" t="s">
        <v>1730</v>
      </c>
      <c r="B28" s="10" t="s">
        <v>1915</v>
      </c>
      <c r="C28" s="10"/>
      <c r="D28" s="11" t="str">
        <f t="shared" si="0"/>
        <v>NODE_23A_TITLE</v>
      </c>
      <c r="E28" s="11" t="s">
        <v>1916</v>
      </c>
      <c r="F28" s="11" t="s">
        <v>1917</v>
      </c>
      <c r="G28" s="8" t="s">
        <v>1919</v>
      </c>
    </row>
    <row r="29" spans="1:7" ht="16.5" customHeight="1">
      <c r="A29" s="11" t="s">
        <v>1730</v>
      </c>
      <c r="B29" s="10" t="s">
        <v>1922</v>
      </c>
      <c r="C29" s="10"/>
      <c r="D29" s="11" t="str">
        <f t="shared" si="0"/>
        <v>NODE_23B_TITLE</v>
      </c>
      <c r="E29" s="11" t="s">
        <v>1925</v>
      </c>
      <c r="F29" s="11" t="s">
        <v>1927</v>
      </c>
      <c r="G29" s="8" t="s">
        <v>1929</v>
      </c>
    </row>
    <row r="30" spans="1:7" ht="16.5" customHeight="1">
      <c r="A30" s="11" t="s">
        <v>1730</v>
      </c>
      <c r="B30" s="10" t="s">
        <v>1930</v>
      </c>
      <c r="C30" s="10"/>
      <c r="D30" s="11" t="str">
        <f t="shared" si="0"/>
        <v>NODE_24A_TITLE</v>
      </c>
      <c r="E30" s="11" t="s">
        <v>1931</v>
      </c>
      <c r="F30" s="11" t="s">
        <v>1932</v>
      </c>
      <c r="G30" s="8" t="s">
        <v>1933</v>
      </c>
    </row>
    <row r="31" spans="1:7" ht="16.5" customHeight="1">
      <c r="A31" s="11" t="s">
        <v>1730</v>
      </c>
      <c r="B31" s="10" t="s">
        <v>1934</v>
      </c>
      <c r="C31" s="10"/>
      <c r="D31" s="11" t="str">
        <f t="shared" si="0"/>
        <v>NODE_24B_TITLE</v>
      </c>
      <c r="E31" s="11" t="s">
        <v>1935</v>
      </c>
      <c r="F31" s="11" t="s">
        <v>1936</v>
      </c>
      <c r="G31" s="8" t="s">
        <v>1937</v>
      </c>
    </row>
    <row r="32" spans="1:7" ht="16.5" customHeight="1">
      <c r="A32" s="11" t="s">
        <v>1730</v>
      </c>
      <c r="B32" s="10" t="s">
        <v>1938</v>
      </c>
      <c r="C32" s="10"/>
      <c r="D32" s="11" t="str">
        <f t="shared" si="0"/>
        <v>NODE_25_TITLE</v>
      </c>
      <c r="E32" s="11" t="s">
        <v>1939</v>
      </c>
      <c r="F32" s="11" t="s">
        <v>1941</v>
      </c>
      <c r="G32" s="8" t="s">
        <v>1943</v>
      </c>
    </row>
    <row r="33" spans="1:7" ht="16.5" customHeight="1">
      <c r="A33" s="11" t="s">
        <v>1730</v>
      </c>
      <c r="B33" s="10" t="s">
        <v>1945</v>
      </c>
      <c r="C33" s="10"/>
      <c r="D33" s="11" t="str">
        <f t="shared" si="0"/>
        <v>NODE_26_TITLE</v>
      </c>
      <c r="E33" s="11" t="s">
        <v>1946</v>
      </c>
      <c r="F33" s="11" t="s">
        <v>1947</v>
      </c>
      <c r="G33" s="8" t="s">
        <v>1948</v>
      </c>
    </row>
    <row r="34" spans="1:7" ht="16.5" customHeight="1">
      <c r="A34" s="11" t="s">
        <v>1730</v>
      </c>
      <c r="B34" s="10" t="s">
        <v>1949</v>
      </c>
      <c r="C34" s="10"/>
      <c r="D34" s="11" t="str">
        <f t="shared" si="0"/>
        <v>NODE_27_TITLE</v>
      </c>
      <c r="E34" s="11" t="s">
        <v>1950</v>
      </c>
      <c r="F34" s="11" t="s">
        <v>1951</v>
      </c>
      <c r="G34" s="8" t="s">
        <v>1952</v>
      </c>
    </row>
    <row r="35" spans="1:7" ht="16.5" customHeight="1">
      <c r="A35" s="11" t="s">
        <v>1730</v>
      </c>
      <c r="B35" s="10" t="s">
        <v>1953</v>
      </c>
      <c r="C35" s="10"/>
      <c r="D35" s="11" t="str">
        <f t="shared" si="0"/>
        <v>NODE_28_TITLE</v>
      </c>
      <c r="E35" s="11" t="s">
        <v>1954</v>
      </c>
      <c r="F35" s="11" t="s">
        <v>1955</v>
      </c>
      <c r="G35" s="8" t="s">
        <v>1956</v>
      </c>
    </row>
    <row r="36" spans="1:7" ht="16.5" customHeight="1">
      <c r="A36" s="11" t="s">
        <v>1730</v>
      </c>
      <c r="B36" s="10" t="s">
        <v>1957</v>
      </c>
      <c r="C36" s="10"/>
      <c r="D36" s="11" t="str">
        <f t="shared" si="0"/>
        <v>NODE_29_TITLE</v>
      </c>
      <c r="E36" s="11" t="s">
        <v>1958</v>
      </c>
      <c r="F36" s="11" t="s">
        <v>1959</v>
      </c>
      <c r="G36" s="8" t="s">
        <v>1960</v>
      </c>
    </row>
    <row r="37" spans="1:7" ht="16.5" customHeight="1">
      <c r="A37" s="11" t="s">
        <v>1730</v>
      </c>
      <c r="B37" s="10" t="s">
        <v>1961</v>
      </c>
      <c r="C37" s="10"/>
      <c r="D37" s="11" t="str">
        <f t="shared" si="0"/>
        <v>NODE_30A_TITLE</v>
      </c>
      <c r="E37" s="11" t="s">
        <v>1522</v>
      </c>
      <c r="F37" s="11" t="s">
        <v>1524</v>
      </c>
      <c r="G37" s="8" t="s">
        <v>1525</v>
      </c>
    </row>
    <row r="38" spans="1:7" ht="16.5" customHeight="1">
      <c r="A38" s="11" t="s">
        <v>1730</v>
      </c>
      <c r="B38" s="10" t="s">
        <v>1965</v>
      </c>
      <c r="C38" s="10"/>
      <c r="D38" s="11" t="str">
        <f t="shared" si="0"/>
        <v>NODE_30B_TITLE</v>
      </c>
      <c r="E38" s="11" t="s">
        <v>1966</v>
      </c>
      <c r="F38" s="11" t="s">
        <v>1967</v>
      </c>
      <c r="G38" s="8" t="s">
        <v>1968</v>
      </c>
    </row>
    <row r="39" spans="1:7" ht="16.5" customHeight="1">
      <c r="A39" s="11" t="s">
        <v>1730</v>
      </c>
      <c r="B39" s="10" t="s">
        <v>1969</v>
      </c>
      <c r="C39" s="10"/>
      <c r="D39" s="11" t="str">
        <f t="shared" si="0"/>
        <v>NODE_30C_TITLE</v>
      </c>
      <c r="E39" s="11" t="s">
        <v>1970</v>
      </c>
      <c r="F39" s="11" t="s">
        <v>1971</v>
      </c>
      <c r="G39" s="8" t="s">
        <v>1972</v>
      </c>
    </row>
    <row r="40" spans="1:7" ht="16.5" customHeight="1">
      <c r="A40" s="11" t="s">
        <v>1730</v>
      </c>
      <c r="B40" s="10" t="s">
        <v>1973</v>
      </c>
      <c r="C40" s="10"/>
      <c r="D40" s="11" t="str">
        <f t="shared" si="0"/>
        <v>NODE_31_TITLE</v>
      </c>
      <c r="E40" s="21" t="s">
        <v>1974</v>
      </c>
      <c r="F40" s="11" t="s">
        <v>1975</v>
      </c>
      <c r="G40" s="8" t="s">
        <v>1976</v>
      </c>
    </row>
    <row r="41" spans="1:7" ht="16.5" customHeight="1">
      <c r="A41" s="11" t="s">
        <v>1977</v>
      </c>
      <c r="B41" s="10" t="s">
        <v>1734</v>
      </c>
      <c r="C41" s="10"/>
      <c r="D41" s="11" t="str">
        <f t="shared" ref="D41:D78" si="1">UPPER(B41)&amp;"_DESC"</f>
        <v>NODE_1_DESC</v>
      </c>
      <c r="E41" s="21" t="s">
        <v>1981</v>
      </c>
      <c r="F41" s="11" t="s">
        <v>1982</v>
      </c>
      <c r="G41" s="8" t="s">
        <v>1983</v>
      </c>
    </row>
    <row r="42" spans="1:7" ht="16.5" customHeight="1">
      <c r="A42" s="11" t="s">
        <v>1977</v>
      </c>
      <c r="B42" s="10" t="s">
        <v>1746</v>
      </c>
      <c r="C42" s="10"/>
      <c r="D42" s="11" t="str">
        <f t="shared" si="1"/>
        <v>NODE_2_DESC</v>
      </c>
      <c r="E42" s="11" t="s">
        <v>1984</v>
      </c>
      <c r="F42" s="11" t="s">
        <v>1985</v>
      </c>
      <c r="G42" s="8" t="s">
        <v>1986</v>
      </c>
    </row>
    <row r="43" spans="1:7" ht="16.5" customHeight="1">
      <c r="A43" s="11" t="s">
        <v>1977</v>
      </c>
      <c r="B43" s="10" t="s">
        <v>1754</v>
      </c>
      <c r="C43" s="10"/>
      <c r="D43" s="11" t="str">
        <f t="shared" si="1"/>
        <v>NODE_3_DESC</v>
      </c>
      <c r="E43" s="21" t="s">
        <v>1987</v>
      </c>
      <c r="F43" s="11" t="s">
        <v>1989</v>
      </c>
      <c r="G43" s="8" t="s">
        <v>1991</v>
      </c>
    </row>
    <row r="44" spans="1:7" ht="16.5" customHeight="1">
      <c r="A44" s="11" t="s">
        <v>1977</v>
      </c>
      <c r="B44" s="10" t="s">
        <v>1760</v>
      </c>
      <c r="C44" s="10"/>
      <c r="D44" s="11" t="str">
        <f t="shared" si="1"/>
        <v>NODE_4_DESC</v>
      </c>
      <c r="E44" s="11" t="s">
        <v>1993</v>
      </c>
      <c r="F44" s="11" t="s">
        <v>1994</v>
      </c>
      <c r="G44" s="8" t="s">
        <v>1995</v>
      </c>
    </row>
    <row r="45" spans="1:7" ht="16.5" customHeight="1">
      <c r="A45" s="11" t="s">
        <v>1977</v>
      </c>
      <c r="B45" s="10" t="s">
        <v>1766</v>
      </c>
      <c r="C45" s="10"/>
      <c r="D45" s="11" t="str">
        <f t="shared" si="1"/>
        <v>NODE_5_DESC</v>
      </c>
      <c r="E45" s="11" t="s">
        <v>1996</v>
      </c>
      <c r="F45" s="11" t="s">
        <v>1997</v>
      </c>
      <c r="G45" s="8" t="s">
        <v>1998</v>
      </c>
    </row>
    <row r="46" spans="1:7" ht="16.5" customHeight="1">
      <c r="A46" s="11" t="s">
        <v>1977</v>
      </c>
      <c r="B46" s="10" t="s">
        <v>1775</v>
      </c>
      <c r="C46" s="10"/>
      <c r="D46" s="11" t="str">
        <f t="shared" si="1"/>
        <v>NODE_6_DESC</v>
      </c>
      <c r="E46" s="11" t="s">
        <v>1999</v>
      </c>
      <c r="F46" s="11" t="s">
        <v>2000</v>
      </c>
      <c r="G46" s="8" t="s">
        <v>2001</v>
      </c>
    </row>
    <row r="47" spans="1:7" ht="16.5" customHeight="1">
      <c r="A47" s="11" t="s">
        <v>1977</v>
      </c>
      <c r="B47" s="10" t="s">
        <v>1782</v>
      </c>
      <c r="C47" s="10"/>
      <c r="D47" s="11" t="str">
        <f t="shared" si="1"/>
        <v>NODE_7_DESC</v>
      </c>
      <c r="E47" s="11" t="s">
        <v>2004</v>
      </c>
      <c r="F47" s="11" t="s">
        <v>2006</v>
      </c>
      <c r="G47" s="8" t="s">
        <v>2007</v>
      </c>
    </row>
    <row r="48" spans="1:7" ht="16.5" customHeight="1">
      <c r="A48" s="11" t="s">
        <v>1977</v>
      </c>
      <c r="B48" s="10" t="s">
        <v>1789</v>
      </c>
      <c r="C48" s="10"/>
      <c r="D48" s="11" t="str">
        <f t="shared" si="1"/>
        <v>NODE_8_DESC</v>
      </c>
      <c r="E48" s="11" t="s">
        <v>2008</v>
      </c>
      <c r="F48" s="11" t="s">
        <v>2009</v>
      </c>
      <c r="G48" s="8" t="s">
        <v>2010</v>
      </c>
    </row>
    <row r="49" spans="1:7" ht="16.5" customHeight="1">
      <c r="A49" s="11" t="s">
        <v>1977</v>
      </c>
      <c r="B49" s="10" t="s">
        <v>1797</v>
      </c>
      <c r="C49" s="10"/>
      <c r="D49" s="11" t="str">
        <f t="shared" si="1"/>
        <v>NODE_9_DESC</v>
      </c>
      <c r="E49" s="11" t="s">
        <v>2011</v>
      </c>
      <c r="F49" s="11" t="s">
        <v>2012</v>
      </c>
      <c r="G49" s="8" t="s">
        <v>2013</v>
      </c>
    </row>
    <row r="50" spans="1:7" ht="16.5" customHeight="1">
      <c r="A50" s="11" t="s">
        <v>1977</v>
      </c>
      <c r="B50" s="10" t="s">
        <v>1802</v>
      </c>
      <c r="C50" s="10"/>
      <c r="D50" s="11" t="str">
        <f t="shared" si="1"/>
        <v>NODE_10_DESC</v>
      </c>
      <c r="E50" s="11" t="s">
        <v>2017</v>
      </c>
      <c r="F50" s="11" t="s">
        <v>2018</v>
      </c>
      <c r="G50" s="8" t="s">
        <v>2019</v>
      </c>
    </row>
    <row r="51" spans="1:7" ht="16.5" customHeight="1">
      <c r="A51" s="11" t="s">
        <v>1977</v>
      </c>
      <c r="B51" s="10" t="s">
        <v>1809</v>
      </c>
      <c r="C51" s="10"/>
      <c r="D51" s="11" t="str">
        <f t="shared" si="1"/>
        <v>NODE_11_DESC</v>
      </c>
      <c r="E51" s="11" t="s">
        <v>2020</v>
      </c>
      <c r="F51" s="11" t="s">
        <v>2022</v>
      </c>
      <c r="G51" s="8" t="s">
        <v>2025</v>
      </c>
    </row>
    <row r="52" spans="1:7" ht="16.5" customHeight="1">
      <c r="A52" s="11" t="s">
        <v>1977</v>
      </c>
      <c r="B52" s="10" t="s">
        <v>1817</v>
      </c>
      <c r="C52" s="10"/>
      <c r="D52" s="11" t="str">
        <f t="shared" si="1"/>
        <v>NODE_12A_DESC</v>
      </c>
      <c r="E52" s="11" t="s">
        <v>2026</v>
      </c>
      <c r="F52" s="11" t="s">
        <v>2027</v>
      </c>
      <c r="G52" s="8" t="s">
        <v>2028</v>
      </c>
    </row>
    <row r="53" spans="1:7" ht="16.5" customHeight="1">
      <c r="A53" s="11" t="s">
        <v>1977</v>
      </c>
      <c r="B53" s="10" t="s">
        <v>1822</v>
      </c>
      <c r="C53" s="10"/>
      <c r="D53" s="11" t="str">
        <f t="shared" si="1"/>
        <v>NODE_12B_DESC</v>
      </c>
      <c r="E53" s="11" t="s">
        <v>2029</v>
      </c>
      <c r="F53" s="11" t="s">
        <v>2030</v>
      </c>
      <c r="G53" s="8" t="s">
        <v>2031</v>
      </c>
    </row>
    <row r="54" spans="1:7" ht="16.5" customHeight="1">
      <c r="A54" s="11" t="s">
        <v>1977</v>
      </c>
      <c r="B54" s="10" t="s">
        <v>1829</v>
      </c>
      <c r="C54" s="10"/>
      <c r="D54" s="11" t="str">
        <f t="shared" si="1"/>
        <v>NODE_13_DESC</v>
      </c>
      <c r="E54" s="11" t="s">
        <v>2035</v>
      </c>
      <c r="F54" s="11" t="s">
        <v>2036</v>
      </c>
      <c r="G54" s="8" t="s">
        <v>2037</v>
      </c>
    </row>
    <row r="55" spans="1:7" ht="16.5" customHeight="1">
      <c r="A55" s="11" t="s">
        <v>1977</v>
      </c>
      <c r="B55" s="10" t="s">
        <v>1837</v>
      </c>
      <c r="C55" s="10"/>
      <c r="D55" s="11" t="str">
        <f t="shared" si="1"/>
        <v>NODE_14_DESC</v>
      </c>
      <c r="E55" s="11" t="s">
        <v>2038</v>
      </c>
      <c r="F55" s="11" t="s">
        <v>2039</v>
      </c>
      <c r="G55" s="8" t="s">
        <v>2040</v>
      </c>
    </row>
    <row r="56" spans="1:7" ht="16.5" customHeight="1">
      <c r="A56" s="11" t="s">
        <v>1977</v>
      </c>
      <c r="B56" s="10" t="s">
        <v>1844</v>
      </c>
      <c r="C56" s="10"/>
      <c r="D56" s="11" t="str">
        <f t="shared" si="1"/>
        <v>NODE_15_DESC</v>
      </c>
      <c r="E56" s="11" t="s">
        <v>2041</v>
      </c>
      <c r="F56" s="11" t="s">
        <v>2042</v>
      </c>
      <c r="G56" s="8" t="s">
        <v>2043</v>
      </c>
    </row>
    <row r="57" spans="1:7" ht="16.5" customHeight="1">
      <c r="A57" s="11" t="s">
        <v>1977</v>
      </c>
      <c r="B57" s="10" t="s">
        <v>1852</v>
      </c>
      <c r="C57" s="10"/>
      <c r="D57" s="11" t="str">
        <f t="shared" si="1"/>
        <v>NODE_16_DESC</v>
      </c>
      <c r="E57" s="11" t="s">
        <v>2047</v>
      </c>
      <c r="F57" s="11" t="s">
        <v>2048</v>
      </c>
      <c r="G57" s="8" t="s">
        <v>2049</v>
      </c>
    </row>
    <row r="58" spans="1:7" ht="16.5" customHeight="1">
      <c r="A58" s="11" t="s">
        <v>1977</v>
      </c>
      <c r="B58" s="10" t="s">
        <v>1856</v>
      </c>
      <c r="C58" s="10"/>
      <c r="D58" s="11" t="str">
        <f t="shared" si="1"/>
        <v>NODE_17_DESC</v>
      </c>
      <c r="E58" s="11" t="s">
        <v>2050</v>
      </c>
      <c r="F58" s="11" t="s">
        <v>2051</v>
      </c>
      <c r="G58" s="8" t="s">
        <v>2052</v>
      </c>
    </row>
    <row r="59" spans="1:7" ht="16.5" customHeight="1">
      <c r="A59" s="11" t="s">
        <v>1977</v>
      </c>
      <c r="B59" s="10" t="s">
        <v>1864</v>
      </c>
      <c r="C59" s="10"/>
      <c r="D59" s="11" t="str">
        <f t="shared" si="1"/>
        <v>NODE_18_DESC</v>
      </c>
      <c r="E59" s="11" t="s">
        <v>2053</v>
      </c>
      <c r="F59" s="11" t="s">
        <v>2054</v>
      </c>
      <c r="G59" s="8" t="s">
        <v>2055</v>
      </c>
    </row>
    <row r="60" spans="1:7" ht="16.5" customHeight="1">
      <c r="A60" s="11" t="s">
        <v>1977</v>
      </c>
      <c r="B60" s="10" t="s">
        <v>1869</v>
      </c>
      <c r="C60" s="10"/>
      <c r="D60" s="11" t="str">
        <f t="shared" si="1"/>
        <v>NODE_19A_DESC</v>
      </c>
      <c r="E60" s="11" t="s">
        <v>2056</v>
      </c>
      <c r="F60" s="11" t="s">
        <v>2057</v>
      </c>
      <c r="G60" s="8" t="s">
        <v>2058</v>
      </c>
    </row>
    <row r="61" spans="1:7" ht="16.5" customHeight="1">
      <c r="A61" s="11" t="s">
        <v>1977</v>
      </c>
      <c r="B61" s="10" t="s">
        <v>1877</v>
      </c>
      <c r="C61" s="10"/>
      <c r="D61" s="11" t="str">
        <f t="shared" si="1"/>
        <v>NODE_19B_DESC</v>
      </c>
      <c r="E61" s="11" t="s">
        <v>2059</v>
      </c>
      <c r="F61" s="11" t="s">
        <v>2060</v>
      </c>
      <c r="G61" s="8" t="s">
        <v>2061</v>
      </c>
    </row>
    <row r="62" spans="1:7" ht="16.5" customHeight="1">
      <c r="A62" s="11" t="s">
        <v>1977</v>
      </c>
      <c r="B62" s="10" t="s">
        <v>1886</v>
      </c>
      <c r="C62" s="10"/>
      <c r="D62" s="11" t="str">
        <f t="shared" si="1"/>
        <v>NODE_20_DESC</v>
      </c>
      <c r="E62" s="11" t="s">
        <v>2062</v>
      </c>
      <c r="F62" s="11" t="s">
        <v>2063</v>
      </c>
      <c r="G62" s="8" t="s">
        <v>2065</v>
      </c>
    </row>
    <row r="63" spans="1:7" ht="16.5" customHeight="1">
      <c r="A63" s="11" t="s">
        <v>1977</v>
      </c>
      <c r="B63" s="10" t="s">
        <v>1892</v>
      </c>
      <c r="C63" s="10"/>
      <c r="D63" s="11" t="str">
        <f t="shared" si="1"/>
        <v>NODE_21A_DESC</v>
      </c>
      <c r="E63" s="11" t="s">
        <v>2068</v>
      </c>
      <c r="F63" s="11" t="s">
        <v>2069</v>
      </c>
      <c r="G63" s="8" t="s">
        <v>2070</v>
      </c>
    </row>
    <row r="64" spans="1:7" ht="16.5" customHeight="1">
      <c r="A64" s="11" t="s">
        <v>1977</v>
      </c>
      <c r="B64" s="10" t="s">
        <v>1903</v>
      </c>
      <c r="C64" s="10"/>
      <c r="D64" s="11" t="str">
        <f t="shared" si="1"/>
        <v>NODE_21B_DESC</v>
      </c>
      <c r="E64" s="11" t="s">
        <v>2071</v>
      </c>
      <c r="F64" s="11" t="s">
        <v>2072</v>
      </c>
      <c r="G64" s="8" t="s">
        <v>2073</v>
      </c>
    </row>
    <row r="65" spans="1:7" ht="16.5" customHeight="1">
      <c r="A65" s="11" t="s">
        <v>1977</v>
      </c>
      <c r="B65" s="10" t="s">
        <v>1908</v>
      </c>
      <c r="C65" s="10"/>
      <c r="D65" s="11" t="str">
        <f t="shared" si="1"/>
        <v>NODE_22_DESC</v>
      </c>
      <c r="E65" s="11" t="s">
        <v>2074</v>
      </c>
      <c r="F65" s="11" t="s">
        <v>2075</v>
      </c>
      <c r="G65" s="8" t="s">
        <v>2076</v>
      </c>
    </row>
    <row r="66" spans="1:7" ht="16.5" customHeight="1">
      <c r="A66" s="11" t="s">
        <v>1977</v>
      </c>
      <c r="B66" s="10" t="s">
        <v>1915</v>
      </c>
      <c r="C66" s="10"/>
      <c r="D66" s="11" t="str">
        <f t="shared" si="1"/>
        <v>NODE_23A_DESC</v>
      </c>
      <c r="E66" s="11" t="s">
        <v>2079</v>
      </c>
      <c r="F66" s="11" t="s">
        <v>2081</v>
      </c>
      <c r="G66" s="8" t="s">
        <v>2082</v>
      </c>
    </row>
    <row r="67" spans="1:7" ht="16.5" customHeight="1">
      <c r="A67" s="11" t="s">
        <v>1977</v>
      </c>
      <c r="B67" s="10" t="s">
        <v>1922</v>
      </c>
      <c r="C67" s="10"/>
      <c r="D67" s="11" t="str">
        <f t="shared" si="1"/>
        <v>NODE_23B_DESC</v>
      </c>
      <c r="E67" s="11" t="s">
        <v>2083</v>
      </c>
      <c r="F67" s="11" t="s">
        <v>2084</v>
      </c>
      <c r="G67" s="8" t="s">
        <v>2085</v>
      </c>
    </row>
    <row r="68" spans="1:7" ht="16.5" customHeight="1">
      <c r="A68" s="11" t="s">
        <v>1977</v>
      </c>
      <c r="B68" s="10" t="s">
        <v>1930</v>
      </c>
      <c r="C68" s="10"/>
      <c r="D68" s="11" t="str">
        <f t="shared" si="1"/>
        <v>NODE_24A_DESC</v>
      </c>
      <c r="E68" s="11" t="s">
        <v>2086</v>
      </c>
      <c r="F68" s="11" t="s">
        <v>2087</v>
      </c>
      <c r="G68" s="8" t="s">
        <v>2088</v>
      </c>
    </row>
    <row r="69" spans="1:7" ht="16.5" customHeight="1">
      <c r="A69" s="11" t="s">
        <v>1977</v>
      </c>
      <c r="B69" s="10" t="s">
        <v>1934</v>
      </c>
      <c r="C69" s="10"/>
      <c r="D69" s="11" t="str">
        <f t="shared" si="1"/>
        <v>NODE_24B_DESC</v>
      </c>
      <c r="E69" s="11" t="s">
        <v>2089</v>
      </c>
      <c r="F69" s="11" t="s">
        <v>2090</v>
      </c>
      <c r="G69" s="8" t="s">
        <v>2091</v>
      </c>
    </row>
    <row r="70" spans="1:7" ht="16.5" customHeight="1">
      <c r="A70" s="11" t="s">
        <v>1977</v>
      </c>
      <c r="B70" s="10" t="s">
        <v>1938</v>
      </c>
      <c r="C70" s="10"/>
      <c r="D70" s="11" t="str">
        <f t="shared" si="1"/>
        <v>NODE_25_DESC</v>
      </c>
      <c r="E70" s="11" t="s">
        <v>2095</v>
      </c>
      <c r="F70" s="11" t="s">
        <v>2096</v>
      </c>
      <c r="G70" s="8" t="s">
        <v>2097</v>
      </c>
    </row>
    <row r="71" spans="1:7" ht="16.5" customHeight="1">
      <c r="A71" s="11" t="s">
        <v>1977</v>
      </c>
      <c r="B71" s="10" t="s">
        <v>1945</v>
      </c>
      <c r="C71" s="10"/>
      <c r="D71" s="11" t="str">
        <f t="shared" si="1"/>
        <v>NODE_26_DESC</v>
      </c>
      <c r="E71" s="11" t="s">
        <v>2098</v>
      </c>
      <c r="F71" s="11" t="s">
        <v>2099</v>
      </c>
      <c r="G71" s="8" t="s">
        <v>2100</v>
      </c>
    </row>
    <row r="72" spans="1:7" ht="16.5" customHeight="1">
      <c r="A72" s="11" t="s">
        <v>1977</v>
      </c>
      <c r="B72" s="10" t="s">
        <v>1949</v>
      </c>
      <c r="C72" s="10"/>
      <c r="D72" s="11" t="str">
        <f t="shared" si="1"/>
        <v>NODE_27_DESC</v>
      </c>
      <c r="E72" s="11" t="s">
        <v>2101</v>
      </c>
      <c r="F72" s="11" t="s">
        <v>2102</v>
      </c>
      <c r="G72" s="8" t="s">
        <v>2103</v>
      </c>
    </row>
    <row r="73" spans="1:7" ht="16.5" customHeight="1">
      <c r="A73" s="11" t="s">
        <v>1977</v>
      </c>
      <c r="B73" s="10" t="s">
        <v>1953</v>
      </c>
      <c r="C73" s="10"/>
      <c r="D73" s="11" t="str">
        <f t="shared" si="1"/>
        <v>NODE_28_DESC</v>
      </c>
      <c r="E73" s="11" t="s">
        <v>2107</v>
      </c>
      <c r="F73" s="11" t="s">
        <v>2108</v>
      </c>
      <c r="G73" s="8" t="s">
        <v>2109</v>
      </c>
    </row>
    <row r="74" spans="1:7" ht="16.5" customHeight="1">
      <c r="A74" s="11" t="s">
        <v>1977</v>
      </c>
      <c r="B74" s="10" t="s">
        <v>1957</v>
      </c>
      <c r="C74" s="10"/>
      <c r="D74" s="11" t="str">
        <f t="shared" si="1"/>
        <v>NODE_29_DESC</v>
      </c>
      <c r="E74" s="11" t="s">
        <v>2110</v>
      </c>
      <c r="F74" s="11" t="s">
        <v>2111</v>
      </c>
      <c r="G74" s="8" t="s">
        <v>2112</v>
      </c>
    </row>
    <row r="75" spans="1:7" ht="16.5" customHeight="1">
      <c r="A75" s="11" t="s">
        <v>1977</v>
      </c>
      <c r="B75" s="10" t="s">
        <v>1961</v>
      </c>
      <c r="C75" s="10"/>
      <c r="D75" s="11" t="str">
        <f t="shared" si="1"/>
        <v>NODE_30A_DESC</v>
      </c>
      <c r="E75" s="11" t="s">
        <v>2113</v>
      </c>
      <c r="F75" s="11" t="s">
        <v>2114</v>
      </c>
      <c r="G75" s="8" t="s">
        <v>2115</v>
      </c>
    </row>
    <row r="76" spans="1:7" ht="16.5" customHeight="1">
      <c r="A76" s="11" t="s">
        <v>1977</v>
      </c>
      <c r="B76" s="10" t="s">
        <v>1965</v>
      </c>
      <c r="C76" s="10"/>
      <c r="D76" s="11" t="str">
        <f t="shared" si="1"/>
        <v>NODE_30B_DESC</v>
      </c>
      <c r="E76" s="11" t="s">
        <v>2116</v>
      </c>
      <c r="F76" s="11" t="s">
        <v>2118</v>
      </c>
      <c r="G76" s="8" t="s">
        <v>2120</v>
      </c>
    </row>
    <row r="77" spans="1:7" ht="16.5" customHeight="1">
      <c r="A77" s="11" t="s">
        <v>1977</v>
      </c>
      <c r="B77" s="10" t="s">
        <v>1969</v>
      </c>
      <c r="C77" s="10"/>
      <c r="D77" s="11" t="str">
        <f t="shared" si="1"/>
        <v>NODE_30C_DESC</v>
      </c>
      <c r="E77" s="11" t="s">
        <v>2122</v>
      </c>
      <c r="F77" s="11" t="s">
        <v>2123</v>
      </c>
      <c r="G77" s="8" t="s">
        <v>2124</v>
      </c>
    </row>
    <row r="78" spans="1:7" ht="16.5" customHeight="1">
      <c r="A78" s="11" t="s">
        <v>1977</v>
      </c>
      <c r="B78" s="10" t="s">
        <v>1973</v>
      </c>
      <c r="C78" s="10"/>
      <c r="D78" s="11" t="str">
        <f t="shared" si="1"/>
        <v>NODE_31_DESC</v>
      </c>
      <c r="E78" s="11" t="s">
        <v>2125</v>
      </c>
      <c r="F78" s="11" t="s">
        <v>2126</v>
      </c>
      <c r="G78" s="8" t="s">
        <v>2127</v>
      </c>
    </row>
    <row r="79" spans="1:7" ht="16.5" customHeight="1">
      <c r="A79" s="11" t="s">
        <v>2128</v>
      </c>
      <c r="B79" s="22" t="s">
        <v>1734</v>
      </c>
      <c r="C79" s="22">
        <v>1</v>
      </c>
      <c r="D79" s="11" t="str">
        <f t="shared" ref="D79:D102" si="2">UPPER(B79)&amp;"_CHOICE_"&amp;C79</f>
        <v>NODE_1_CHOICE_1</v>
      </c>
      <c r="E79" s="11"/>
      <c r="F79" s="11"/>
      <c r="G79" s="18"/>
    </row>
    <row r="80" spans="1:7" ht="16.5" customHeight="1">
      <c r="A80" s="11" t="s">
        <v>2128</v>
      </c>
      <c r="B80" s="22" t="s">
        <v>1734</v>
      </c>
      <c r="C80" s="22">
        <v>2</v>
      </c>
      <c r="D80" s="11" t="str">
        <f t="shared" si="2"/>
        <v>NODE_1_CHOICE_2</v>
      </c>
      <c r="E80" s="11"/>
      <c r="F80" s="11"/>
      <c r="G80" s="18"/>
    </row>
    <row r="81" spans="1:7" ht="16.5" customHeight="1">
      <c r="A81" s="11" t="s">
        <v>2128</v>
      </c>
      <c r="B81" s="22" t="s">
        <v>1766</v>
      </c>
      <c r="C81" s="22">
        <v>1</v>
      </c>
      <c r="D81" s="11" t="str">
        <f t="shared" si="2"/>
        <v>NODE_5_CHOICE_1</v>
      </c>
      <c r="E81" s="11"/>
      <c r="F81" s="11"/>
      <c r="G81" s="18"/>
    </row>
    <row r="82" spans="1:7" ht="16.5" customHeight="1">
      <c r="A82" s="11" t="s">
        <v>2128</v>
      </c>
      <c r="B82" s="22" t="s">
        <v>1766</v>
      </c>
      <c r="C82" s="22">
        <v>2</v>
      </c>
      <c r="D82" s="11" t="str">
        <f t="shared" si="2"/>
        <v>NODE_5_CHOICE_2</v>
      </c>
      <c r="E82" s="11"/>
      <c r="F82" s="11"/>
      <c r="G82" s="18"/>
    </row>
    <row r="83" spans="1:7" ht="16.5" customHeight="1">
      <c r="A83" s="11" t="s">
        <v>2128</v>
      </c>
      <c r="B83" s="22" t="s">
        <v>1775</v>
      </c>
      <c r="C83" s="22">
        <v>1</v>
      </c>
      <c r="D83" s="11" t="str">
        <f t="shared" si="2"/>
        <v>NODE_6_CHOICE_1</v>
      </c>
      <c r="E83" s="11"/>
      <c r="F83" s="11"/>
      <c r="G83" s="18"/>
    </row>
    <row r="84" spans="1:7" ht="16.5" customHeight="1">
      <c r="A84" s="11" t="s">
        <v>2128</v>
      </c>
      <c r="B84" s="22" t="s">
        <v>1775</v>
      </c>
      <c r="C84" s="22">
        <v>2</v>
      </c>
      <c r="D84" s="11" t="str">
        <f t="shared" si="2"/>
        <v>NODE_6_CHOICE_2</v>
      </c>
      <c r="E84" s="11"/>
      <c r="F84" s="11"/>
      <c r="G84" s="18"/>
    </row>
    <row r="85" spans="1:7" ht="16.5" customHeight="1">
      <c r="A85" s="11" t="s">
        <v>2128</v>
      </c>
      <c r="B85" s="22" t="s">
        <v>1782</v>
      </c>
      <c r="C85" s="22">
        <v>1</v>
      </c>
      <c r="D85" s="11" t="str">
        <f t="shared" si="2"/>
        <v>NODE_7_CHOICE_1</v>
      </c>
      <c r="E85" s="11"/>
      <c r="F85" s="11"/>
      <c r="G85" s="18"/>
    </row>
    <row r="86" spans="1:7" ht="16.5" customHeight="1">
      <c r="A86" s="11" t="s">
        <v>2128</v>
      </c>
      <c r="B86" s="22" t="s">
        <v>1782</v>
      </c>
      <c r="C86" s="22">
        <v>2</v>
      </c>
      <c r="D86" s="11" t="str">
        <f t="shared" si="2"/>
        <v>NODE_7_CHOICE_2</v>
      </c>
      <c r="E86" s="11"/>
      <c r="F86" s="11"/>
      <c r="G86" s="18"/>
    </row>
    <row r="87" spans="1:7" ht="16.5" customHeight="1">
      <c r="A87" s="11" t="s">
        <v>2128</v>
      </c>
      <c r="B87" s="22" t="s">
        <v>1802</v>
      </c>
      <c r="C87" s="22">
        <v>1</v>
      </c>
      <c r="D87" s="11" t="str">
        <f t="shared" si="2"/>
        <v>NODE_10_CHOICE_1</v>
      </c>
      <c r="E87" s="11"/>
      <c r="F87" s="11"/>
      <c r="G87" s="18"/>
    </row>
    <row r="88" spans="1:7" ht="16.5" customHeight="1">
      <c r="A88" s="11" t="s">
        <v>2128</v>
      </c>
      <c r="B88" s="22" t="s">
        <v>1802</v>
      </c>
      <c r="C88" s="22">
        <v>2</v>
      </c>
      <c r="D88" s="11" t="str">
        <f t="shared" si="2"/>
        <v>NODE_10_CHOICE_2</v>
      </c>
      <c r="E88" s="11"/>
      <c r="F88" s="11"/>
      <c r="G88" s="18"/>
    </row>
    <row r="89" spans="1:7" ht="16.5" customHeight="1">
      <c r="A89" s="11" t="s">
        <v>2128</v>
      </c>
      <c r="B89" s="22" t="s">
        <v>1822</v>
      </c>
      <c r="C89" s="22">
        <v>1</v>
      </c>
      <c r="D89" s="11" t="str">
        <f t="shared" si="2"/>
        <v>NODE_12B_CHOICE_1</v>
      </c>
      <c r="E89" s="11"/>
      <c r="F89" s="11"/>
      <c r="G89" s="18"/>
    </row>
    <row r="90" spans="1:7" ht="16.5" customHeight="1">
      <c r="A90" s="11" t="s">
        <v>2128</v>
      </c>
      <c r="B90" s="22" t="s">
        <v>1822</v>
      </c>
      <c r="C90" s="22">
        <v>2</v>
      </c>
      <c r="D90" s="11" t="str">
        <f t="shared" si="2"/>
        <v>NODE_12B_CHOICE_2</v>
      </c>
      <c r="E90" s="11"/>
      <c r="F90" s="11"/>
      <c r="G90" s="18"/>
    </row>
    <row r="91" spans="1:7" ht="16.5" customHeight="1">
      <c r="A91" s="11" t="s">
        <v>2128</v>
      </c>
      <c r="B91" s="22" t="s">
        <v>1837</v>
      </c>
      <c r="C91" s="22">
        <v>1</v>
      </c>
      <c r="D91" s="11" t="str">
        <f t="shared" si="2"/>
        <v>NODE_14_CHOICE_1</v>
      </c>
      <c r="E91" s="11"/>
      <c r="F91" s="11"/>
      <c r="G91" s="18"/>
    </row>
    <row r="92" spans="1:7" ht="16.5" customHeight="1">
      <c r="A92" s="11" t="s">
        <v>2128</v>
      </c>
      <c r="B92" s="22" t="s">
        <v>1837</v>
      </c>
      <c r="C92" s="22">
        <v>2</v>
      </c>
      <c r="D92" s="11" t="str">
        <f t="shared" si="2"/>
        <v>NODE_14_CHOICE_2</v>
      </c>
      <c r="E92" s="11"/>
      <c r="F92" s="11"/>
      <c r="G92" s="18"/>
    </row>
    <row r="93" spans="1:7" ht="16.5" customHeight="1">
      <c r="A93" s="11" t="s">
        <v>2128</v>
      </c>
      <c r="B93" s="22" t="s">
        <v>1844</v>
      </c>
      <c r="C93" s="22">
        <v>1</v>
      </c>
      <c r="D93" s="11" t="str">
        <f t="shared" si="2"/>
        <v>NODE_15_CHOICE_1</v>
      </c>
      <c r="E93" s="11"/>
      <c r="F93" s="11"/>
      <c r="G93" s="18"/>
    </row>
    <row r="94" spans="1:7" ht="16.5" customHeight="1">
      <c r="A94" s="11" t="s">
        <v>2128</v>
      </c>
      <c r="B94" s="22" t="s">
        <v>1844</v>
      </c>
      <c r="C94" s="22">
        <v>2</v>
      </c>
      <c r="D94" s="11" t="str">
        <f t="shared" si="2"/>
        <v>NODE_15_CHOICE_2</v>
      </c>
      <c r="E94" s="11"/>
      <c r="F94" s="11"/>
      <c r="G94" s="18"/>
    </row>
    <row r="95" spans="1:7" ht="16.5" customHeight="1">
      <c r="A95" s="11" t="s">
        <v>2128</v>
      </c>
      <c r="B95" s="22" t="s">
        <v>1852</v>
      </c>
      <c r="C95" s="22">
        <v>1</v>
      </c>
      <c r="D95" s="11" t="str">
        <f t="shared" si="2"/>
        <v>NODE_16_CHOICE_1</v>
      </c>
      <c r="E95" s="21" t="s">
        <v>2145</v>
      </c>
      <c r="F95" s="11" t="s">
        <v>2146</v>
      </c>
      <c r="G95" s="8" t="s">
        <v>2148</v>
      </c>
    </row>
    <row r="96" spans="1:7" ht="16.5" customHeight="1">
      <c r="A96" s="11" t="s">
        <v>2128</v>
      </c>
      <c r="B96" s="22" t="s">
        <v>1852</v>
      </c>
      <c r="C96" s="22">
        <v>2</v>
      </c>
      <c r="D96" s="11" t="str">
        <f t="shared" si="2"/>
        <v>NODE_16_CHOICE_2</v>
      </c>
      <c r="E96" s="21" t="s">
        <v>2151</v>
      </c>
      <c r="F96" s="11" t="s">
        <v>2152</v>
      </c>
      <c r="G96" s="8" t="s">
        <v>2153</v>
      </c>
    </row>
    <row r="97" spans="1:7" ht="16.5" customHeight="1">
      <c r="A97" s="11" t="s">
        <v>2128</v>
      </c>
      <c r="B97" s="22" t="s">
        <v>1877</v>
      </c>
      <c r="C97" s="22">
        <v>1</v>
      </c>
      <c r="D97" s="11" t="str">
        <f t="shared" si="2"/>
        <v>NODE_19B_CHOICE_1</v>
      </c>
      <c r="E97" s="11"/>
      <c r="F97" s="11"/>
      <c r="G97" s="18"/>
    </row>
    <row r="98" spans="1:7" ht="16.5" customHeight="1">
      <c r="A98" s="11" t="s">
        <v>2128</v>
      </c>
      <c r="B98" s="22" t="s">
        <v>1877</v>
      </c>
      <c r="C98" s="22">
        <v>2</v>
      </c>
      <c r="D98" s="11" t="str">
        <f t="shared" si="2"/>
        <v>NODE_19B_CHOICE_2</v>
      </c>
      <c r="E98" s="11"/>
      <c r="F98" s="11"/>
      <c r="G98" s="18"/>
    </row>
    <row r="99" spans="1:7" ht="16.5" customHeight="1">
      <c r="A99" s="11" t="s">
        <v>2128</v>
      </c>
      <c r="B99" s="22" t="s">
        <v>1903</v>
      </c>
      <c r="C99" s="22">
        <v>1</v>
      </c>
      <c r="D99" s="11" t="str">
        <f t="shared" si="2"/>
        <v>NODE_21B_CHOICE_1</v>
      </c>
      <c r="E99" s="11"/>
      <c r="F99" s="11"/>
      <c r="G99" s="18"/>
    </row>
    <row r="100" spans="1:7" ht="16.5" customHeight="1">
      <c r="A100" s="11" t="s">
        <v>2128</v>
      </c>
      <c r="B100" s="22" t="s">
        <v>1903</v>
      </c>
      <c r="C100" s="22">
        <v>2</v>
      </c>
      <c r="D100" s="11" t="str">
        <f t="shared" si="2"/>
        <v>NODE_21B_CHOICE_2</v>
      </c>
      <c r="E100" s="11"/>
      <c r="F100" s="11"/>
      <c r="G100" s="18"/>
    </row>
    <row r="101" spans="1:7" ht="16.5" customHeight="1">
      <c r="A101" s="11" t="s">
        <v>2128</v>
      </c>
      <c r="B101" s="22" t="s">
        <v>1938</v>
      </c>
      <c r="C101" s="22">
        <v>1</v>
      </c>
      <c r="D101" s="11" t="str">
        <f t="shared" si="2"/>
        <v>NODE_25_CHOICE_1</v>
      </c>
      <c r="E101" s="11"/>
      <c r="F101" s="11"/>
      <c r="G101" s="18"/>
    </row>
    <row r="102" spans="1:7" ht="16.5" customHeight="1">
      <c r="A102" s="11" t="s">
        <v>2128</v>
      </c>
      <c r="B102" s="22" t="s">
        <v>1938</v>
      </c>
      <c r="C102" s="22">
        <v>2</v>
      </c>
      <c r="D102" s="11" t="str">
        <f t="shared" si="2"/>
        <v>NODE_25_CHOICE_2</v>
      </c>
      <c r="E102" s="11"/>
      <c r="F102" s="11"/>
      <c r="G102" s="18"/>
    </row>
    <row r="103" spans="1:7" ht="16.5" customHeight="1">
      <c r="A103" s="11" t="s">
        <v>2159</v>
      </c>
      <c r="B103" s="22" t="s">
        <v>1734</v>
      </c>
      <c r="C103" s="22">
        <v>1</v>
      </c>
      <c r="D103" s="11" t="str">
        <f t="shared" ref="D103:D126" si="3">UPPER(B103)&amp;"_CHOICE_"&amp;C103&amp;"_DESC"</f>
        <v>NODE_1_CHOICE_1_DESC</v>
      </c>
      <c r="E103" s="11" t="str">
        <f t="shared" ref="E103:E118" si="4">"선택"&amp;C103</f>
        <v>선택1</v>
      </c>
      <c r="F103" s="11" t="s">
        <v>2163</v>
      </c>
      <c r="G103" s="8" t="s">
        <v>2164</v>
      </c>
    </row>
    <row r="104" spans="1:7" ht="16.5" customHeight="1">
      <c r="A104" s="11" t="s">
        <v>2159</v>
      </c>
      <c r="B104" s="22" t="s">
        <v>1734</v>
      </c>
      <c r="C104" s="22">
        <v>2</v>
      </c>
      <c r="D104" s="11" t="str">
        <f t="shared" si="3"/>
        <v>NODE_1_CHOICE_2_DESC</v>
      </c>
      <c r="E104" s="11" t="str">
        <f t="shared" si="4"/>
        <v>선택2</v>
      </c>
      <c r="F104" s="11" t="s">
        <v>2165</v>
      </c>
      <c r="G104" s="8" t="s">
        <v>2166</v>
      </c>
    </row>
    <row r="105" spans="1:7" ht="16.5" customHeight="1">
      <c r="A105" s="11" t="s">
        <v>2159</v>
      </c>
      <c r="B105" s="22" t="s">
        <v>1766</v>
      </c>
      <c r="C105" s="22">
        <v>1</v>
      </c>
      <c r="D105" s="11" t="str">
        <f t="shared" si="3"/>
        <v>NODE_5_CHOICE_1_DESC</v>
      </c>
      <c r="E105" s="11" t="str">
        <f t="shared" si="4"/>
        <v>선택1</v>
      </c>
      <c r="F105" s="11" t="s">
        <v>2163</v>
      </c>
      <c r="G105" s="8" t="s">
        <v>2164</v>
      </c>
    </row>
    <row r="106" spans="1:7" ht="16.5" customHeight="1">
      <c r="A106" s="11" t="s">
        <v>2159</v>
      </c>
      <c r="B106" s="22" t="s">
        <v>1766</v>
      </c>
      <c r="C106" s="22">
        <v>2</v>
      </c>
      <c r="D106" s="11" t="str">
        <f t="shared" si="3"/>
        <v>NODE_5_CHOICE_2_DESC</v>
      </c>
      <c r="E106" s="11" t="str">
        <f t="shared" si="4"/>
        <v>선택2</v>
      </c>
      <c r="F106" s="11" t="s">
        <v>2165</v>
      </c>
      <c r="G106" s="8" t="s">
        <v>2166</v>
      </c>
    </row>
    <row r="107" spans="1:7" ht="16.5" customHeight="1">
      <c r="A107" s="11" t="s">
        <v>2159</v>
      </c>
      <c r="B107" s="22" t="s">
        <v>1775</v>
      </c>
      <c r="C107" s="22">
        <v>1</v>
      </c>
      <c r="D107" s="11" t="str">
        <f t="shared" si="3"/>
        <v>NODE_6_CHOICE_1_DESC</v>
      </c>
      <c r="E107" s="11" t="str">
        <f t="shared" si="4"/>
        <v>선택1</v>
      </c>
      <c r="F107" s="11" t="s">
        <v>2163</v>
      </c>
      <c r="G107" s="8" t="s">
        <v>2164</v>
      </c>
    </row>
    <row r="108" spans="1:7" ht="16.5" customHeight="1">
      <c r="A108" s="11" t="s">
        <v>2159</v>
      </c>
      <c r="B108" s="22" t="s">
        <v>1775</v>
      </c>
      <c r="C108" s="22">
        <v>2</v>
      </c>
      <c r="D108" s="11" t="str">
        <f t="shared" si="3"/>
        <v>NODE_6_CHOICE_2_DESC</v>
      </c>
      <c r="E108" s="11" t="str">
        <f t="shared" si="4"/>
        <v>선택2</v>
      </c>
      <c r="F108" s="11" t="s">
        <v>2165</v>
      </c>
      <c r="G108" s="8" t="s">
        <v>2166</v>
      </c>
    </row>
    <row r="109" spans="1:7" ht="16.5" customHeight="1">
      <c r="A109" s="11" t="s">
        <v>2159</v>
      </c>
      <c r="B109" s="22" t="s">
        <v>1782</v>
      </c>
      <c r="C109" s="22">
        <v>1</v>
      </c>
      <c r="D109" s="11" t="str">
        <f t="shared" si="3"/>
        <v>NODE_7_CHOICE_1_DESC</v>
      </c>
      <c r="E109" s="11" t="str">
        <f t="shared" si="4"/>
        <v>선택1</v>
      </c>
      <c r="F109" s="11" t="s">
        <v>2163</v>
      </c>
      <c r="G109" s="8" t="s">
        <v>2164</v>
      </c>
    </row>
    <row r="110" spans="1:7" ht="16.5" customHeight="1">
      <c r="A110" s="11" t="s">
        <v>2159</v>
      </c>
      <c r="B110" s="22" t="s">
        <v>1782</v>
      </c>
      <c r="C110" s="22">
        <v>2</v>
      </c>
      <c r="D110" s="11" t="str">
        <f t="shared" si="3"/>
        <v>NODE_7_CHOICE_2_DESC</v>
      </c>
      <c r="E110" s="11" t="str">
        <f t="shared" si="4"/>
        <v>선택2</v>
      </c>
      <c r="F110" s="11" t="s">
        <v>2165</v>
      </c>
      <c r="G110" s="8" t="s">
        <v>2166</v>
      </c>
    </row>
    <row r="111" spans="1:7" ht="16.5" customHeight="1">
      <c r="A111" s="11" t="s">
        <v>2159</v>
      </c>
      <c r="B111" s="22" t="s">
        <v>1802</v>
      </c>
      <c r="C111" s="22">
        <v>1</v>
      </c>
      <c r="D111" s="11" t="str">
        <f t="shared" si="3"/>
        <v>NODE_10_CHOICE_1_DESC</v>
      </c>
      <c r="E111" s="11" t="str">
        <f t="shared" si="4"/>
        <v>선택1</v>
      </c>
      <c r="F111" s="11" t="s">
        <v>2163</v>
      </c>
      <c r="G111" s="8" t="s">
        <v>2164</v>
      </c>
    </row>
    <row r="112" spans="1:7" ht="16.5" customHeight="1">
      <c r="A112" s="11" t="s">
        <v>2159</v>
      </c>
      <c r="B112" s="22" t="s">
        <v>1802</v>
      </c>
      <c r="C112" s="22">
        <v>2</v>
      </c>
      <c r="D112" s="11" t="str">
        <f t="shared" si="3"/>
        <v>NODE_10_CHOICE_2_DESC</v>
      </c>
      <c r="E112" s="11" t="str">
        <f t="shared" si="4"/>
        <v>선택2</v>
      </c>
      <c r="F112" s="11" t="s">
        <v>2165</v>
      </c>
      <c r="G112" s="8" t="s">
        <v>2166</v>
      </c>
    </row>
    <row r="113" spans="1:7" ht="16.5" customHeight="1">
      <c r="A113" s="11" t="s">
        <v>2159</v>
      </c>
      <c r="B113" s="22" t="s">
        <v>1822</v>
      </c>
      <c r="C113" s="22">
        <v>1</v>
      </c>
      <c r="D113" s="11" t="str">
        <f t="shared" si="3"/>
        <v>NODE_12B_CHOICE_1_DESC</v>
      </c>
      <c r="E113" s="11" t="str">
        <f t="shared" si="4"/>
        <v>선택1</v>
      </c>
      <c r="F113" s="11" t="s">
        <v>2163</v>
      </c>
      <c r="G113" s="8" t="s">
        <v>2164</v>
      </c>
    </row>
    <row r="114" spans="1:7" ht="16.5" customHeight="1">
      <c r="A114" s="11" t="s">
        <v>2159</v>
      </c>
      <c r="B114" s="22" t="s">
        <v>1822</v>
      </c>
      <c r="C114" s="22">
        <v>2</v>
      </c>
      <c r="D114" s="11" t="str">
        <f t="shared" si="3"/>
        <v>NODE_12B_CHOICE_2_DESC</v>
      </c>
      <c r="E114" s="11" t="str">
        <f t="shared" si="4"/>
        <v>선택2</v>
      </c>
      <c r="F114" s="11" t="s">
        <v>2165</v>
      </c>
      <c r="G114" s="8" t="s">
        <v>2166</v>
      </c>
    </row>
    <row r="115" spans="1:7" ht="16.5" customHeight="1">
      <c r="A115" s="11" t="s">
        <v>2159</v>
      </c>
      <c r="B115" s="22" t="s">
        <v>1837</v>
      </c>
      <c r="C115" s="22">
        <v>1</v>
      </c>
      <c r="D115" s="11" t="str">
        <f t="shared" si="3"/>
        <v>NODE_14_CHOICE_1_DESC</v>
      </c>
      <c r="E115" s="11" t="str">
        <f t="shared" si="4"/>
        <v>선택1</v>
      </c>
      <c r="F115" s="11" t="s">
        <v>2163</v>
      </c>
      <c r="G115" s="8" t="s">
        <v>2164</v>
      </c>
    </row>
    <row r="116" spans="1:7" ht="16.5" customHeight="1">
      <c r="A116" s="11" t="s">
        <v>2159</v>
      </c>
      <c r="B116" s="22" t="s">
        <v>1837</v>
      </c>
      <c r="C116" s="22">
        <v>2</v>
      </c>
      <c r="D116" s="11" t="str">
        <f t="shared" si="3"/>
        <v>NODE_14_CHOICE_2_DESC</v>
      </c>
      <c r="E116" s="11" t="str">
        <f t="shared" si="4"/>
        <v>선택2</v>
      </c>
      <c r="F116" s="11" t="s">
        <v>2165</v>
      </c>
      <c r="G116" s="8" t="s">
        <v>2166</v>
      </c>
    </row>
    <row r="117" spans="1:7" ht="16.5" customHeight="1">
      <c r="A117" s="11" t="s">
        <v>2159</v>
      </c>
      <c r="B117" s="22" t="s">
        <v>1844</v>
      </c>
      <c r="C117" s="22">
        <v>1</v>
      </c>
      <c r="D117" s="11" t="str">
        <f t="shared" si="3"/>
        <v>NODE_15_CHOICE_1_DESC</v>
      </c>
      <c r="E117" s="11" t="str">
        <f t="shared" si="4"/>
        <v>선택1</v>
      </c>
      <c r="F117" s="11" t="s">
        <v>2163</v>
      </c>
      <c r="G117" s="8" t="s">
        <v>2164</v>
      </c>
    </row>
    <row r="118" spans="1:7" ht="16.5" customHeight="1">
      <c r="A118" s="11" t="s">
        <v>2159</v>
      </c>
      <c r="B118" s="22" t="s">
        <v>1844</v>
      </c>
      <c r="C118" s="22">
        <v>2</v>
      </c>
      <c r="D118" s="11" t="str">
        <f t="shared" si="3"/>
        <v>NODE_15_CHOICE_2_DESC</v>
      </c>
      <c r="E118" s="11" t="str">
        <f t="shared" si="4"/>
        <v>선택2</v>
      </c>
      <c r="F118" s="11" t="s">
        <v>2165</v>
      </c>
      <c r="G118" s="8" t="s">
        <v>2166</v>
      </c>
    </row>
    <row r="119" spans="1:7" ht="16.5" customHeight="1">
      <c r="A119" s="11" t="s">
        <v>2159</v>
      </c>
      <c r="B119" s="22" t="s">
        <v>1852</v>
      </c>
      <c r="C119" s="22">
        <v>1</v>
      </c>
      <c r="D119" s="11" t="str">
        <f t="shared" si="3"/>
        <v>NODE_16_CHOICE_1_DESC</v>
      </c>
      <c r="E119" s="11" t="s">
        <v>2179</v>
      </c>
      <c r="F119" s="11" t="s">
        <v>2180</v>
      </c>
      <c r="G119" s="8" t="s">
        <v>2182</v>
      </c>
    </row>
    <row r="120" spans="1:7" ht="16.5" customHeight="1">
      <c r="A120" s="11" t="s">
        <v>2159</v>
      </c>
      <c r="B120" s="22" t="s">
        <v>1852</v>
      </c>
      <c r="C120" s="22">
        <v>2</v>
      </c>
      <c r="D120" s="11" t="str">
        <f t="shared" si="3"/>
        <v>NODE_16_CHOICE_2_DESC</v>
      </c>
      <c r="E120" s="11" t="s">
        <v>2185</v>
      </c>
      <c r="F120" s="11" t="s">
        <v>2186</v>
      </c>
      <c r="G120" s="8" t="s">
        <v>2187</v>
      </c>
    </row>
    <row r="121" spans="1:7" ht="16.5" customHeight="1">
      <c r="A121" s="11" t="s">
        <v>2159</v>
      </c>
      <c r="B121" s="22" t="s">
        <v>1877</v>
      </c>
      <c r="C121" s="22">
        <v>1</v>
      </c>
      <c r="D121" s="11" t="str">
        <f t="shared" si="3"/>
        <v>NODE_19B_CHOICE_1_DESC</v>
      </c>
      <c r="E121" s="11" t="str">
        <f t="shared" ref="E121:E126" si="5">"선택"&amp;C121</f>
        <v>선택1</v>
      </c>
      <c r="F121" s="11" t="s">
        <v>2163</v>
      </c>
      <c r="G121" s="8" t="s">
        <v>2164</v>
      </c>
    </row>
    <row r="122" spans="1:7" ht="16.5" customHeight="1">
      <c r="A122" s="11" t="s">
        <v>2159</v>
      </c>
      <c r="B122" s="22" t="s">
        <v>1877</v>
      </c>
      <c r="C122" s="22">
        <v>2</v>
      </c>
      <c r="D122" s="11" t="str">
        <f t="shared" si="3"/>
        <v>NODE_19B_CHOICE_2_DESC</v>
      </c>
      <c r="E122" s="11" t="str">
        <f t="shared" si="5"/>
        <v>선택2</v>
      </c>
      <c r="F122" s="11" t="s">
        <v>2165</v>
      </c>
      <c r="G122" s="8" t="s">
        <v>2166</v>
      </c>
    </row>
    <row r="123" spans="1:7" ht="16.5" customHeight="1">
      <c r="A123" s="11" t="s">
        <v>2159</v>
      </c>
      <c r="B123" s="22" t="s">
        <v>1903</v>
      </c>
      <c r="C123" s="22">
        <v>1</v>
      </c>
      <c r="D123" s="11" t="str">
        <f t="shared" si="3"/>
        <v>NODE_21B_CHOICE_1_DESC</v>
      </c>
      <c r="E123" s="11" t="str">
        <f t="shared" si="5"/>
        <v>선택1</v>
      </c>
      <c r="F123" s="11" t="s">
        <v>2163</v>
      </c>
      <c r="G123" s="8" t="s">
        <v>2164</v>
      </c>
    </row>
    <row r="124" spans="1:7" ht="16.5" customHeight="1">
      <c r="A124" s="11" t="s">
        <v>2159</v>
      </c>
      <c r="B124" s="22" t="s">
        <v>1903</v>
      </c>
      <c r="C124" s="22">
        <v>2</v>
      </c>
      <c r="D124" s="11" t="str">
        <f t="shared" si="3"/>
        <v>NODE_21B_CHOICE_2_DESC</v>
      </c>
      <c r="E124" s="11" t="str">
        <f t="shared" si="5"/>
        <v>선택2</v>
      </c>
      <c r="F124" s="11" t="s">
        <v>2165</v>
      </c>
      <c r="G124" s="8" t="s">
        <v>2166</v>
      </c>
    </row>
    <row r="125" spans="1:7" ht="16.5" customHeight="1">
      <c r="A125" s="11" t="s">
        <v>2159</v>
      </c>
      <c r="B125" s="22" t="s">
        <v>1938</v>
      </c>
      <c r="C125" s="22">
        <v>1</v>
      </c>
      <c r="D125" s="11" t="str">
        <f t="shared" si="3"/>
        <v>NODE_25_CHOICE_1_DESC</v>
      </c>
      <c r="E125" s="11" t="str">
        <f t="shared" si="5"/>
        <v>선택1</v>
      </c>
      <c r="F125" s="11" t="s">
        <v>2163</v>
      </c>
      <c r="G125" s="8" t="s">
        <v>2164</v>
      </c>
    </row>
    <row r="126" spans="1:7" ht="16.5" customHeight="1">
      <c r="A126" s="11" t="s">
        <v>2159</v>
      </c>
      <c r="B126" s="22" t="s">
        <v>1938</v>
      </c>
      <c r="C126" s="22">
        <v>2</v>
      </c>
      <c r="D126" s="11" t="str">
        <f t="shared" si="3"/>
        <v>NODE_25_CHOICE_2_DESC</v>
      </c>
      <c r="E126" s="11" t="str">
        <f t="shared" si="5"/>
        <v>선택2</v>
      </c>
      <c r="F126" s="11" t="s">
        <v>2165</v>
      </c>
      <c r="G126" s="8" t="s">
        <v>2166</v>
      </c>
    </row>
    <row r="127" spans="1:7" ht="16.5" customHeight="1">
      <c r="B127" s="13"/>
      <c r="C127" s="13"/>
      <c r="D127" s="13"/>
      <c r="E127" s="13"/>
    </row>
    <row r="128" spans="1:7" ht="16.5" customHeight="1">
      <c r="B128" s="13"/>
      <c r="C128" s="13"/>
      <c r="D128" s="13"/>
      <c r="E128" s="13"/>
    </row>
    <row r="129" spans="2:5" ht="16.5" customHeight="1">
      <c r="B129" s="13"/>
      <c r="C129" s="13"/>
      <c r="D129" s="13"/>
      <c r="E129" s="13"/>
    </row>
    <row r="130" spans="2:5" ht="16.5" customHeight="1">
      <c r="B130" s="13"/>
      <c r="C130" s="13"/>
      <c r="D130" s="13"/>
      <c r="E130" s="13"/>
    </row>
    <row r="131" spans="2:5" ht="16.5" customHeight="1">
      <c r="B131" s="13"/>
      <c r="C131" s="13"/>
      <c r="D131" s="13"/>
      <c r="E131" s="13"/>
    </row>
    <row r="132" spans="2:5" ht="16.5" customHeight="1">
      <c r="B132" s="13"/>
      <c r="C132" s="13"/>
      <c r="D132" s="13"/>
      <c r="E132" s="13"/>
    </row>
    <row r="133" spans="2:5" ht="16.5" customHeight="1">
      <c r="B133" s="13"/>
      <c r="C133" s="13"/>
      <c r="D133" s="13"/>
      <c r="E133" s="13"/>
    </row>
    <row r="134" spans="2:5" ht="16.5" customHeight="1">
      <c r="B134" s="13"/>
      <c r="C134" s="13"/>
      <c r="D134" s="13"/>
      <c r="E134" s="13"/>
    </row>
    <row r="135" spans="2:5" ht="16.5" customHeight="1">
      <c r="B135" s="13"/>
      <c r="C135" s="13"/>
      <c r="D135" s="13"/>
      <c r="E135" s="13"/>
    </row>
    <row r="136" spans="2:5" ht="16.5" customHeight="1">
      <c r="B136" s="13"/>
      <c r="C136" s="13"/>
      <c r="D136" s="13"/>
      <c r="E136" s="13"/>
    </row>
    <row r="137" spans="2:5" ht="16.5" customHeight="1">
      <c r="B137" s="13"/>
      <c r="C137" s="13"/>
      <c r="D137" s="13"/>
      <c r="E137" s="13"/>
    </row>
    <row r="138" spans="2:5" ht="16.5" customHeight="1">
      <c r="B138" s="13"/>
      <c r="C138" s="13"/>
      <c r="D138" s="13"/>
      <c r="E138" s="13"/>
    </row>
    <row r="139" spans="2:5" ht="16.5" customHeight="1">
      <c r="B139" s="13"/>
      <c r="C139" s="13"/>
      <c r="D139" s="13"/>
      <c r="E139" s="13"/>
    </row>
    <row r="140" spans="2:5" ht="16.5" customHeight="1">
      <c r="B140" s="13"/>
      <c r="C140" s="13"/>
      <c r="D140" s="13"/>
      <c r="E140" s="13"/>
    </row>
    <row r="141" spans="2:5" ht="16.5" customHeight="1">
      <c r="B141" s="13"/>
      <c r="C141" s="13"/>
      <c r="D141" s="13"/>
      <c r="E141" s="13"/>
    </row>
    <row r="142" spans="2:5" ht="16.5" customHeight="1">
      <c r="B142" s="13"/>
      <c r="C142" s="13"/>
      <c r="D142" s="13"/>
      <c r="E142" s="13"/>
    </row>
    <row r="143" spans="2:5" ht="16.5" customHeight="1">
      <c r="B143" s="13"/>
      <c r="C143" s="13"/>
      <c r="D143" s="13"/>
      <c r="E143" s="13"/>
    </row>
    <row r="144" spans="2:5" ht="16.5" customHeight="1">
      <c r="B144" s="13"/>
      <c r="C144" s="13"/>
      <c r="D144" s="13"/>
      <c r="E144" s="13"/>
    </row>
    <row r="145" spans="2:5" ht="16.5" customHeight="1">
      <c r="B145" s="13"/>
      <c r="C145" s="13"/>
      <c r="D145" s="13"/>
      <c r="E145" s="13"/>
    </row>
    <row r="146" spans="2:5" ht="16.5" customHeight="1">
      <c r="B146" s="13"/>
      <c r="C146" s="13"/>
      <c r="D146" s="13"/>
      <c r="E146" s="13"/>
    </row>
    <row r="147" spans="2:5" ht="16.5" customHeight="1">
      <c r="B147" s="13"/>
      <c r="C147" s="13"/>
      <c r="D147" s="13"/>
      <c r="E147" s="13"/>
    </row>
    <row r="148" spans="2:5" ht="16.5" customHeight="1">
      <c r="B148" s="13"/>
      <c r="C148" s="13"/>
      <c r="D148" s="13"/>
      <c r="E148" s="13"/>
    </row>
    <row r="149" spans="2:5" ht="16.5" customHeight="1">
      <c r="B149" s="13"/>
      <c r="C149" s="13"/>
      <c r="D149" s="13"/>
      <c r="E149" s="13"/>
    </row>
    <row r="150" spans="2:5" ht="16.5" customHeight="1">
      <c r="B150" s="13"/>
      <c r="C150" s="13"/>
      <c r="D150" s="13"/>
      <c r="E150" s="13"/>
    </row>
    <row r="151" spans="2:5" ht="16.5" customHeight="1">
      <c r="B151" s="13"/>
      <c r="C151" s="13"/>
      <c r="D151" s="13"/>
      <c r="E151" s="13"/>
    </row>
    <row r="152" spans="2:5" ht="16.5" customHeight="1">
      <c r="B152" s="13"/>
      <c r="C152" s="13"/>
      <c r="D152" s="13"/>
      <c r="E152" s="13"/>
    </row>
    <row r="153" spans="2:5" ht="16.5" customHeight="1">
      <c r="B153" s="13"/>
      <c r="C153" s="13"/>
      <c r="D153" s="13"/>
      <c r="E153" s="13"/>
    </row>
    <row r="154" spans="2:5" ht="16.5" customHeight="1">
      <c r="B154" s="13"/>
      <c r="C154" s="13"/>
      <c r="D154" s="13"/>
      <c r="E154" s="13"/>
    </row>
    <row r="155" spans="2:5" ht="16.5" customHeight="1">
      <c r="B155" s="13"/>
      <c r="C155" s="13"/>
      <c r="D155" s="13"/>
      <c r="E155" s="13"/>
    </row>
    <row r="156" spans="2:5" ht="16.5" customHeight="1">
      <c r="B156" s="13"/>
      <c r="C156" s="13"/>
      <c r="D156" s="13"/>
      <c r="E156" s="13"/>
    </row>
    <row r="157" spans="2:5" ht="16.5" customHeight="1">
      <c r="B157" s="13"/>
      <c r="C157" s="13"/>
      <c r="D157" s="13"/>
      <c r="E157" s="13"/>
    </row>
    <row r="158" spans="2:5" ht="16.5" customHeight="1">
      <c r="B158" s="13"/>
      <c r="C158" s="13"/>
      <c r="D158" s="13"/>
      <c r="E158" s="13"/>
    </row>
    <row r="159" spans="2:5" ht="16.5" customHeight="1">
      <c r="B159" s="13"/>
      <c r="C159" s="13"/>
      <c r="D159" s="13"/>
      <c r="E159" s="13"/>
    </row>
    <row r="160" spans="2:5" ht="16.5" customHeight="1">
      <c r="B160" s="13"/>
      <c r="C160" s="13"/>
      <c r="D160" s="13"/>
      <c r="E160" s="13"/>
    </row>
    <row r="161" spans="2:5" ht="16.5" customHeight="1">
      <c r="B161" s="13"/>
      <c r="C161" s="13"/>
      <c r="D161" s="13"/>
      <c r="E161" s="13"/>
    </row>
    <row r="162" spans="2:5" ht="16.5" customHeight="1">
      <c r="B162" s="13"/>
      <c r="C162" s="13"/>
      <c r="D162" s="13"/>
      <c r="E162" s="13"/>
    </row>
    <row r="163" spans="2:5" ht="16.5" customHeight="1">
      <c r="B163" s="13"/>
      <c r="C163" s="13"/>
      <c r="D163" s="13"/>
      <c r="E163" s="13"/>
    </row>
    <row r="164" spans="2:5" ht="16.5" customHeight="1">
      <c r="B164" s="13"/>
      <c r="C164" s="13"/>
      <c r="D164" s="13"/>
      <c r="E164" s="13"/>
    </row>
    <row r="165" spans="2:5" ht="16.5" customHeight="1">
      <c r="B165" s="13"/>
      <c r="C165" s="13"/>
      <c r="D165" s="13"/>
      <c r="E165" s="13"/>
    </row>
    <row r="166" spans="2:5" ht="16.5" customHeight="1">
      <c r="B166" s="13"/>
      <c r="C166" s="13"/>
      <c r="D166" s="13"/>
      <c r="E166" s="13"/>
    </row>
    <row r="167" spans="2:5" ht="16.5" customHeight="1">
      <c r="B167" s="13"/>
      <c r="C167" s="13"/>
      <c r="D167" s="13"/>
      <c r="E167" s="13"/>
    </row>
    <row r="168" spans="2:5" ht="16.5" customHeight="1">
      <c r="B168" s="13"/>
      <c r="C168" s="13"/>
      <c r="D168" s="13"/>
      <c r="E168" s="13"/>
    </row>
    <row r="169" spans="2:5" ht="16.5" customHeight="1">
      <c r="B169" s="13"/>
      <c r="C169" s="13"/>
      <c r="D169" s="13"/>
      <c r="E169" s="13"/>
    </row>
    <row r="170" spans="2:5" ht="16.5" customHeight="1">
      <c r="B170" s="13"/>
      <c r="C170" s="13"/>
      <c r="D170" s="13"/>
      <c r="E170" s="13"/>
    </row>
    <row r="171" spans="2:5" ht="16.5" customHeight="1">
      <c r="B171" s="13"/>
      <c r="C171" s="13"/>
      <c r="D171" s="13"/>
      <c r="E171" s="13"/>
    </row>
    <row r="172" spans="2:5" ht="16.5" customHeight="1">
      <c r="B172" s="13"/>
      <c r="C172" s="13"/>
      <c r="D172" s="13"/>
      <c r="E172" s="13"/>
    </row>
    <row r="173" spans="2:5" ht="16.5" customHeight="1">
      <c r="B173" s="13"/>
      <c r="C173" s="13"/>
      <c r="D173" s="13"/>
      <c r="E173" s="13"/>
    </row>
    <row r="174" spans="2:5" ht="16.5" customHeight="1">
      <c r="B174" s="13"/>
      <c r="C174" s="13"/>
      <c r="D174" s="13"/>
      <c r="E174" s="13"/>
    </row>
    <row r="175" spans="2:5" ht="16.5" customHeight="1">
      <c r="B175" s="13"/>
      <c r="C175" s="13"/>
      <c r="D175" s="13"/>
      <c r="E175" s="13"/>
    </row>
    <row r="176" spans="2:5" ht="16.5" customHeight="1">
      <c r="B176" s="13"/>
      <c r="C176" s="13"/>
      <c r="D176" s="13"/>
      <c r="E176" s="13"/>
    </row>
    <row r="177" spans="2:5" ht="16.5" customHeight="1">
      <c r="B177" s="13"/>
      <c r="C177" s="13"/>
      <c r="D177" s="13"/>
      <c r="E177" s="13"/>
    </row>
    <row r="178" spans="2:5" ht="16.5" customHeight="1">
      <c r="B178" s="13"/>
      <c r="C178" s="13"/>
      <c r="D178" s="13"/>
      <c r="E178" s="13"/>
    </row>
    <row r="179" spans="2:5" ht="16.5" customHeight="1">
      <c r="B179" s="13"/>
      <c r="C179" s="13"/>
      <c r="D179" s="13"/>
      <c r="E179" s="13"/>
    </row>
    <row r="180" spans="2:5" ht="16.5" customHeight="1">
      <c r="B180" s="13"/>
      <c r="C180" s="13"/>
      <c r="D180" s="13"/>
      <c r="E180" s="13"/>
    </row>
    <row r="181" spans="2:5" ht="16.5" customHeight="1">
      <c r="B181" s="13"/>
      <c r="C181" s="13"/>
      <c r="D181" s="13"/>
      <c r="E181" s="13"/>
    </row>
    <row r="182" spans="2:5" ht="16.5" customHeight="1">
      <c r="B182" s="13"/>
      <c r="C182" s="13"/>
      <c r="D182" s="13"/>
      <c r="E182" s="13"/>
    </row>
    <row r="183" spans="2:5" ht="16.5" customHeight="1">
      <c r="B183" s="13"/>
      <c r="C183" s="13"/>
      <c r="D183" s="13"/>
      <c r="E183" s="13"/>
    </row>
    <row r="184" spans="2:5" ht="16.5" customHeight="1">
      <c r="B184" s="13"/>
      <c r="C184" s="13"/>
      <c r="D184" s="13"/>
      <c r="E184" s="13"/>
    </row>
    <row r="185" spans="2:5" ht="16.5" customHeight="1">
      <c r="B185" s="13"/>
      <c r="C185" s="13"/>
      <c r="D185" s="13"/>
      <c r="E185" s="13"/>
    </row>
    <row r="186" spans="2:5" ht="16.5" customHeight="1">
      <c r="B186" s="13"/>
      <c r="C186" s="13"/>
      <c r="D186" s="13"/>
      <c r="E186" s="13"/>
    </row>
    <row r="187" spans="2:5" ht="16.5" customHeight="1">
      <c r="B187" s="13"/>
      <c r="C187" s="13"/>
      <c r="D187" s="13"/>
      <c r="E187" s="13"/>
    </row>
    <row r="188" spans="2:5" ht="16.5" customHeight="1">
      <c r="B188" s="13"/>
      <c r="C188" s="13"/>
      <c r="D188" s="13"/>
      <c r="E188" s="13"/>
    </row>
    <row r="189" spans="2:5" ht="16.5" customHeight="1">
      <c r="B189" s="13"/>
      <c r="C189" s="13"/>
      <c r="D189" s="13"/>
      <c r="E189" s="13"/>
    </row>
    <row r="190" spans="2:5" ht="16.5" customHeight="1">
      <c r="B190" s="13"/>
      <c r="C190" s="13"/>
      <c r="D190" s="13"/>
      <c r="E190" s="13"/>
    </row>
    <row r="191" spans="2:5" ht="16.5" customHeight="1">
      <c r="B191" s="13"/>
      <c r="C191" s="13"/>
      <c r="D191" s="13"/>
      <c r="E191" s="13"/>
    </row>
    <row r="192" spans="2:5" ht="16.5" customHeight="1">
      <c r="B192" s="13"/>
      <c r="C192" s="13"/>
      <c r="D192" s="13"/>
      <c r="E192" s="13"/>
    </row>
    <row r="193" spans="2:5" ht="16.5" customHeight="1">
      <c r="B193" s="13"/>
      <c r="C193" s="13"/>
      <c r="D193" s="13"/>
      <c r="E193" s="13"/>
    </row>
    <row r="194" spans="2:5" ht="16.5" customHeight="1">
      <c r="B194" s="13"/>
      <c r="C194" s="13"/>
      <c r="D194" s="13"/>
      <c r="E194" s="13"/>
    </row>
    <row r="195" spans="2:5" ht="16.5" customHeight="1">
      <c r="B195" s="13"/>
      <c r="C195" s="13"/>
      <c r="D195" s="13"/>
      <c r="E195" s="13"/>
    </row>
    <row r="196" spans="2:5" ht="16.5" customHeight="1">
      <c r="B196" s="13"/>
      <c r="C196" s="13"/>
      <c r="D196" s="13"/>
      <c r="E196" s="13"/>
    </row>
    <row r="197" spans="2:5" ht="16.5" customHeight="1">
      <c r="B197" s="13"/>
      <c r="C197" s="13"/>
      <c r="D197" s="13"/>
      <c r="E197" s="13"/>
    </row>
    <row r="198" spans="2:5" ht="16.5" customHeight="1">
      <c r="B198" s="13"/>
      <c r="C198" s="13"/>
      <c r="D198" s="13"/>
      <c r="E198" s="13"/>
    </row>
    <row r="199" spans="2:5" ht="16.5" customHeight="1">
      <c r="B199" s="13"/>
      <c r="C199" s="13"/>
      <c r="D199" s="13"/>
      <c r="E199" s="13"/>
    </row>
    <row r="200" spans="2:5" ht="16.5" customHeight="1">
      <c r="B200" s="13"/>
      <c r="C200" s="13"/>
      <c r="D200" s="13"/>
      <c r="E200" s="13"/>
    </row>
    <row r="201" spans="2:5" ht="16.5" customHeight="1">
      <c r="B201" s="13"/>
      <c r="C201" s="13"/>
      <c r="D201" s="13"/>
      <c r="E201" s="13"/>
    </row>
    <row r="202" spans="2:5" ht="16.5" customHeight="1">
      <c r="B202" s="13"/>
      <c r="C202" s="13"/>
      <c r="D202" s="13"/>
      <c r="E202" s="13"/>
    </row>
    <row r="203" spans="2:5" ht="16.5" customHeight="1">
      <c r="B203" s="13"/>
      <c r="C203" s="13"/>
      <c r="D203" s="13"/>
      <c r="E203" s="13"/>
    </row>
    <row r="204" spans="2:5" ht="16.5" customHeight="1">
      <c r="B204" s="13"/>
      <c r="C204" s="13"/>
      <c r="D204" s="13"/>
      <c r="E204" s="13"/>
    </row>
    <row r="205" spans="2:5" ht="16.5" customHeight="1">
      <c r="B205" s="13"/>
      <c r="C205" s="13"/>
      <c r="D205" s="13"/>
      <c r="E205" s="13"/>
    </row>
    <row r="206" spans="2:5" ht="16.5" customHeight="1">
      <c r="B206" s="13"/>
      <c r="C206" s="13"/>
      <c r="D206" s="13"/>
      <c r="E206" s="13"/>
    </row>
    <row r="207" spans="2:5" ht="16.5" customHeight="1">
      <c r="B207" s="13"/>
      <c r="C207" s="13"/>
      <c r="D207" s="13"/>
      <c r="E207" s="13"/>
    </row>
    <row r="208" spans="2:5" ht="16.5" customHeight="1">
      <c r="B208" s="13"/>
      <c r="C208" s="13"/>
      <c r="D208" s="13"/>
      <c r="E208" s="13"/>
    </row>
    <row r="209" spans="2:5" ht="16.5" customHeight="1">
      <c r="B209" s="13"/>
      <c r="C209" s="13"/>
      <c r="D209" s="13"/>
      <c r="E209" s="13"/>
    </row>
    <row r="210" spans="2:5" ht="16.5" customHeight="1">
      <c r="B210" s="13"/>
      <c r="C210" s="13"/>
      <c r="D210" s="13"/>
      <c r="E210" s="13"/>
    </row>
    <row r="211" spans="2:5" ht="16.5" customHeight="1">
      <c r="B211" s="13"/>
      <c r="C211" s="13"/>
      <c r="D211" s="13"/>
      <c r="E211" s="13"/>
    </row>
    <row r="212" spans="2:5" ht="16.5" customHeight="1">
      <c r="B212" s="13"/>
      <c r="C212" s="13"/>
      <c r="D212" s="13"/>
      <c r="E212" s="13"/>
    </row>
    <row r="213" spans="2:5" ht="16.5" customHeight="1">
      <c r="B213" s="13"/>
      <c r="C213" s="13"/>
      <c r="D213" s="13"/>
      <c r="E213" s="13"/>
    </row>
    <row r="214" spans="2:5" ht="16.5" customHeight="1">
      <c r="B214" s="13"/>
      <c r="C214" s="13"/>
      <c r="D214" s="13"/>
      <c r="E214" s="13"/>
    </row>
    <row r="215" spans="2:5" ht="16.5" customHeight="1">
      <c r="B215" s="13"/>
      <c r="C215" s="13"/>
      <c r="D215" s="13"/>
      <c r="E215" s="13"/>
    </row>
    <row r="216" spans="2:5" ht="16.5" customHeight="1">
      <c r="B216" s="13"/>
      <c r="C216" s="13"/>
      <c r="D216" s="13"/>
      <c r="E216" s="13"/>
    </row>
    <row r="217" spans="2:5" ht="16.5" customHeight="1">
      <c r="B217" s="13"/>
      <c r="C217" s="13"/>
      <c r="D217" s="13"/>
      <c r="E217" s="13"/>
    </row>
    <row r="218" spans="2:5" ht="16.5" customHeight="1">
      <c r="B218" s="13"/>
      <c r="C218" s="13"/>
      <c r="D218" s="13"/>
      <c r="E218" s="13"/>
    </row>
    <row r="219" spans="2:5" ht="16.5" customHeight="1">
      <c r="B219" s="13"/>
      <c r="C219" s="13"/>
      <c r="D219" s="13"/>
      <c r="E219" s="13"/>
    </row>
    <row r="220" spans="2:5" ht="16.5" customHeight="1">
      <c r="B220" s="13"/>
      <c r="C220" s="13"/>
      <c r="D220" s="13"/>
      <c r="E220" s="13"/>
    </row>
    <row r="221" spans="2:5" ht="16.5" customHeight="1">
      <c r="B221" s="13"/>
      <c r="C221" s="13"/>
      <c r="D221" s="13"/>
      <c r="E221" s="13"/>
    </row>
    <row r="222" spans="2:5" ht="16.5" customHeight="1">
      <c r="B222" s="13"/>
      <c r="C222" s="13"/>
      <c r="D222" s="13"/>
      <c r="E222" s="13"/>
    </row>
    <row r="223" spans="2:5" ht="16.5" customHeight="1">
      <c r="B223" s="13"/>
      <c r="C223" s="13"/>
      <c r="D223" s="13"/>
      <c r="E223" s="13"/>
    </row>
    <row r="224" spans="2:5" ht="16.5" customHeight="1">
      <c r="B224" s="13"/>
      <c r="C224" s="13"/>
      <c r="D224" s="13"/>
      <c r="E224" s="13"/>
    </row>
    <row r="225" spans="2:5" ht="16.5" customHeight="1">
      <c r="B225" s="13"/>
      <c r="C225" s="13"/>
      <c r="D225" s="13"/>
      <c r="E225" s="13"/>
    </row>
    <row r="226" spans="2:5" ht="16.5" customHeight="1">
      <c r="B226" s="13"/>
      <c r="C226" s="13"/>
      <c r="D226" s="13"/>
      <c r="E226" s="13"/>
    </row>
    <row r="227" spans="2:5" ht="16.5" customHeight="1">
      <c r="B227" s="13"/>
      <c r="C227" s="13"/>
      <c r="D227" s="13"/>
      <c r="E227" s="13"/>
    </row>
    <row r="228" spans="2:5" ht="16.5" customHeight="1">
      <c r="B228" s="13"/>
      <c r="C228" s="13"/>
      <c r="D228" s="13"/>
      <c r="E228" s="13"/>
    </row>
    <row r="229" spans="2:5" ht="16.5" customHeight="1">
      <c r="B229" s="13"/>
      <c r="C229" s="13"/>
      <c r="D229" s="13"/>
      <c r="E229" s="13"/>
    </row>
    <row r="230" spans="2:5" ht="16.5" customHeight="1">
      <c r="B230" s="13"/>
      <c r="C230" s="13"/>
      <c r="D230" s="13"/>
      <c r="E230" s="13"/>
    </row>
    <row r="231" spans="2:5" ht="16.5" customHeight="1">
      <c r="B231" s="13"/>
      <c r="C231" s="13"/>
      <c r="D231" s="13"/>
      <c r="E231" s="13"/>
    </row>
    <row r="232" spans="2:5" ht="16.5" customHeight="1">
      <c r="B232" s="13"/>
      <c r="C232" s="13"/>
      <c r="D232" s="13"/>
      <c r="E232" s="13"/>
    </row>
    <row r="233" spans="2:5" ht="16.5" customHeight="1">
      <c r="B233" s="13"/>
      <c r="C233" s="13"/>
      <c r="D233" s="13"/>
      <c r="E233" s="13"/>
    </row>
    <row r="234" spans="2:5" ht="16.5" customHeight="1">
      <c r="B234" s="13"/>
      <c r="C234" s="13"/>
      <c r="D234" s="13"/>
      <c r="E234" s="13"/>
    </row>
    <row r="235" spans="2:5" ht="16.5" customHeight="1">
      <c r="B235" s="13"/>
      <c r="C235" s="13"/>
      <c r="D235" s="13"/>
      <c r="E235" s="13"/>
    </row>
    <row r="236" spans="2:5" ht="16.5" customHeight="1">
      <c r="B236" s="13"/>
      <c r="C236" s="13"/>
      <c r="D236" s="13"/>
      <c r="E236" s="13"/>
    </row>
    <row r="237" spans="2:5" ht="16.5" customHeight="1">
      <c r="B237" s="13"/>
      <c r="C237" s="13"/>
      <c r="D237" s="13"/>
      <c r="E237" s="13"/>
    </row>
    <row r="238" spans="2:5" ht="16.5" customHeight="1">
      <c r="B238" s="13"/>
      <c r="C238" s="13"/>
      <c r="D238" s="13"/>
      <c r="E238" s="13"/>
    </row>
    <row r="239" spans="2:5" ht="16.5" customHeight="1">
      <c r="B239" s="13"/>
      <c r="C239" s="13"/>
      <c r="D239" s="13"/>
      <c r="E239" s="13"/>
    </row>
    <row r="240" spans="2:5" ht="16.5" customHeight="1">
      <c r="B240" s="13"/>
      <c r="C240" s="13"/>
      <c r="D240" s="13"/>
      <c r="E240" s="13"/>
    </row>
    <row r="241" spans="2:5" ht="16.5" customHeight="1">
      <c r="B241" s="13"/>
      <c r="C241" s="13"/>
      <c r="D241" s="13"/>
      <c r="E241" s="13"/>
    </row>
    <row r="242" spans="2:5" ht="16.5" customHeight="1">
      <c r="B242" s="13"/>
      <c r="C242" s="13"/>
      <c r="D242" s="13"/>
      <c r="E242" s="13"/>
    </row>
    <row r="243" spans="2:5" ht="16.5" customHeight="1">
      <c r="B243" s="13"/>
      <c r="C243" s="13"/>
      <c r="D243" s="13"/>
      <c r="E243" s="13"/>
    </row>
    <row r="244" spans="2:5" ht="16.5" customHeight="1">
      <c r="B244" s="13"/>
      <c r="C244" s="13"/>
      <c r="D244" s="13"/>
      <c r="E244" s="13"/>
    </row>
    <row r="245" spans="2:5" ht="16.5" customHeight="1">
      <c r="B245" s="13"/>
      <c r="C245" s="13"/>
      <c r="D245" s="13"/>
      <c r="E245" s="13"/>
    </row>
    <row r="246" spans="2:5" ht="16.5" customHeight="1">
      <c r="B246" s="13"/>
      <c r="C246" s="13"/>
      <c r="D246" s="13"/>
      <c r="E246" s="13"/>
    </row>
    <row r="247" spans="2:5" ht="16.5" customHeight="1">
      <c r="B247" s="13"/>
      <c r="C247" s="13"/>
      <c r="D247" s="13"/>
      <c r="E247" s="13"/>
    </row>
    <row r="248" spans="2:5" ht="16.5" customHeight="1">
      <c r="B248" s="13"/>
      <c r="C248" s="13"/>
      <c r="D248" s="13"/>
      <c r="E248" s="13"/>
    </row>
    <row r="249" spans="2:5" ht="16.5" customHeight="1">
      <c r="B249" s="13"/>
      <c r="C249" s="13"/>
      <c r="D249" s="13"/>
      <c r="E249" s="13"/>
    </row>
    <row r="250" spans="2:5" ht="16.5" customHeight="1">
      <c r="B250" s="13"/>
      <c r="C250" s="13"/>
      <c r="D250" s="13"/>
      <c r="E250" s="13"/>
    </row>
    <row r="251" spans="2:5" ht="16.5" customHeight="1">
      <c r="B251" s="13"/>
      <c r="C251" s="13"/>
      <c r="D251" s="13"/>
      <c r="E251" s="13"/>
    </row>
    <row r="252" spans="2:5" ht="16.5" customHeight="1">
      <c r="B252" s="13"/>
      <c r="C252" s="13"/>
      <c r="D252" s="13"/>
      <c r="E252" s="13"/>
    </row>
    <row r="253" spans="2:5" ht="16.5" customHeight="1">
      <c r="B253" s="13"/>
      <c r="C253" s="13"/>
      <c r="D253" s="13"/>
      <c r="E253" s="13"/>
    </row>
    <row r="254" spans="2:5" ht="16.5" customHeight="1">
      <c r="B254" s="13"/>
      <c r="C254" s="13"/>
      <c r="D254" s="13"/>
      <c r="E254" s="13"/>
    </row>
    <row r="255" spans="2:5" ht="16.5" customHeight="1">
      <c r="B255" s="13"/>
      <c r="C255" s="13"/>
      <c r="D255" s="13"/>
      <c r="E255" s="13"/>
    </row>
    <row r="256" spans="2:5" ht="16.5" customHeight="1">
      <c r="B256" s="13"/>
      <c r="C256" s="13"/>
      <c r="D256" s="13"/>
      <c r="E256" s="13"/>
    </row>
    <row r="257" spans="2:5" ht="16.5" customHeight="1">
      <c r="B257" s="13"/>
      <c r="C257" s="13"/>
      <c r="D257" s="13"/>
      <c r="E257" s="13"/>
    </row>
    <row r="258" spans="2:5" ht="16.5" customHeight="1">
      <c r="B258" s="13"/>
      <c r="C258" s="13"/>
      <c r="D258" s="13"/>
      <c r="E258" s="13"/>
    </row>
    <row r="259" spans="2:5" ht="16.5" customHeight="1">
      <c r="B259" s="13"/>
      <c r="C259" s="13"/>
      <c r="D259" s="13"/>
      <c r="E259" s="13"/>
    </row>
    <row r="260" spans="2:5" ht="16.5" customHeight="1">
      <c r="B260" s="13"/>
      <c r="C260" s="13"/>
      <c r="D260" s="13"/>
      <c r="E260" s="13"/>
    </row>
    <row r="261" spans="2:5" ht="16.5" customHeight="1">
      <c r="B261" s="13"/>
      <c r="C261" s="13"/>
      <c r="D261" s="13"/>
      <c r="E261" s="13"/>
    </row>
    <row r="262" spans="2:5" ht="16.5" customHeight="1">
      <c r="B262" s="13"/>
      <c r="C262" s="13"/>
      <c r="D262" s="13"/>
      <c r="E262" s="13"/>
    </row>
    <row r="263" spans="2:5" ht="16.5" customHeight="1">
      <c r="B263" s="13"/>
      <c r="C263" s="13"/>
      <c r="D263" s="13"/>
      <c r="E263" s="13"/>
    </row>
    <row r="264" spans="2:5" ht="16.5" customHeight="1">
      <c r="B264" s="13"/>
      <c r="C264" s="13"/>
      <c r="D264" s="13"/>
      <c r="E264" s="13"/>
    </row>
    <row r="265" spans="2:5" ht="16.5" customHeight="1">
      <c r="B265" s="13"/>
      <c r="C265" s="13"/>
      <c r="D265" s="13"/>
      <c r="E265" s="13"/>
    </row>
    <row r="266" spans="2:5" ht="16.5" customHeight="1">
      <c r="B266" s="13"/>
      <c r="C266" s="13"/>
      <c r="D266" s="13"/>
      <c r="E266" s="13"/>
    </row>
    <row r="267" spans="2:5" ht="16.5" customHeight="1">
      <c r="B267" s="13"/>
      <c r="C267" s="13"/>
      <c r="D267" s="13"/>
      <c r="E267" s="13"/>
    </row>
    <row r="268" spans="2:5" ht="16.5" customHeight="1">
      <c r="B268" s="13"/>
      <c r="C268" s="13"/>
      <c r="D268" s="13"/>
      <c r="E268" s="13"/>
    </row>
    <row r="269" spans="2:5" ht="16.5" customHeight="1">
      <c r="B269" s="13"/>
      <c r="C269" s="13"/>
      <c r="D269" s="13"/>
      <c r="E269" s="13"/>
    </row>
    <row r="270" spans="2:5" ht="16.5" customHeight="1">
      <c r="B270" s="13"/>
      <c r="C270" s="13"/>
      <c r="D270" s="13"/>
      <c r="E270" s="13"/>
    </row>
    <row r="271" spans="2:5" ht="16.5" customHeight="1">
      <c r="B271" s="13"/>
      <c r="C271" s="13"/>
      <c r="D271" s="13"/>
      <c r="E271" s="13"/>
    </row>
    <row r="272" spans="2:5" ht="16.5" customHeight="1">
      <c r="B272" s="13"/>
      <c r="C272" s="13"/>
      <c r="D272" s="13"/>
      <c r="E272" s="13"/>
    </row>
    <row r="273" spans="2:5" ht="16.5" customHeight="1">
      <c r="B273" s="13"/>
      <c r="C273" s="13"/>
      <c r="D273" s="13"/>
      <c r="E273" s="13"/>
    </row>
    <row r="274" spans="2:5" ht="16.5" customHeight="1">
      <c r="B274" s="13"/>
      <c r="C274" s="13"/>
      <c r="D274" s="13"/>
      <c r="E274" s="13"/>
    </row>
    <row r="275" spans="2:5" ht="16.5" customHeight="1">
      <c r="B275" s="13"/>
      <c r="C275" s="13"/>
      <c r="D275" s="13"/>
      <c r="E275" s="13"/>
    </row>
    <row r="276" spans="2:5" ht="16.5" customHeight="1">
      <c r="B276" s="13"/>
      <c r="C276" s="13"/>
      <c r="D276" s="13"/>
      <c r="E276" s="13"/>
    </row>
    <row r="277" spans="2:5" ht="16.5" customHeight="1">
      <c r="B277" s="13"/>
      <c r="C277" s="13"/>
      <c r="D277" s="13"/>
      <c r="E277" s="13"/>
    </row>
    <row r="278" spans="2:5" ht="16.5" customHeight="1">
      <c r="B278" s="13"/>
      <c r="C278" s="13"/>
      <c r="D278" s="13"/>
      <c r="E278" s="13"/>
    </row>
    <row r="279" spans="2:5" ht="16.5" customHeight="1">
      <c r="B279" s="13"/>
      <c r="C279" s="13"/>
      <c r="D279" s="13"/>
      <c r="E279" s="13"/>
    </row>
    <row r="280" spans="2:5" ht="16.5" customHeight="1">
      <c r="B280" s="13"/>
      <c r="C280" s="13"/>
      <c r="D280" s="13"/>
      <c r="E280" s="13"/>
    </row>
    <row r="281" spans="2:5" ht="16.5" customHeight="1">
      <c r="B281" s="13"/>
      <c r="C281" s="13"/>
      <c r="D281" s="13"/>
      <c r="E281" s="13"/>
    </row>
    <row r="282" spans="2:5" ht="16.5" customHeight="1">
      <c r="B282" s="13"/>
      <c r="C282" s="13"/>
      <c r="D282" s="13"/>
      <c r="E282" s="13"/>
    </row>
    <row r="283" spans="2:5" ht="16.5" customHeight="1">
      <c r="B283" s="13"/>
      <c r="C283" s="13"/>
      <c r="D283" s="13"/>
      <c r="E283" s="13"/>
    </row>
    <row r="284" spans="2:5" ht="16.5" customHeight="1">
      <c r="B284" s="13"/>
      <c r="C284" s="13"/>
      <c r="D284" s="13"/>
      <c r="E284" s="13"/>
    </row>
    <row r="285" spans="2:5" ht="16.5" customHeight="1">
      <c r="B285" s="13"/>
      <c r="C285" s="13"/>
      <c r="D285" s="13"/>
      <c r="E285" s="13"/>
    </row>
    <row r="286" spans="2:5" ht="16.5" customHeight="1">
      <c r="B286" s="13"/>
      <c r="C286" s="13"/>
      <c r="D286" s="13"/>
      <c r="E286" s="13"/>
    </row>
    <row r="287" spans="2:5" ht="16.5" customHeight="1">
      <c r="B287" s="13"/>
      <c r="C287" s="13"/>
      <c r="D287" s="13"/>
      <c r="E287" s="13"/>
    </row>
    <row r="288" spans="2:5" ht="16.5" customHeight="1">
      <c r="B288" s="13"/>
      <c r="C288" s="13"/>
      <c r="D288" s="13"/>
      <c r="E288" s="13"/>
    </row>
    <row r="289" spans="2:5" ht="16.5" customHeight="1">
      <c r="B289" s="13"/>
      <c r="C289" s="13"/>
      <c r="D289" s="13"/>
      <c r="E289" s="13"/>
    </row>
    <row r="290" spans="2:5" ht="16.5" customHeight="1">
      <c r="B290" s="13"/>
      <c r="C290" s="13"/>
      <c r="D290" s="13"/>
      <c r="E290" s="13"/>
    </row>
    <row r="291" spans="2:5" ht="16.5" customHeight="1">
      <c r="B291" s="13"/>
      <c r="C291" s="13"/>
      <c r="D291" s="13"/>
      <c r="E291" s="13"/>
    </row>
    <row r="292" spans="2:5" ht="16.5" customHeight="1">
      <c r="B292" s="13"/>
      <c r="C292" s="13"/>
      <c r="D292" s="13"/>
      <c r="E292" s="13"/>
    </row>
    <row r="293" spans="2:5" ht="16.5" customHeight="1">
      <c r="B293" s="13"/>
      <c r="C293" s="13"/>
      <c r="D293" s="13"/>
      <c r="E293" s="13"/>
    </row>
    <row r="294" spans="2:5" ht="16.5" customHeight="1">
      <c r="B294" s="13"/>
      <c r="C294" s="13"/>
      <c r="D294" s="13"/>
      <c r="E294" s="13"/>
    </row>
    <row r="295" spans="2:5" ht="16.5" customHeight="1">
      <c r="B295" s="13"/>
      <c r="C295" s="13"/>
      <c r="D295" s="13"/>
      <c r="E295" s="13"/>
    </row>
    <row r="296" spans="2:5" ht="16.5" customHeight="1">
      <c r="B296" s="13"/>
      <c r="C296" s="13"/>
      <c r="D296" s="13"/>
      <c r="E296" s="13"/>
    </row>
    <row r="297" spans="2:5" ht="16.5" customHeight="1">
      <c r="B297" s="13"/>
      <c r="C297" s="13"/>
      <c r="D297" s="13"/>
      <c r="E297" s="13"/>
    </row>
    <row r="298" spans="2:5" ht="16.5" customHeight="1">
      <c r="B298" s="13"/>
      <c r="C298" s="13"/>
      <c r="D298" s="13"/>
      <c r="E298" s="13"/>
    </row>
    <row r="299" spans="2:5" ht="16.5" customHeight="1">
      <c r="B299" s="13"/>
      <c r="C299" s="13"/>
      <c r="D299" s="13"/>
      <c r="E299" s="13"/>
    </row>
    <row r="300" spans="2:5" ht="16.5" customHeight="1">
      <c r="B300" s="13"/>
      <c r="C300" s="13"/>
      <c r="D300" s="13"/>
      <c r="E300" s="13"/>
    </row>
    <row r="301" spans="2:5" ht="16.5" customHeight="1">
      <c r="B301" s="13"/>
      <c r="C301" s="13"/>
      <c r="D301" s="13"/>
      <c r="E301" s="13"/>
    </row>
    <row r="302" spans="2:5" ht="16.5" customHeight="1">
      <c r="B302" s="13"/>
      <c r="C302" s="13"/>
      <c r="D302" s="13"/>
      <c r="E302" s="13"/>
    </row>
    <row r="303" spans="2:5" ht="16.5" customHeight="1">
      <c r="B303" s="13"/>
      <c r="C303" s="13"/>
      <c r="D303" s="13"/>
      <c r="E303" s="13"/>
    </row>
    <row r="304" spans="2:5" ht="16.5" customHeight="1">
      <c r="B304" s="13"/>
      <c r="C304" s="13"/>
      <c r="D304" s="13"/>
      <c r="E304" s="13"/>
    </row>
    <row r="305" spans="2:5" ht="16.5" customHeight="1">
      <c r="B305" s="13"/>
      <c r="C305" s="13"/>
      <c r="D305" s="13"/>
      <c r="E305" s="13"/>
    </row>
    <row r="306" spans="2:5" ht="16.5" customHeight="1">
      <c r="B306" s="13"/>
      <c r="C306" s="13"/>
      <c r="D306" s="13"/>
      <c r="E306" s="13"/>
    </row>
    <row r="307" spans="2:5" ht="16.5" customHeight="1">
      <c r="B307" s="13"/>
      <c r="C307" s="13"/>
      <c r="D307" s="13"/>
      <c r="E307" s="13"/>
    </row>
    <row r="308" spans="2:5" ht="16.5" customHeight="1">
      <c r="B308" s="13"/>
      <c r="C308" s="13"/>
      <c r="D308" s="13"/>
      <c r="E308" s="13"/>
    </row>
    <row r="309" spans="2:5" ht="16.5" customHeight="1">
      <c r="B309" s="13"/>
      <c r="C309" s="13"/>
      <c r="D309" s="13"/>
      <c r="E309" s="13"/>
    </row>
    <row r="310" spans="2:5" ht="16.5" customHeight="1">
      <c r="B310" s="13"/>
      <c r="C310" s="13"/>
      <c r="D310" s="13"/>
      <c r="E310" s="13"/>
    </row>
    <row r="311" spans="2:5" ht="16.5" customHeight="1">
      <c r="B311" s="13"/>
      <c r="C311" s="13"/>
      <c r="D311" s="13"/>
      <c r="E311" s="13"/>
    </row>
    <row r="312" spans="2:5" ht="16.5" customHeight="1">
      <c r="B312" s="13"/>
      <c r="C312" s="13"/>
      <c r="D312" s="13"/>
      <c r="E312" s="13"/>
    </row>
    <row r="313" spans="2:5" ht="16.5" customHeight="1">
      <c r="B313" s="13"/>
      <c r="C313" s="13"/>
      <c r="D313" s="13"/>
      <c r="E313" s="13"/>
    </row>
    <row r="314" spans="2:5" ht="16.5" customHeight="1">
      <c r="B314" s="13"/>
      <c r="C314" s="13"/>
      <c r="D314" s="13"/>
      <c r="E314" s="13"/>
    </row>
    <row r="315" spans="2:5" ht="16.5" customHeight="1">
      <c r="B315" s="13"/>
      <c r="C315" s="13"/>
      <c r="D315" s="13"/>
      <c r="E315" s="13"/>
    </row>
    <row r="316" spans="2:5" ht="16.5" customHeight="1">
      <c r="B316" s="13"/>
      <c r="C316" s="13"/>
      <c r="D316" s="13"/>
      <c r="E316" s="13"/>
    </row>
    <row r="317" spans="2:5" ht="16.5" customHeight="1">
      <c r="B317" s="13"/>
      <c r="C317" s="13"/>
      <c r="D317" s="13"/>
      <c r="E317" s="13"/>
    </row>
    <row r="318" spans="2:5" ht="16.5" customHeight="1">
      <c r="B318" s="13"/>
      <c r="C318" s="13"/>
      <c r="D318" s="13"/>
      <c r="E318" s="13"/>
    </row>
    <row r="319" spans="2:5" ht="16.5" customHeight="1">
      <c r="B319" s="13"/>
      <c r="C319" s="13"/>
      <c r="D319" s="13"/>
      <c r="E319" s="13"/>
    </row>
    <row r="320" spans="2:5" ht="16.5" customHeight="1">
      <c r="B320" s="13"/>
      <c r="C320" s="13"/>
      <c r="D320" s="13"/>
      <c r="E320" s="13"/>
    </row>
    <row r="321" spans="2:5" ht="16.5" customHeight="1">
      <c r="B321" s="13"/>
      <c r="C321" s="13"/>
      <c r="D321" s="13"/>
      <c r="E321" s="13"/>
    </row>
    <row r="322" spans="2:5" ht="16.5" customHeight="1">
      <c r="B322" s="13"/>
      <c r="C322" s="13"/>
      <c r="D322" s="13"/>
      <c r="E322" s="13"/>
    </row>
    <row r="323" spans="2:5" ht="16.5" customHeight="1">
      <c r="B323" s="13"/>
      <c r="C323" s="13"/>
      <c r="D323" s="13"/>
      <c r="E323" s="13"/>
    </row>
    <row r="324" spans="2:5" ht="16.5" customHeight="1">
      <c r="B324" s="13"/>
      <c r="C324" s="13"/>
      <c r="D324" s="13"/>
      <c r="E324" s="13"/>
    </row>
    <row r="325" spans="2:5" ht="16.5" customHeight="1">
      <c r="B325" s="13"/>
      <c r="C325" s="13"/>
      <c r="D325" s="13"/>
      <c r="E325" s="13"/>
    </row>
    <row r="326" spans="2:5" ht="16.5" customHeight="1">
      <c r="B326" s="13"/>
      <c r="C326" s="13"/>
      <c r="D326" s="13"/>
      <c r="E326" s="13"/>
    </row>
    <row r="327" spans="2:5" ht="16.5" customHeight="1">
      <c r="B327" s="13"/>
      <c r="C327" s="13"/>
      <c r="D327" s="13"/>
      <c r="E327" s="13"/>
    </row>
    <row r="328" spans="2:5" ht="16.5" customHeight="1">
      <c r="B328" s="13"/>
      <c r="C328" s="13"/>
      <c r="D328" s="13"/>
      <c r="E328" s="13"/>
    </row>
    <row r="329" spans="2:5" ht="16.5" customHeight="1">
      <c r="B329" s="13"/>
      <c r="C329" s="13"/>
      <c r="D329" s="13"/>
      <c r="E329" s="13"/>
    </row>
    <row r="330" spans="2:5" ht="16.5" customHeight="1">
      <c r="B330" s="13"/>
      <c r="C330" s="13"/>
      <c r="D330" s="13"/>
      <c r="E330" s="13"/>
    </row>
    <row r="331" spans="2:5" ht="16.5" customHeight="1">
      <c r="B331" s="13"/>
      <c r="C331" s="13"/>
      <c r="D331" s="13"/>
      <c r="E331" s="13"/>
    </row>
    <row r="332" spans="2:5" ht="16.5" customHeight="1">
      <c r="B332" s="13"/>
      <c r="C332" s="13"/>
      <c r="D332" s="13"/>
      <c r="E332" s="13"/>
    </row>
    <row r="333" spans="2:5" ht="16.5" customHeight="1">
      <c r="B333" s="13"/>
      <c r="C333" s="13"/>
      <c r="D333" s="13"/>
      <c r="E333" s="13"/>
    </row>
    <row r="334" spans="2:5" ht="16.5" customHeight="1">
      <c r="B334" s="13"/>
      <c r="C334" s="13"/>
      <c r="D334" s="13"/>
      <c r="E334" s="13"/>
    </row>
    <row r="335" spans="2:5" ht="16.5" customHeight="1">
      <c r="B335" s="13"/>
      <c r="C335" s="13"/>
      <c r="D335" s="13"/>
      <c r="E335" s="13"/>
    </row>
    <row r="336" spans="2:5" ht="16.5" customHeight="1">
      <c r="B336" s="13"/>
      <c r="C336" s="13"/>
      <c r="D336" s="13"/>
      <c r="E336" s="13"/>
    </row>
    <row r="337" spans="2:5" ht="16.5" customHeight="1">
      <c r="B337" s="13"/>
      <c r="C337" s="13"/>
      <c r="D337" s="13"/>
      <c r="E337" s="13"/>
    </row>
    <row r="338" spans="2:5" ht="16.5" customHeight="1">
      <c r="B338" s="13"/>
      <c r="C338" s="13"/>
      <c r="D338" s="13"/>
      <c r="E338" s="13"/>
    </row>
    <row r="339" spans="2:5" ht="16.5" customHeight="1">
      <c r="B339" s="13"/>
      <c r="C339" s="13"/>
      <c r="D339" s="13"/>
      <c r="E339" s="13"/>
    </row>
    <row r="340" spans="2:5" ht="16.5" customHeight="1">
      <c r="B340" s="13"/>
      <c r="C340" s="13"/>
      <c r="D340" s="13"/>
      <c r="E340" s="13"/>
    </row>
    <row r="341" spans="2:5" ht="16.5" customHeight="1">
      <c r="B341" s="13"/>
      <c r="C341" s="13"/>
      <c r="D341" s="13"/>
      <c r="E341" s="13"/>
    </row>
    <row r="342" spans="2:5" ht="16.5" customHeight="1">
      <c r="B342" s="13"/>
      <c r="C342" s="13"/>
      <c r="D342" s="13"/>
      <c r="E342" s="13"/>
    </row>
    <row r="343" spans="2:5" ht="16.5" customHeight="1">
      <c r="B343" s="13"/>
      <c r="C343" s="13"/>
      <c r="D343" s="13"/>
      <c r="E343" s="13"/>
    </row>
    <row r="344" spans="2:5" ht="16.5" customHeight="1">
      <c r="B344" s="13"/>
      <c r="C344" s="13"/>
      <c r="D344" s="13"/>
      <c r="E344" s="13"/>
    </row>
    <row r="345" spans="2:5" ht="16.5" customHeight="1">
      <c r="B345" s="13"/>
      <c r="C345" s="13"/>
      <c r="D345" s="13"/>
      <c r="E345" s="13"/>
    </row>
    <row r="346" spans="2:5" ht="16.5" customHeight="1">
      <c r="B346" s="13"/>
      <c r="C346" s="13"/>
      <c r="D346" s="13"/>
      <c r="E346" s="13"/>
    </row>
    <row r="347" spans="2:5" ht="16.5" customHeight="1">
      <c r="B347" s="13"/>
      <c r="C347" s="13"/>
      <c r="D347" s="13"/>
      <c r="E347" s="13"/>
    </row>
    <row r="348" spans="2:5" ht="16.5" customHeight="1">
      <c r="B348" s="13"/>
      <c r="C348" s="13"/>
      <c r="D348" s="13"/>
      <c r="E348" s="13"/>
    </row>
    <row r="349" spans="2:5" ht="16.5" customHeight="1">
      <c r="B349" s="13"/>
      <c r="C349" s="13"/>
      <c r="D349" s="13"/>
      <c r="E349" s="13"/>
    </row>
    <row r="350" spans="2:5" ht="16.5" customHeight="1">
      <c r="B350" s="13"/>
      <c r="C350" s="13"/>
      <c r="D350" s="13"/>
      <c r="E350" s="13"/>
    </row>
    <row r="351" spans="2:5" ht="16.5" customHeight="1">
      <c r="B351" s="13"/>
      <c r="C351" s="13"/>
      <c r="D351" s="13"/>
      <c r="E351" s="13"/>
    </row>
    <row r="352" spans="2:5" ht="16.5" customHeight="1">
      <c r="B352" s="13"/>
      <c r="C352" s="13"/>
      <c r="D352" s="13"/>
      <c r="E352" s="13"/>
    </row>
    <row r="353" spans="2:5" ht="16.5" customHeight="1">
      <c r="B353" s="13"/>
      <c r="C353" s="13"/>
      <c r="D353" s="13"/>
      <c r="E353" s="13"/>
    </row>
    <row r="354" spans="2:5" ht="16.5" customHeight="1">
      <c r="B354" s="13"/>
      <c r="C354" s="13"/>
      <c r="D354" s="13"/>
      <c r="E354" s="13"/>
    </row>
    <row r="355" spans="2:5" ht="16.5" customHeight="1">
      <c r="B355" s="13"/>
      <c r="C355" s="13"/>
      <c r="D355" s="13"/>
      <c r="E355" s="13"/>
    </row>
    <row r="356" spans="2:5" ht="16.5" customHeight="1">
      <c r="B356" s="13"/>
      <c r="C356" s="13"/>
      <c r="D356" s="13"/>
      <c r="E356" s="13"/>
    </row>
    <row r="357" spans="2:5" ht="16.5" customHeight="1">
      <c r="B357" s="13"/>
      <c r="C357" s="13"/>
      <c r="D357" s="13"/>
      <c r="E357" s="13"/>
    </row>
    <row r="358" spans="2:5" ht="16.5" customHeight="1">
      <c r="B358" s="13"/>
      <c r="C358" s="13"/>
      <c r="D358" s="13"/>
      <c r="E358" s="13"/>
    </row>
    <row r="359" spans="2:5" ht="16.5" customHeight="1">
      <c r="B359" s="13"/>
      <c r="C359" s="13"/>
      <c r="D359" s="13"/>
      <c r="E359" s="13"/>
    </row>
    <row r="360" spans="2:5" ht="16.5" customHeight="1">
      <c r="B360" s="13"/>
      <c r="C360" s="13"/>
      <c r="D360" s="13"/>
      <c r="E360" s="13"/>
    </row>
    <row r="361" spans="2:5" ht="16.5" customHeight="1">
      <c r="B361" s="13"/>
      <c r="C361" s="13"/>
      <c r="D361" s="13"/>
      <c r="E361" s="13"/>
    </row>
    <row r="362" spans="2:5" ht="16.5" customHeight="1">
      <c r="B362" s="13"/>
      <c r="C362" s="13"/>
      <c r="D362" s="13"/>
      <c r="E362" s="13"/>
    </row>
    <row r="363" spans="2:5" ht="16.5" customHeight="1">
      <c r="B363" s="13"/>
      <c r="C363" s="13"/>
      <c r="D363" s="13"/>
      <c r="E363" s="13"/>
    </row>
    <row r="364" spans="2:5" ht="16.5" customHeight="1">
      <c r="B364" s="13"/>
      <c r="C364" s="13"/>
      <c r="D364" s="13"/>
      <c r="E364" s="13"/>
    </row>
    <row r="365" spans="2:5" ht="16.5" customHeight="1">
      <c r="B365" s="13"/>
      <c r="C365" s="13"/>
      <c r="D365" s="13"/>
      <c r="E365" s="13"/>
    </row>
    <row r="366" spans="2:5" ht="16.5" customHeight="1">
      <c r="B366" s="13"/>
      <c r="C366" s="13"/>
      <c r="D366" s="13"/>
      <c r="E366" s="13"/>
    </row>
    <row r="367" spans="2:5" ht="16.5" customHeight="1">
      <c r="B367" s="13"/>
      <c r="C367" s="13"/>
      <c r="D367" s="13"/>
      <c r="E367" s="13"/>
    </row>
    <row r="368" spans="2:5" ht="16.5" customHeight="1">
      <c r="B368" s="13"/>
      <c r="C368" s="13"/>
      <c r="D368" s="13"/>
      <c r="E368" s="13"/>
    </row>
    <row r="369" spans="2:5" ht="16.5" customHeight="1">
      <c r="B369" s="13"/>
      <c r="C369" s="13"/>
      <c r="D369" s="13"/>
      <c r="E369" s="13"/>
    </row>
    <row r="370" spans="2:5" ht="16.5" customHeight="1">
      <c r="B370" s="13"/>
      <c r="C370" s="13"/>
      <c r="D370" s="13"/>
      <c r="E370" s="13"/>
    </row>
    <row r="371" spans="2:5" ht="16.5" customHeight="1">
      <c r="B371" s="13"/>
      <c r="C371" s="13"/>
      <c r="D371" s="13"/>
      <c r="E371" s="13"/>
    </row>
    <row r="372" spans="2:5" ht="16.5" customHeight="1">
      <c r="B372" s="13"/>
      <c r="C372" s="13"/>
      <c r="D372" s="13"/>
      <c r="E372" s="13"/>
    </row>
    <row r="373" spans="2:5" ht="16.5" customHeight="1">
      <c r="B373" s="13"/>
      <c r="C373" s="13"/>
      <c r="D373" s="13"/>
      <c r="E373" s="13"/>
    </row>
    <row r="374" spans="2:5" ht="16.5" customHeight="1">
      <c r="B374" s="13"/>
      <c r="C374" s="13"/>
      <c r="D374" s="13"/>
      <c r="E374" s="13"/>
    </row>
    <row r="375" spans="2:5" ht="16.5" customHeight="1">
      <c r="B375" s="13"/>
      <c r="C375" s="13"/>
      <c r="D375" s="13"/>
      <c r="E375" s="13"/>
    </row>
    <row r="376" spans="2:5" ht="16.5" customHeight="1">
      <c r="B376" s="13"/>
      <c r="C376" s="13"/>
      <c r="D376" s="13"/>
      <c r="E376" s="13"/>
    </row>
    <row r="377" spans="2:5" ht="16.5" customHeight="1">
      <c r="B377" s="13"/>
      <c r="C377" s="13"/>
      <c r="D377" s="13"/>
      <c r="E377" s="13"/>
    </row>
    <row r="378" spans="2:5" ht="16.5" customHeight="1">
      <c r="B378" s="13"/>
      <c r="C378" s="13"/>
      <c r="D378" s="13"/>
      <c r="E378" s="13"/>
    </row>
    <row r="379" spans="2:5" ht="16.5" customHeight="1">
      <c r="B379" s="13"/>
      <c r="C379" s="13"/>
      <c r="D379" s="13"/>
      <c r="E379" s="13"/>
    </row>
    <row r="380" spans="2:5" ht="16.5" customHeight="1">
      <c r="B380" s="13"/>
      <c r="C380" s="13"/>
      <c r="D380" s="13"/>
      <c r="E380" s="13"/>
    </row>
    <row r="381" spans="2:5" ht="16.5" customHeight="1">
      <c r="B381" s="13"/>
      <c r="C381" s="13"/>
      <c r="D381" s="13"/>
      <c r="E381" s="13"/>
    </row>
    <row r="382" spans="2:5" ht="16.5" customHeight="1">
      <c r="B382" s="13"/>
      <c r="C382" s="13"/>
      <c r="D382" s="13"/>
      <c r="E382" s="13"/>
    </row>
    <row r="383" spans="2:5" ht="16.5" customHeight="1">
      <c r="B383" s="13"/>
      <c r="C383" s="13"/>
      <c r="D383" s="13"/>
      <c r="E383" s="13"/>
    </row>
    <row r="384" spans="2:5" ht="16.5" customHeight="1">
      <c r="B384" s="13"/>
      <c r="C384" s="13"/>
      <c r="D384" s="13"/>
      <c r="E384" s="13"/>
    </row>
    <row r="385" spans="2:5" ht="16.5" customHeight="1">
      <c r="B385" s="13"/>
      <c r="C385" s="13"/>
      <c r="D385" s="13"/>
      <c r="E385" s="13"/>
    </row>
    <row r="386" spans="2:5" ht="16.5" customHeight="1">
      <c r="B386" s="13"/>
      <c r="C386" s="13"/>
      <c r="D386" s="13"/>
      <c r="E386" s="13"/>
    </row>
    <row r="387" spans="2:5" ht="16.5" customHeight="1">
      <c r="B387" s="13"/>
      <c r="C387" s="13"/>
      <c r="D387" s="13"/>
      <c r="E387" s="13"/>
    </row>
    <row r="388" spans="2:5" ht="16.5" customHeight="1">
      <c r="B388" s="13"/>
      <c r="C388" s="13"/>
      <c r="D388" s="13"/>
      <c r="E388" s="13"/>
    </row>
    <row r="389" spans="2:5" ht="16.5" customHeight="1">
      <c r="B389" s="13"/>
      <c r="C389" s="13"/>
      <c r="D389" s="13"/>
      <c r="E389" s="13"/>
    </row>
    <row r="390" spans="2:5" ht="16.5" customHeight="1">
      <c r="B390" s="13"/>
      <c r="C390" s="13"/>
      <c r="D390" s="13"/>
      <c r="E390" s="13"/>
    </row>
    <row r="391" spans="2:5" ht="16.5" customHeight="1">
      <c r="B391" s="13"/>
      <c r="C391" s="13"/>
      <c r="D391" s="13"/>
      <c r="E391" s="13"/>
    </row>
    <row r="392" spans="2:5" ht="16.5" customHeight="1">
      <c r="B392" s="13"/>
      <c r="C392" s="13"/>
      <c r="D392" s="13"/>
      <c r="E392" s="13"/>
    </row>
    <row r="393" spans="2:5" ht="16.5" customHeight="1">
      <c r="B393" s="13"/>
      <c r="C393" s="13"/>
      <c r="D393" s="13"/>
      <c r="E393" s="13"/>
    </row>
    <row r="394" spans="2:5" ht="16.5" customHeight="1">
      <c r="B394" s="13"/>
      <c r="C394" s="13"/>
      <c r="D394" s="13"/>
      <c r="E394" s="13"/>
    </row>
    <row r="395" spans="2:5" ht="16.5" customHeight="1">
      <c r="B395" s="13"/>
      <c r="C395" s="13"/>
      <c r="D395" s="13"/>
      <c r="E395" s="13"/>
    </row>
    <row r="396" spans="2:5" ht="16.5" customHeight="1">
      <c r="B396" s="13"/>
      <c r="C396" s="13"/>
      <c r="D396" s="13"/>
      <c r="E396" s="13"/>
    </row>
    <row r="397" spans="2:5" ht="16.5" customHeight="1">
      <c r="B397" s="13"/>
      <c r="C397" s="13"/>
      <c r="D397" s="13"/>
      <c r="E397" s="13"/>
    </row>
    <row r="398" spans="2:5" ht="16.5" customHeight="1">
      <c r="B398" s="13"/>
      <c r="C398" s="13"/>
      <c r="D398" s="13"/>
      <c r="E398" s="13"/>
    </row>
    <row r="399" spans="2:5" ht="16.5" customHeight="1">
      <c r="B399" s="13"/>
      <c r="C399" s="13"/>
      <c r="D399" s="13"/>
      <c r="E399" s="13"/>
    </row>
    <row r="400" spans="2:5" ht="16.5" customHeight="1">
      <c r="B400" s="13"/>
      <c r="C400" s="13"/>
      <c r="D400" s="13"/>
      <c r="E400" s="13"/>
    </row>
    <row r="401" spans="2:5" ht="16.5" customHeight="1">
      <c r="B401" s="13"/>
      <c r="C401" s="13"/>
      <c r="D401" s="13"/>
      <c r="E401" s="13"/>
    </row>
    <row r="402" spans="2:5" ht="16.5" customHeight="1">
      <c r="B402" s="13"/>
      <c r="C402" s="13"/>
      <c r="D402" s="13"/>
      <c r="E402" s="13"/>
    </row>
    <row r="403" spans="2:5" ht="16.5" customHeight="1">
      <c r="B403" s="13"/>
      <c r="C403" s="13"/>
      <c r="D403" s="13"/>
      <c r="E403" s="13"/>
    </row>
    <row r="404" spans="2:5" ht="16.5" customHeight="1">
      <c r="B404" s="13"/>
      <c r="C404" s="13"/>
      <c r="D404" s="13"/>
      <c r="E404" s="13"/>
    </row>
    <row r="405" spans="2:5" ht="16.5" customHeight="1">
      <c r="B405" s="13"/>
      <c r="C405" s="13"/>
      <c r="D405" s="13"/>
      <c r="E405" s="13"/>
    </row>
    <row r="406" spans="2:5" ht="16.5" customHeight="1">
      <c r="B406" s="13"/>
      <c r="C406" s="13"/>
      <c r="D406" s="13"/>
      <c r="E406" s="13"/>
    </row>
    <row r="407" spans="2:5" ht="16.5" customHeight="1">
      <c r="B407" s="13"/>
      <c r="C407" s="13"/>
      <c r="D407" s="13"/>
      <c r="E407" s="13"/>
    </row>
    <row r="408" spans="2:5" ht="16.5" customHeight="1">
      <c r="B408" s="13"/>
      <c r="C408" s="13"/>
      <c r="D408" s="13"/>
      <c r="E408" s="13"/>
    </row>
    <row r="409" spans="2:5" ht="16.5" customHeight="1">
      <c r="B409" s="13"/>
      <c r="C409" s="13"/>
      <c r="D409" s="13"/>
      <c r="E409" s="13"/>
    </row>
    <row r="410" spans="2:5" ht="16.5" customHeight="1">
      <c r="B410" s="13"/>
      <c r="C410" s="13"/>
      <c r="D410" s="13"/>
      <c r="E410" s="13"/>
    </row>
    <row r="411" spans="2:5" ht="16.5" customHeight="1">
      <c r="B411" s="13"/>
      <c r="C411" s="13"/>
      <c r="D411" s="13"/>
      <c r="E411" s="13"/>
    </row>
    <row r="412" spans="2:5" ht="16.5" customHeight="1">
      <c r="B412" s="13"/>
      <c r="C412" s="13"/>
      <c r="D412" s="13"/>
      <c r="E412" s="13"/>
    </row>
    <row r="413" spans="2:5" ht="16.5" customHeight="1">
      <c r="B413" s="13"/>
      <c r="C413" s="13"/>
      <c r="D413" s="13"/>
      <c r="E413" s="13"/>
    </row>
    <row r="414" spans="2:5" ht="16.5" customHeight="1">
      <c r="B414" s="13"/>
      <c r="C414" s="13"/>
      <c r="D414" s="13"/>
      <c r="E414" s="13"/>
    </row>
    <row r="415" spans="2:5" ht="16.5" customHeight="1">
      <c r="B415" s="13"/>
      <c r="C415" s="13"/>
      <c r="D415" s="13"/>
      <c r="E415" s="13"/>
    </row>
    <row r="416" spans="2:5" ht="16.5" customHeight="1">
      <c r="B416" s="13"/>
      <c r="C416" s="13"/>
      <c r="D416" s="13"/>
      <c r="E416" s="13"/>
    </row>
    <row r="417" spans="2:5" ht="16.5" customHeight="1">
      <c r="B417" s="13"/>
      <c r="C417" s="13"/>
      <c r="D417" s="13"/>
      <c r="E417" s="13"/>
    </row>
    <row r="418" spans="2:5" ht="16.5" customHeight="1">
      <c r="B418" s="13"/>
      <c r="C418" s="13"/>
      <c r="D418" s="13"/>
      <c r="E418" s="13"/>
    </row>
    <row r="419" spans="2:5" ht="16.5" customHeight="1">
      <c r="B419" s="13"/>
      <c r="C419" s="13"/>
      <c r="D419" s="13"/>
      <c r="E419" s="13"/>
    </row>
    <row r="420" spans="2:5" ht="16.5" customHeight="1">
      <c r="B420" s="13"/>
      <c r="C420" s="13"/>
      <c r="D420" s="13"/>
      <c r="E420" s="13"/>
    </row>
    <row r="421" spans="2:5" ht="16.5" customHeight="1">
      <c r="B421" s="13"/>
      <c r="C421" s="13"/>
      <c r="D421" s="13"/>
      <c r="E421" s="13"/>
    </row>
    <row r="422" spans="2:5" ht="16.5" customHeight="1">
      <c r="B422" s="13"/>
      <c r="C422" s="13"/>
      <c r="D422" s="13"/>
      <c r="E422" s="13"/>
    </row>
    <row r="423" spans="2:5" ht="16.5" customHeight="1">
      <c r="B423" s="13"/>
      <c r="C423" s="13"/>
      <c r="D423" s="13"/>
      <c r="E423" s="13"/>
    </row>
    <row r="424" spans="2:5" ht="16.5" customHeight="1">
      <c r="B424" s="13"/>
      <c r="C424" s="13"/>
      <c r="D424" s="13"/>
      <c r="E424" s="13"/>
    </row>
    <row r="425" spans="2:5" ht="16.5" customHeight="1">
      <c r="B425" s="13"/>
      <c r="C425" s="13"/>
      <c r="D425" s="13"/>
      <c r="E425" s="13"/>
    </row>
    <row r="426" spans="2:5" ht="16.5" customHeight="1">
      <c r="B426" s="13"/>
      <c r="C426" s="13"/>
      <c r="D426" s="13"/>
      <c r="E426" s="13"/>
    </row>
    <row r="427" spans="2:5" ht="16.5" customHeight="1">
      <c r="B427" s="13"/>
      <c r="C427" s="13"/>
      <c r="D427" s="13"/>
      <c r="E427" s="13"/>
    </row>
    <row r="428" spans="2:5" ht="16.5" customHeight="1">
      <c r="B428" s="13"/>
      <c r="C428" s="13"/>
      <c r="D428" s="13"/>
      <c r="E428" s="13"/>
    </row>
    <row r="429" spans="2:5" ht="16.5" customHeight="1">
      <c r="B429" s="13"/>
      <c r="C429" s="13"/>
      <c r="D429" s="13"/>
      <c r="E429" s="13"/>
    </row>
    <row r="430" spans="2:5" ht="16.5" customHeight="1">
      <c r="B430" s="13"/>
      <c r="C430" s="13"/>
      <c r="D430" s="13"/>
      <c r="E430" s="13"/>
    </row>
    <row r="431" spans="2:5" ht="16.5" customHeight="1">
      <c r="B431" s="13"/>
      <c r="C431" s="13"/>
      <c r="D431" s="13"/>
      <c r="E431" s="13"/>
    </row>
    <row r="432" spans="2:5" ht="16.5" customHeight="1">
      <c r="B432" s="13"/>
      <c r="C432" s="13"/>
      <c r="D432" s="13"/>
      <c r="E432" s="13"/>
    </row>
    <row r="433" spans="2:5" ht="16.5" customHeight="1">
      <c r="B433" s="13"/>
      <c r="C433" s="13"/>
      <c r="D433" s="13"/>
      <c r="E433" s="13"/>
    </row>
    <row r="434" spans="2:5" ht="16.5" customHeight="1">
      <c r="B434" s="13"/>
      <c r="C434" s="13"/>
      <c r="D434" s="13"/>
      <c r="E434" s="13"/>
    </row>
    <row r="435" spans="2:5" ht="16.5" customHeight="1">
      <c r="B435" s="13"/>
      <c r="C435" s="13"/>
      <c r="D435" s="13"/>
      <c r="E435" s="13"/>
    </row>
    <row r="436" spans="2:5" ht="16.5" customHeight="1">
      <c r="B436" s="13"/>
      <c r="C436" s="13"/>
      <c r="D436" s="13"/>
      <c r="E436" s="13"/>
    </row>
    <row r="437" spans="2:5" ht="16.5" customHeight="1">
      <c r="B437" s="13"/>
      <c r="C437" s="13"/>
      <c r="D437" s="13"/>
      <c r="E437" s="13"/>
    </row>
    <row r="438" spans="2:5" ht="16.5" customHeight="1">
      <c r="B438" s="13"/>
      <c r="C438" s="13"/>
      <c r="D438" s="13"/>
      <c r="E438" s="13"/>
    </row>
    <row r="439" spans="2:5" ht="16.5" customHeight="1">
      <c r="B439" s="13"/>
      <c r="C439" s="13"/>
      <c r="D439" s="13"/>
      <c r="E439" s="13"/>
    </row>
    <row r="440" spans="2:5" ht="16.5" customHeight="1">
      <c r="B440" s="13"/>
      <c r="C440" s="13"/>
      <c r="D440" s="13"/>
      <c r="E440" s="13"/>
    </row>
    <row r="441" spans="2:5" ht="16.5" customHeight="1">
      <c r="B441" s="13"/>
      <c r="C441" s="13"/>
      <c r="D441" s="13"/>
      <c r="E441" s="13"/>
    </row>
    <row r="442" spans="2:5" ht="16.5" customHeight="1">
      <c r="B442" s="13"/>
      <c r="C442" s="13"/>
      <c r="D442" s="13"/>
      <c r="E442" s="13"/>
    </row>
    <row r="443" spans="2:5" ht="16.5" customHeight="1">
      <c r="B443" s="13"/>
      <c r="C443" s="13"/>
      <c r="D443" s="13"/>
      <c r="E443" s="13"/>
    </row>
    <row r="444" spans="2:5" ht="16.5" customHeight="1">
      <c r="B444" s="13"/>
      <c r="C444" s="13"/>
      <c r="D444" s="13"/>
      <c r="E444" s="13"/>
    </row>
    <row r="445" spans="2:5" ht="16.5" customHeight="1">
      <c r="B445" s="13"/>
      <c r="C445" s="13"/>
      <c r="D445" s="13"/>
      <c r="E445" s="13"/>
    </row>
    <row r="446" spans="2:5" ht="16.5" customHeight="1">
      <c r="B446" s="13"/>
      <c r="C446" s="13"/>
      <c r="D446" s="13"/>
      <c r="E446" s="13"/>
    </row>
    <row r="447" spans="2:5" ht="16.5" customHeight="1">
      <c r="B447" s="13"/>
      <c r="C447" s="13"/>
      <c r="D447" s="13"/>
      <c r="E447" s="13"/>
    </row>
    <row r="448" spans="2:5" ht="16.5" customHeight="1">
      <c r="B448" s="13"/>
      <c r="C448" s="13"/>
      <c r="D448" s="13"/>
      <c r="E448" s="13"/>
    </row>
    <row r="449" spans="2:5" ht="16.5" customHeight="1">
      <c r="B449" s="13"/>
      <c r="C449" s="13"/>
      <c r="D449" s="13"/>
      <c r="E449" s="13"/>
    </row>
    <row r="450" spans="2:5" ht="16.5" customHeight="1">
      <c r="B450" s="13"/>
      <c r="C450" s="13"/>
      <c r="D450" s="13"/>
      <c r="E450" s="13"/>
    </row>
    <row r="451" spans="2:5" ht="16.5" customHeight="1">
      <c r="B451" s="13"/>
      <c r="C451" s="13"/>
      <c r="D451" s="13"/>
      <c r="E451" s="13"/>
    </row>
    <row r="452" spans="2:5" ht="16.5" customHeight="1">
      <c r="B452" s="13"/>
      <c r="C452" s="13"/>
      <c r="D452" s="13"/>
      <c r="E452" s="13"/>
    </row>
    <row r="453" spans="2:5" ht="16.5" customHeight="1">
      <c r="B453" s="13"/>
      <c r="C453" s="13"/>
      <c r="D453" s="13"/>
      <c r="E453" s="13"/>
    </row>
    <row r="454" spans="2:5" ht="16.5" customHeight="1">
      <c r="B454" s="13"/>
      <c r="C454" s="13"/>
      <c r="D454" s="13"/>
      <c r="E454" s="13"/>
    </row>
    <row r="455" spans="2:5" ht="16.5" customHeight="1">
      <c r="B455" s="13"/>
      <c r="C455" s="13"/>
      <c r="D455" s="13"/>
      <c r="E455" s="13"/>
    </row>
    <row r="456" spans="2:5" ht="16.5" customHeight="1">
      <c r="B456" s="13"/>
      <c r="C456" s="13"/>
      <c r="D456" s="13"/>
      <c r="E456" s="13"/>
    </row>
    <row r="457" spans="2:5" ht="16.5" customHeight="1">
      <c r="B457" s="13"/>
      <c r="C457" s="13"/>
      <c r="D457" s="13"/>
      <c r="E457" s="13"/>
    </row>
    <row r="458" spans="2:5" ht="16.5" customHeight="1">
      <c r="B458" s="13"/>
      <c r="C458" s="13"/>
      <c r="D458" s="13"/>
      <c r="E458" s="13"/>
    </row>
    <row r="459" spans="2:5" ht="16.5" customHeight="1">
      <c r="B459" s="13"/>
      <c r="C459" s="13"/>
      <c r="D459" s="13"/>
      <c r="E459" s="13"/>
    </row>
    <row r="460" spans="2:5" ht="16.5" customHeight="1">
      <c r="B460" s="13"/>
      <c r="C460" s="13"/>
      <c r="D460" s="13"/>
      <c r="E460" s="13"/>
    </row>
    <row r="461" spans="2:5" ht="16.5" customHeight="1">
      <c r="B461" s="13"/>
      <c r="C461" s="13"/>
      <c r="D461" s="13"/>
      <c r="E461" s="13"/>
    </row>
    <row r="462" spans="2:5" ht="16.5" customHeight="1">
      <c r="B462" s="13"/>
      <c r="C462" s="13"/>
      <c r="D462" s="13"/>
      <c r="E462" s="13"/>
    </row>
    <row r="463" spans="2:5" ht="16.5" customHeight="1">
      <c r="B463" s="13"/>
      <c r="C463" s="13"/>
      <c r="D463" s="13"/>
      <c r="E463" s="13"/>
    </row>
    <row r="464" spans="2:5" ht="16.5" customHeight="1">
      <c r="B464" s="13"/>
      <c r="C464" s="13"/>
      <c r="D464" s="13"/>
      <c r="E464" s="13"/>
    </row>
    <row r="465" spans="2:5" ht="16.5" customHeight="1">
      <c r="B465" s="13"/>
      <c r="C465" s="13"/>
      <c r="D465" s="13"/>
      <c r="E465" s="13"/>
    </row>
    <row r="466" spans="2:5" ht="16.5" customHeight="1">
      <c r="B466" s="13"/>
      <c r="C466" s="13"/>
      <c r="D466" s="13"/>
      <c r="E466" s="13"/>
    </row>
    <row r="467" spans="2:5" ht="16.5" customHeight="1">
      <c r="B467" s="13"/>
      <c r="C467" s="13"/>
      <c r="D467" s="13"/>
      <c r="E467" s="13"/>
    </row>
    <row r="468" spans="2:5" ht="16.5" customHeight="1">
      <c r="B468" s="13"/>
      <c r="C468" s="13"/>
      <c r="D468" s="13"/>
      <c r="E468" s="13"/>
    </row>
    <row r="469" spans="2:5" ht="16.5" customHeight="1">
      <c r="B469" s="13"/>
      <c r="C469" s="13"/>
      <c r="D469" s="13"/>
      <c r="E469" s="13"/>
    </row>
    <row r="470" spans="2:5" ht="16.5" customHeight="1">
      <c r="B470" s="13"/>
      <c r="C470" s="13"/>
      <c r="D470" s="13"/>
      <c r="E470" s="13"/>
    </row>
    <row r="471" spans="2:5" ht="16.5" customHeight="1">
      <c r="B471" s="13"/>
      <c r="C471" s="13"/>
      <c r="D471" s="13"/>
      <c r="E471" s="13"/>
    </row>
    <row r="472" spans="2:5" ht="16.5" customHeight="1">
      <c r="B472" s="13"/>
      <c r="C472" s="13"/>
      <c r="D472" s="13"/>
      <c r="E472" s="13"/>
    </row>
    <row r="473" spans="2:5" ht="16.5" customHeight="1">
      <c r="B473" s="13"/>
      <c r="C473" s="13"/>
      <c r="D473" s="13"/>
      <c r="E473" s="13"/>
    </row>
    <row r="474" spans="2:5" ht="16.5" customHeight="1">
      <c r="B474" s="13"/>
      <c r="C474" s="13"/>
      <c r="D474" s="13"/>
      <c r="E474" s="13"/>
    </row>
    <row r="475" spans="2:5" ht="16.5" customHeight="1">
      <c r="B475" s="13"/>
      <c r="C475" s="13"/>
      <c r="D475" s="13"/>
      <c r="E475" s="13"/>
    </row>
    <row r="476" spans="2:5" ht="16.5" customHeight="1">
      <c r="B476" s="13"/>
      <c r="C476" s="13"/>
      <c r="D476" s="13"/>
      <c r="E476" s="13"/>
    </row>
    <row r="477" spans="2:5" ht="16.5" customHeight="1">
      <c r="B477" s="13"/>
      <c r="C477" s="13"/>
      <c r="D477" s="13"/>
      <c r="E477" s="13"/>
    </row>
    <row r="478" spans="2:5" ht="16.5" customHeight="1">
      <c r="B478" s="13"/>
      <c r="C478" s="13"/>
      <c r="D478" s="13"/>
      <c r="E478" s="13"/>
    </row>
    <row r="479" spans="2:5" ht="16.5" customHeight="1">
      <c r="B479" s="13"/>
      <c r="C479" s="13"/>
      <c r="D479" s="13"/>
      <c r="E479" s="13"/>
    </row>
    <row r="480" spans="2:5" ht="16.5" customHeight="1">
      <c r="B480" s="13"/>
      <c r="C480" s="13"/>
      <c r="D480" s="13"/>
      <c r="E480" s="13"/>
    </row>
    <row r="481" spans="2:5" ht="16.5" customHeight="1">
      <c r="B481" s="13"/>
      <c r="C481" s="13"/>
      <c r="D481" s="13"/>
      <c r="E481" s="13"/>
    </row>
    <row r="482" spans="2:5" ht="16.5" customHeight="1">
      <c r="B482" s="13"/>
      <c r="C482" s="13"/>
      <c r="D482" s="13"/>
      <c r="E482" s="13"/>
    </row>
    <row r="483" spans="2:5" ht="16.5" customHeight="1">
      <c r="B483" s="13"/>
      <c r="C483" s="13"/>
      <c r="D483" s="13"/>
      <c r="E483" s="13"/>
    </row>
    <row r="484" spans="2:5" ht="16.5" customHeight="1">
      <c r="B484" s="13"/>
      <c r="C484" s="13"/>
      <c r="D484" s="13"/>
      <c r="E484" s="13"/>
    </row>
    <row r="485" spans="2:5" ht="16.5" customHeight="1">
      <c r="B485" s="13"/>
      <c r="C485" s="13"/>
      <c r="D485" s="13"/>
      <c r="E485" s="13"/>
    </row>
    <row r="486" spans="2:5" ht="16.5" customHeight="1">
      <c r="B486" s="13"/>
      <c r="C486" s="13"/>
      <c r="D486" s="13"/>
      <c r="E486" s="13"/>
    </row>
    <row r="487" spans="2:5" ht="16.5" customHeight="1">
      <c r="B487" s="13"/>
      <c r="C487" s="13"/>
      <c r="D487" s="13"/>
      <c r="E487" s="13"/>
    </row>
    <row r="488" spans="2:5" ht="16.5" customHeight="1">
      <c r="B488" s="13"/>
      <c r="C488" s="13"/>
      <c r="D488" s="13"/>
      <c r="E488" s="13"/>
    </row>
    <row r="489" spans="2:5" ht="16.5" customHeight="1">
      <c r="B489" s="13"/>
      <c r="C489" s="13"/>
      <c r="D489" s="13"/>
      <c r="E489" s="13"/>
    </row>
    <row r="490" spans="2:5" ht="16.5" customHeight="1">
      <c r="B490" s="13"/>
      <c r="C490" s="13"/>
      <c r="D490" s="13"/>
      <c r="E490" s="13"/>
    </row>
    <row r="491" spans="2:5" ht="16.5" customHeight="1">
      <c r="B491" s="13"/>
      <c r="C491" s="13"/>
      <c r="D491" s="13"/>
      <c r="E491" s="13"/>
    </row>
    <row r="492" spans="2:5" ht="16.5" customHeight="1">
      <c r="B492" s="13"/>
      <c r="C492" s="13"/>
      <c r="D492" s="13"/>
      <c r="E492" s="13"/>
    </row>
    <row r="493" spans="2:5" ht="16.5" customHeight="1">
      <c r="B493" s="13"/>
      <c r="C493" s="13"/>
      <c r="D493" s="13"/>
      <c r="E493" s="13"/>
    </row>
    <row r="494" spans="2:5" ht="16.5" customHeight="1">
      <c r="B494" s="13"/>
      <c r="C494" s="13"/>
      <c r="D494" s="13"/>
      <c r="E494" s="13"/>
    </row>
    <row r="495" spans="2:5" ht="16.5" customHeight="1">
      <c r="B495" s="13"/>
      <c r="C495" s="13"/>
      <c r="D495" s="13"/>
      <c r="E495" s="13"/>
    </row>
    <row r="496" spans="2:5" ht="16.5" customHeight="1">
      <c r="B496" s="13"/>
      <c r="C496" s="13"/>
      <c r="D496" s="13"/>
      <c r="E496" s="13"/>
    </row>
    <row r="497" spans="2:5" ht="16.5" customHeight="1">
      <c r="B497" s="13"/>
      <c r="C497" s="13"/>
      <c r="D497" s="13"/>
      <c r="E497" s="13"/>
    </row>
    <row r="498" spans="2:5" ht="16.5" customHeight="1">
      <c r="B498" s="13"/>
      <c r="C498" s="13"/>
      <c r="D498" s="13"/>
      <c r="E498" s="13"/>
    </row>
    <row r="499" spans="2:5" ht="16.5" customHeight="1">
      <c r="B499" s="13"/>
      <c r="C499" s="13"/>
      <c r="D499" s="13"/>
      <c r="E499" s="13"/>
    </row>
    <row r="500" spans="2:5" ht="16.5" customHeight="1">
      <c r="B500" s="13"/>
      <c r="C500" s="13"/>
      <c r="D500" s="13"/>
      <c r="E500" s="13"/>
    </row>
    <row r="501" spans="2:5" ht="16.5" customHeight="1">
      <c r="B501" s="13"/>
      <c r="C501" s="13"/>
      <c r="D501" s="13"/>
      <c r="E501" s="13"/>
    </row>
    <row r="502" spans="2:5" ht="16.5" customHeight="1">
      <c r="B502" s="13"/>
      <c r="C502" s="13"/>
      <c r="D502" s="13"/>
      <c r="E502" s="13"/>
    </row>
    <row r="503" spans="2:5" ht="16.5" customHeight="1">
      <c r="B503" s="13"/>
      <c r="C503" s="13"/>
      <c r="D503" s="13"/>
      <c r="E503" s="13"/>
    </row>
    <row r="504" spans="2:5" ht="16.5" customHeight="1">
      <c r="B504" s="13"/>
      <c r="C504" s="13"/>
      <c r="D504" s="13"/>
      <c r="E504" s="13"/>
    </row>
    <row r="505" spans="2:5" ht="16.5" customHeight="1">
      <c r="B505" s="13"/>
      <c r="C505" s="13"/>
      <c r="D505" s="13"/>
      <c r="E505" s="13"/>
    </row>
    <row r="506" spans="2:5" ht="16.5" customHeight="1">
      <c r="B506" s="13"/>
      <c r="C506" s="13"/>
      <c r="D506" s="13"/>
      <c r="E506" s="13"/>
    </row>
    <row r="507" spans="2:5" ht="16.5" customHeight="1">
      <c r="B507" s="13"/>
      <c r="C507" s="13"/>
      <c r="D507" s="13"/>
      <c r="E507" s="13"/>
    </row>
    <row r="508" spans="2:5" ht="16.5" customHeight="1">
      <c r="B508" s="13"/>
      <c r="C508" s="13"/>
      <c r="D508" s="13"/>
      <c r="E508" s="13"/>
    </row>
    <row r="509" spans="2:5" ht="16.5" customHeight="1">
      <c r="B509" s="13"/>
      <c r="C509" s="13"/>
      <c r="D509" s="13"/>
      <c r="E509" s="13"/>
    </row>
    <row r="510" spans="2:5" ht="16.5" customHeight="1">
      <c r="B510" s="13"/>
      <c r="C510" s="13"/>
      <c r="D510" s="13"/>
      <c r="E510" s="13"/>
    </row>
    <row r="511" spans="2:5" ht="16.5" customHeight="1">
      <c r="B511" s="13"/>
      <c r="C511" s="13"/>
      <c r="D511" s="13"/>
      <c r="E511" s="13"/>
    </row>
    <row r="512" spans="2:5" ht="16.5" customHeight="1">
      <c r="B512" s="13"/>
      <c r="C512" s="13"/>
      <c r="D512" s="13"/>
      <c r="E512" s="13"/>
    </row>
    <row r="513" spans="2:5" ht="16.5" customHeight="1">
      <c r="B513" s="13"/>
      <c r="C513" s="13"/>
      <c r="D513" s="13"/>
      <c r="E513" s="13"/>
    </row>
    <row r="514" spans="2:5" ht="16.5" customHeight="1">
      <c r="B514" s="13"/>
      <c r="C514" s="13"/>
      <c r="D514" s="13"/>
      <c r="E514" s="13"/>
    </row>
    <row r="515" spans="2:5" ht="16.5" customHeight="1">
      <c r="B515" s="13"/>
      <c r="C515" s="13"/>
      <c r="D515" s="13"/>
      <c r="E515" s="13"/>
    </row>
    <row r="516" spans="2:5" ht="16.5" customHeight="1">
      <c r="B516" s="13"/>
      <c r="C516" s="13"/>
      <c r="D516" s="13"/>
      <c r="E516" s="13"/>
    </row>
    <row r="517" spans="2:5" ht="16.5" customHeight="1">
      <c r="B517" s="13"/>
      <c r="C517" s="13"/>
      <c r="D517" s="13"/>
      <c r="E517" s="13"/>
    </row>
    <row r="518" spans="2:5" ht="16.5" customHeight="1">
      <c r="B518" s="13"/>
      <c r="C518" s="13"/>
      <c r="D518" s="13"/>
      <c r="E518" s="13"/>
    </row>
    <row r="519" spans="2:5" ht="16.5" customHeight="1">
      <c r="B519" s="13"/>
      <c r="C519" s="13"/>
      <c r="D519" s="13"/>
      <c r="E519" s="13"/>
    </row>
    <row r="520" spans="2:5" ht="16.5" customHeight="1">
      <c r="B520" s="13"/>
      <c r="C520" s="13"/>
      <c r="D520" s="13"/>
      <c r="E520" s="13"/>
    </row>
    <row r="521" spans="2:5" ht="16.5" customHeight="1">
      <c r="B521" s="13"/>
      <c r="C521" s="13"/>
      <c r="D521" s="13"/>
      <c r="E521" s="13"/>
    </row>
    <row r="522" spans="2:5" ht="16.5" customHeight="1">
      <c r="B522" s="13"/>
      <c r="C522" s="13"/>
      <c r="D522" s="13"/>
      <c r="E522" s="13"/>
    </row>
    <row r="523" spans="2:5" ht="16.5" customHeight="1">
      <c r="B523" s="13"/>
      <c r="C523" s="13"/>
      <c r="D523" s="13"/>
      <c r="E523" s="13"/>
    </row>
    <row r="524" spans="2:5" ht="16.5" customHeight="1">
      <c r="B524" s="13"/>
      <c r="C524" s="13"/>
      <c r="D524" s="13"/>
      <c r="E524" s="13"/>
    </row>
    <row r="525" spans="2:5" ht="16.5" customHeight="1">
      <c r="B525" s="13"/>
      <c r="C525" s="13"/>
      <c r="D525" s="13"/>
      <c r="E525" s="13"/>
    </row>
    <row r="526" spans="2:5" ht="16.5" customHeight="1">
      <c r="B526" s="13"/>
      <c r="C526" s="13"/>
      <c r="D526" s="13"/>
      <c r="E526" s="13"/>
    </row>
    <row r="527" spans="2:5" ht="16.5" customHeight="1">
      <c r="B527" s="13"/>
      <c r="C527" s="13"/>
      <c r="D527" s="13"/>
      <c r="E527" s="13"/>
    </row>
    <row r="528" spans="2:5" ht="16.5" customHeight="1">
      <c r="B528" s="13"/>
      <c r="C528" s="13"/>
      <c r="D528" s="13"/>
      <c r="E528" s="13"/>
    </row>
    <row r="529" spans="2:5" ht="16.5" customHeight="1">
      <c r="B529" s="13"/>
      <c r="C529" s="13"/>
      <c r="D529" s="13"/>
      <c r="E529" s="13"/>
    </row>
    <row r="530" spans="2:5" ht="16.5" customHeight="1">
      <c r="B530" s="13"/>
      <c r="C530" s="13"/>
      <c r="D530" s="13"/>
      <c r="E530" s="13"/>
    </row>
    <row r="531" spans="2:5" ht="16.5" customHeight="1">
      <c r="B531" s="13"/>
      <c r="C531" s="13"/>
      <c r="D531" s="13"/>
      <c r="E531" s="13"/>
    </row>
    <row r="532" spans="2:5" ht="16.5" customHeight="1">
      <c r="B532" s="13"/>
      <c r="C532" s="13"/>
      <c r="D532" s="13"/>
      <c r="E532" s="13"/>
    </row>
    <row r="533" spans="2:5" ht="16.5" customHeight="1">
      <c r="B533" s="13"/>
      <c r="C533" s="13"/>
      <c r="D533" s="13"/>
      <c r="E533" s="13"/>
    </row>
    <row r="534" spans="2:5" ht="16.5" customHeight="1">
      <c r="B534" s="13"/>
      <c r="C534" s="13"/>
      <c r="D534" s="13"/>
      <c r="E534" s="13"/>
    </row>
    <row r="535" spans="2:5" ht="16.5" customHeight="1">
      <c r="B535" s="13"/>
      <c r="C535" s="13"/>
      <c r="D535" s="13"/>
      <c r="E535" s="13"/>
    </row>
    <row r="536" spans="2:5" ht="16.5" customHeight="1">
      <c r="B536" s="13"/>
      <c r="C536" s="13"/>
      <c r="D536" s="13"/>
      <c r="E536" s="13"/>
    </row>
    <row r="537" spans="2:5" ht="16.5" customHeight="1">
      <c r="B537" s="13"/>
      <c r="C537" s="13"/>
      <c r="D537" s="13"/>
      <c r="E537" s="13"/>
    </row>
    <row r="538" spans="2:5" ht="16.5" customHeight="1">
      <c r="B538" s="13"/>
      <c r="C538" s="13"/>
      <c r="D538" s="13"/>
      <c r="E538" s="13"/>
    </row>
    <row r="539" spans="2:5" ht="16.5" customHeight="1">
      <c r="B539" s="13"/>
      <c r="C539" s="13"/>
      <c r="D539" s="13"/>
      <c r="E539" s="13"/>
    </row>
    <row r="540" spans="2:5" ht="16.5" customHeight="1">
      <c r="B540" s="13"/>
      <c r="C540" s="13"/>
      <c r="D540" s="13"/>
      <c r="E540" s="13"/>
    </row>
    <row r="541" spans="2:5" ht="16.5" customHeight="1">
      <c r="B541" s="13"/>
      <c r="C541" s="13"/>
      <c r="D541" s="13"/>
      <c r="E541" s="13"/>
    </row>
    <row r="542" spans="2:5" ht="16.5" customHeight="1">
      <c r="B542" s="13"/>
      <c r="C542" s="13"/>
      <c r="D542" s="13"/>
      <c r="E542" s="13"/>
    </row>
    <row r="543" spans="2:5" ht="16.5" customHeight="1">
      <c r="B543" s="13"/>
      <c r="C543" s="13"/>
      <c r="D543" s="13"/>
      <c r="E543" s="13"/>
    </row>
    <row r="544" spans="2:5" ht="16.5" customHeight="1">
      <c r="B544" s="13"/>
      <c r="C544" s="13"/>
      <c r="D544" s="13"/>
      <c r="E544" s="13"/>
    </row>
    <row r="545" spans="2:5" ht="16.5" customHeight="1">
      <c r="B545" s="13"/>
      <c r="C545" s="13"/>
      <c r="D545" s="13"/>
      <c r="E545" s="13"/>
    </row>
    <row r="546" spans="2:5" ht="16.5" customHeight="1">
      <c r="B546" s="13"/>
      <c r="C546" s="13"/>
      <c r="D546" s="13"/>
      <c r="E546" s="13"/>
    </row>
    <row r="547" spans="2:5" ht="16.5" customHeight="1">
      <c r="B547" s="13"/>
      <c r="C547" s="13"/>
      <c r="D547" s="13"/>
      <c r="E547" s="13"/>
    </row>
    <row r="548" spans="2:5" ht="16.5" customHeight="1">
      <c r="B548" s="13"/>
      <c r="C548" s="13"/>
      <c r="D548" s="13"/>
      <c r="E548" s="13"/>
    </row>
    <row r="549" spans="2:5" ht="16.5" customHeight="1">
      <c r="B549" s="13"/>
      <c r="C549" s="13"/>
      <c r="D549" s="13"/>
      <c r="E549" s="13"/>
    </row>
    <row r="550" spans="2:5" ht="16.5" customHeight="1">
      <c r="B550" s="13"/>
      <c r="C550" s="13"/>
      <c r="D550" s="13"/>
      <c r="E550" s="13"/>
    </row>
    <row r="551" spans="2:5" ht="16.5" customHeight="1">
      <c r="B551" s="13"/>
      <c r="C551" s="13"/>
      <c r="D551" s="13"/>
      <c r="E551" s="13"/>
    </row>
    <row r="552" spans="2:5" ht="16.5" customHeight="1">
      <c r="B552" s="13"/>
      <c r="C552" s="13"/>
      <c r="D552" s="13"/>
      <c r="E552" s="13"/>
    </row>
    <row r="553" spans="2:5" ht="16.5" customHeight="1">
      <c r="B553" s="13"/>
      <c r="C553" s="13"/>
      <c r="D553" s="13"/>
      <c r="E553" s="13"/>
    </row>
    <row r="554" spans="2:5" ht="16.5" customHeight="1">
      <c r="B554" s="13"/>
      <c r="C554" s="13"/>
      <c r="D554" s="13"/>
      <c r="E554" s="13"/>
    </row>
    <row r="555" spans="2:5" ht="16.5" customHeight="1">
      <c r="B555" s="13"/>
      <c r="C555" s="13"/>
      <c r="D555" s="13"/>
      <c r="E555" s="13"/>
    </row>
    <row r="556" spans="2:5" ht="16.5" customHeight="1">
      <c r="B556" s="13"/>
      <c r="C556" s="13"/>
      <c r="D556" s="13"/>
      <c r="E556" s="13"/>
    </row>
    <row r="557" spans="2:5" ht="16.5" customHeight="1">
      <c r="B557" s="13"/>
      <c r="C557" s="13"/>
      <c r="D557" s="13"/>
      <c r="E557" s="13"/>
    </row>
    <row r="558" spans="2:5" ht="16.5" customHeight="1">
      <c r="B558" s="13"/>
      <c r="C558" s="13"/>
      <c r="D558" s="13"/>
      <c r="E558" s="13"/>
    </row>
    <row r="559" spans="2:5" ht="16.5" customHeight="1">
      <c r="B559" s="13"/>
      <c r="C559" s="13"/>
      <c r="D559" s="13"/>
      <c r="E559" s="13"/>
    </row>
    <row r="560" spans="2:5" ht="16.5" customHeight="1">
      <c r="B560" s="13"/>
      <c r="C560" s="13"/>
      <c r="D560" s="13"/>
      <c r="E560" s="13"/>
    </row>
    <row r="561" spans="2:5" ht="16.5" customHeight="1">
      <c r="B561" s="13"/>
      <c r="C561" s="13"/>
      <c r="D561" s="13"/>
      <c r="E561" s="13"/>
    </row>
    <row r="562" spans="2:5" ht="16.5" customHeight="1">
      <c r="B562" s="13"/>
      <c r="C562" s="13"/>
      <c r="D562" s="13"/>
      <c r="E562" s="13"/>
    </row>
    <row r="563" spans="2:5" ht="16.5" customHeight="1">
      <c r="B563" s="13"/>
      <c r="C563" s="13"/>
      <c r="D563" s="13"/>
      <c r="E563" s="13"/>
    </row>
    <row r="564" spans="2:5" ht="16.5" customHeight="1">
      <c r="B564" s="13"/>
      <c r="C564" s="13"/>
      <c r="D564" s="13"/>
      <c r="E564" s="13"/>
    </row>
    <row r="565" spans="2:5" ht="16.5" customHeight="1">
      <c r="B565" s="13"/>
      <c r="C565" s="13"/>
      <c r="D565" s="13"/>
      <c r="E565" s="13"/>
    </row>
    <row r="566" spans="2:5" ht="16.5" customHeight="1">
      <c r="B566" s="13"/>
      <c r="C566" s="13"/>
      <c r="D566" s="13"/>
      <c r="E566" s="13"/>
    </row>
    <row r="567" spans="2:5" ht="16.5" customHeight="1">
      <c r="B567" s="13"/>
      <c r="C567" s="13"/>
      <c r="D567" s="13"/>
      <c r="E567" s="13"/>
    </row>
    <row r="568" spans="2:5" ht="16.5" customHeight="1">
      <c r="B568" s="13"/>
      <c r="C568" s="13"/>
      <c r="D568" s="13"/>
      <c r="E568" s="13"/>
    </row>
    <row r="569" spans="2:5" ht="16.5" customHeight="1">
      <c r="B569" s="13"/>
      <c r="C569" s="13"/>
      <c r="D569" s="13"/>
      <c r="E569" s="13"/>
    </row>
    <row r="570" spans="2:5" ht="16.5" customHeight="1">
      <c r="B570" s="13"/>
      <c r="C570" s="13"/>
      <c r="D570" s="13"/>
      <c r="E570" s="13"/>
    </row>
    <row r="571" spans="2:5" ht="16.5" customHeight="1">
      <c r="B571" s="13"/>
      <c r="C571" s="13"/>
      <c r="D571" s="13"/>
      <c r="E571" s="13"/>
    </row>
    <row r="572" spans="2:5" ht="16.5" customHeight="1">
      <c r="B572" s="13"/>
      <c r="C572" s="13"/>
      <c r="D572" s="13"/>
      <c r="E572" s="13"/>
    </row>
    <row r="573" spans="2:5" ht="16.5" customHeight="1">
      <c r="B573" s="13"/>
      <c r="C573" s="13"/>
      <c r="D573" s="13"/>
      <c r="E573" s="13"/>
    </row>
    <row r="574" spans="2:5" ht="16.5" customHeight="1">
      <c r="B574" s="13"/>
      <c r="C574" s="13"/>
      <c r="D574" s="13"/>
      <c r="E574" s="13"/>
    </row>
    <row r="575" spans="2:5" ht="16.5" customHeight="1">
      <c r="B575" s="13"/>
      <c r="C575" s="13"/>
      <c r="D575" s="13"/>
      <c r="E575" s="13"/>
    </row>
    <row r="576" spans="2:5" ht="16.5" customHeight="1">
      <c r="B576" s="13"/>
      <c r="C576" s="13"/>
      <c r="D576" s="13"/>
      <c r="E576" s="13"/>
    </row>
    <row r="577" spans="2:5" ht="16.5" customHeight="1">
      <c r="B577" s="13"/>
      <c r="C577" s="13"/>
      <c r="D577" s="13"/>
      <c r="E577" s="13"/>
    </row>
    <row r="578" spans="2:5" ht="16.5" customHeight="1">
      <c r="B578" s="13"/>
      <c r="C578" s="13"/>
      <c r="D578" s="13"/>
      <c r="E578" s="13"/>
    </row>
    <row r="579" spans="2:5" ht="16.5" customHeight="1">
      <c r="B579" s="13"/>
      <c r="C579" s="13"/>
      <c r="D579" s="13"/>
      <c r="E579" s="13"/>
    </row>
    <row r="580" spans="2:5" ht="16.5" customHeight="1">
      <c r="B580" s="13"/>
      <c r="C580" s="13"/>
      <c r="D580" s="13"/>
      <c r="E580" s="13"/>
    </row>
    <row r="581" spans="2:5" ht="16.5" customHeight="1">
      <c r="B581" s="13"/>
      <c r="C581" s="13"/>
      <c r="D581" s="13"/>
      <c r="E581" s="13"/>
    </row>
    <row r="582" spans="2:5" ht="16.5" customHeight="1">
      <c r="B582" s="13"/>
      <c r="C582" s="13"/>
      <c r="D582" s="13"/>
      <c r="E582" s="13"/>
    </row>
    <row r="583" spans="2:5" ht="16.5" customHeight="1">
      <c r="B583" s="13"/>
      <c r="C583" s="13"/>
      <c r="D583" s="13"/>
      <c r="E583" s="13"/>
    </row>
    <row r="584" spans="2:5" ht="16.5" customHeight="1">
      <c r="B584" s="13"/>
      <c r="C584" s="13"/>
      <c r="D584" s="13"/>
      <c r="E584" s="13"/>
    </row>
    <row r="585" spans="2:5" ht="16.5" customHeight="1">
      <c r="B585" s="13"/>
      <c r="C585" s="13"/>
      <c r="D585" s="13"/>
      <c r="E585" s="13"/>
    </row>
    <row r="586" spans="2:5" ht="16.5" customHeight="1">
      <c r="B586" s="13"/>
      <c r="C586" s="13"/>
      <c r="D586" s="13"/>
      <c r="E586" s="13"/>
    </row>
    <row r="587" spans="2:5" ht="16.5" customHeight="1">
      <c r="B587" s="13"/>
      <c r="C587" s="13"/>
      <c r="D587" s="13"/>
      <c r="E587" s="13"/>
    </row>
    <row r="588" spans="2:5" ht="16.5" customHeight="1">
      <c r="B588" s="13"/>
      <c r="C588" s="13"/>
      <c r="D588" s="13"/>
      <c r="E588" s="13"/>
    </row>
    <row r="589" spans="2:5" ht="16.5" customHeight="1">
      <c r="B589" s="13"/>
      <c r="C589" s="13"/>
      <c r="D589" s="13"/>
      <c r="E589" s="13"/>
    </row>
    <row r="590" spans="2:5" ht="16.5" customHeight="1">
      <c r="B590" s="13"/>
      <c r="C590" s="13"/>
      <c r="D590" s="13"/>
      <c r="E590" s="13"/>
    </row>
    <row r="591" spans="2:5" ht="16.5" customHeight="1">
      <c r="B591" s="13"/>
      <c r="C591" s="13"/>
      <c r="D591" s="13"/>
      <c r="E591" s="13"/>
    </row>
    <row r="592" spans="2:5" ht="16.5" customHeight="1">
      <c r="B592" s="13"/>
      <c r="C592" s="13"/>
      <c r="D592" s="13"/>
      <c r="E592" s="13"/>
    </row>
    <row r="593" spans="2:5" ht="16.5" customHeight="1">
      <c r="B593" s="13"/>
      <c r="C593" s="13"/>
      <c r="D593" s="13"/>
      <c r="E593" s="13"/>
    </row>
    <row r="594" spans="2:5" ht="16.5" customHeight="1">
      <c r="B594" s="13"/>
      <c r="C594" s="13"/>
      <c r="D594" s="13"/>
      <c r="E594" s="13"/>
    </row>
    <row r="595" spans="2:5" ht="16.5" customHeight="1">
      <c r="B595" s="13"/>
      <c r="C595" s="13"/>
      <c r="D595" s="13"/>
      <c r="E595" s="13"/>
    </row>
    <row r="596" spans="2:5" ht="16.5" customHeight="1">
      <c r="B596" s="13"/>
      <c r="C596" s="13"/>
      <c r="D596" s="13"/>
      <c r="E596" s="13"/>
    </row>
    <row r="597" spans="2:5" ht="16.5" customHeight="1">
      <c r="B597" s="13"/>
      <c r="C597" s="13"/>
      <c r="D597" s="13"/>
      <c r="E597" s="13"/>
    </row>
    <row r="598" spans="2:5" ht="16.5" customHeight="1">
      <c r="B598" s="13"/>
      <c r="C598" s="13"/>
      <c r="D598" s="13"/>
      <c r="E598" s="13"/>
    </row>
    <row r="599" spans="2:5" ht="16.5" customHeight="1">
      <c r="B599" s="13"/>
      <c r="C599" s="13"/>
      <c r="D599" s="13"/>
      <c r="E599" s="13"/>
    </row>
    <row r="600" spans="2:5" ht="16.5" customHeight="1">
      <c r="B600" s="13"/>
      <c r="C600" s="13"/>
      <c r="D600" s="13"/>
      <c r="E600" s="13"/>
    </row>
    <row r="601" spans="2:5" ht="16.5" customHeight="1">
      <c r="B601" s="13"/>
      <c r="C601" s="13"/>
      <c r="D601" s="13"/>
      <c r="E601" s="13"/>
    </row>
    <row r="602" spans="2:5" ht="16.5" customHeight="1">
      <c r="B602" s="13"/>
      <c r="C602" s="13"/>
      <c r="D602" s="13"/>
      <c r="E602" s="13"/>
    </row>
    <row r="603" spans="2:5" ht="16.5" customHeight="1">
      <c r="B603" s="13"/>
      <c r="C603" s="13"/>
      <c r="D603" s="13"/>
      <c r="E603" s="13"/>
    </row>
    <row r="604" spans="2:5" ht="16.5" customHeight="1">
      <c r="B604" s="13"/>
      <c r="C604" s="13"/>
      <c r="D604" s="13"/>
      <c r="E604" s="13"/>
    </row>
    <row r="605" spans="2:5" ht="16.5" customHeight="1">
      <c r="B605" s="13"/>
      <c r="C605" s="13"/>
      <c r="D605" s="13"/>
      <c r="E605" s="13"/>
    </row>
    <row r="606" spans="2:5" ht="16.5" customHeight="1">
      <c r="B606" s="13"/>
      <c r="C606" s="13"/>
      <c r="D606" s="13"/>
      <c r="E606" s="13"/>
    </row>
    <row r="607" spans="2:5" ht="16.5" customHeight="1">
      <c r="B607" s="13"/>
      <c r="C607" s="13"/>
      <c r="D607" s="13"/>
      <c r="E607" s="13"/>
    </row>
    <row r="608" spans="2:5" ht="16.5" customHeight="1">
      <c r="B608" s="13"/>
      <c r="C608" s="13"/>
      <c r="D608" s="13"/>
      <c r="E608" s="13"/>
    </row>
    <row r="609" spans="2:5" ht="16.5" customHeight="1">
      <c r="B609" s="13"/>
      <c r="C609" s="13"/>
      <c r="D609" s="13"/>
      <c r="E609" s="13"/>
    </row>
    <row r="610" spans="2:5" ht="16.5" customHeight="1">
      <c r="B610" s="13"/>
      <c r="C610" s="13"/>
      <c r="D610" s="13"/>
      <c r="E610" s="13"/>
    </row>
    <row r="611" spans="2:5" ht="16.5" customHeight="1">
      <c r="B611" s="13"/>
      <c r="C611" s="13"/>
      <c r="D611" s="13"/>
      <c r="E611" s="13"/>
    </row>
    <row r="612" spans="2:5" ht="16.5" customHeight="1">
      <c r="B612" s="13"/>
      <c r="C612" s="13"/>
      <c r="D612" s="13"/>
      <c r="E612" s="13"/>
    </row>
    <row r="613" spans="2:5" ht="16.5" customHeight="1">
      <c r="B613" s="13"/>
      <c r="C613" s="13"/>
      <c r="D613" s="13"/>
      <c r="E613" s="13"/>
    </row>
    <row r="614" spans="2:5" ht="16.5" customHeight="1">
      <c r="B614" s="13"/>
      <c r="C614" s="13"/>
      <c r="D614" s="13"/>
      <c r="E614" s="13"/>
    </row>
    <row r="615" spans="2:5" ht="16.5" customHeight="1">
      <c r="B615" s="13"/>
      <c r="C615" s="13"/>
      <c r="D615" s="13"/>
      <c r="E615" s="13"/>
    </row>
    <row r="616" spans="2:5" ht="16.5" customHeight="1">
      <c r="B616" s="13"/>
      <c r="C616" s="13"/>
      <c r="D616" s="13"/>
      <c r="E616" s="13"/>
    </row>
    <row r="617" spans="2:5" ht="16.5" customHeight="1">
      <c r="B617" s="13"/>
      <c r="C617" s="13"/>
      <c r="D617" s="13"/>
      <c r="E617" s="13"/>
    </row>
    <row r="618" spans="2:5" ht="16.5" customHeight="1">
      <c r="B618" s="13"/>
      <c r="C618" s="13"/>
      <c r="D618" s="13"/>
      <c r="E618" s="13"/>
    </row>
    <row r="619" spans="2:5" ht="16.5" customHeight="1">
      <c r="B619" s="13"/>
      <c r="C619" s="13"/>
      <c r="D619" s="13"/>
      <c r="E619" s="13"/>
    </row>
    <row r="620" spans="2:5" ht="16.5" customHeight="1">
      <c r="B620" s="13"/>
      <c r="C620" s="13"/>
      <c r="D620" s="13"/>
      <c r="E620" s="13"/>
    </row>
    <row r="621" spans="2:5" ht="16.5" customHeight="1">
      <c r="B621" s="13"/>
      <c r="C621" s="13"/>
      <c r="D621" s="13"/>
      <c r="E621" s="13"/>
    </row>
    <row r="622" spans="2:5" ht="16.5" customHeight="1">
      <c r="B622" s="13"/>
      <c r="C622" s="13"/>
      <c r="D622" s="13"/>
      <c r="E622" s="13"/>
    </row>
    <row r="623" spans="2:5" ht="16.5" customHeight="1">
      <c r="B623" s="13"/>
      <c r="C623" s="13"/>
      <c r="D623" s="13"/>
      <c r="E623" s="13"/>
    </row>
    <row r="624" spans="2:5" ht="16.5" customHeight="1">
      <c r="B624" s="13"/>
      <c r="C624" s="13"/>
      <c r="D624" s="13"/>
      <c r="E624" s="13"/>
    </row>
    <row r="625" spans="2:5" ht="16.5" customHeight="1">
      <c r="B625" s="13"/>
      <c r="C625" s="13"/>
      <c r="D625" s="13"/>
      <c r="E625" s="13"/>
    </row>
    <row r="626" spans="2:5" ht="16.5" customHeight="1">
      <c r="B626" s="13"/>
      <c r="C626" s="13"/>
      <c r="D626" s="13"/>
      <c r="E626" s="13"/>
    </row>
    <row r="627" spans="2:5" ht="16.5" customHeight="1">
      <c r="B627" s="13"/>
      <c r="C627" s="13"/>
      <c r="D627" s="13"/>
      <c r="E627" s="13"/>
    </row>
    <row r="628" spans="2:5" ht="16.5" customHeight="1">
      <c r="B628" s="13"/>
      <c r="C628" s="13"/>
      <c r="D628" s="13"/>
      <c r="E628" s="13"/>
    </row>
    <row r="629" spans="2:5" ht="16.5" customHeight="1">
      <c r="B629" s="13"/>
      <c r="C629" s="13"/>
      <c r="D629" s="13"/>
      <c r="E629" s="13"/>
    </row>
    <row r="630" spans="2:5" ht="16.5" customHeight="1">
      <c r="B630" s="13"/>
      <c r="C630" s="13"/>
      <c r="D630" s="13"/>
      <c r="E630" s="13"/>
    </row>
    <row r="631" spans="2:5" ht="16.5" customHeight="1">
      <c r="B631" s="13"/>
      <c r="C631" s="13"/>
      <c r="D631" s="13"/>
      <c r="E631" s="13"/>
    </row>
    <row r="632" spans="2:5" ht="16.5" customHeight="1">
      <c r="B632" s="13"/>
      <c r="C632" s="13"/>
      <c r="D632" s="13"/>
      <c r="E632" s="13"/>
    </row>
    <row r="633" spans="2:5" ht="16.5" customHeight="1">
      <c r="B633" s="13"/>
      <c r="C633" s="13"/>
      <c r="D633" s="13"/>
      <c r="E633" s="13"/>
    </row>
    <row r="634" spans="2:5" ht="16.5" customHeight="1">
      <c r="B634" s="13"/>
      <c r="C634" s="13"/>
      <c r="D634" s="13"/>
      <c r="E634" s="13"/>
    </row>
    <row r="635" spans="2:5" ht="16.5" customHeight="1">
      <c r="B635" s="13"/>
      <c r="C635" s="13"/>
      <c r="D635" s="13"/>
      <c r="E635" s="13"/>
    </row>
    <row r="636" spans="2:5" ht="16.5" customHeight="1">
      <c r="B636" s="13"/>
      <c r="C636" s="13"/>
      <c r="D636" s="13"/>
      <c r="E636" s="13"/>
    </row>
    <row r="637" spans="2:5" ht="16.5" customHeight="1">
      <c r="B637" s="13"/>
      <c r="C637" s="13"/>
      <c r="D637" s="13"/>
      <c r="E637" s="13"/>
    </row>
    <row r="638" spans="2:5" ht="16.5" customHeight="1">
      <c r="B638" s="13"/>
      <c r="C638" s="13"/>
      <c r="D638" s="13"/>
      <c r="E638" s="13"/>
    </row>
    <row r="639" spans="2:5" ht="16.5" customHeight="1">
      <c r="B639" s="13"/>
      <c r="C639" s="13"/>
      <c r="D639" s="13"/>
      <c r="E639" s="13"/>
    </row>
    <row r="640" spans="2:5" ht="16.5" customHeight="1">
      <c r="B640" s="13"/>
      <c r="C640" s="13"/>
      <c r="D640" s="13"/>
      <c r="E640" s="13"/>
    </row>
    <row r="641" spans="2:5" ht="16.5" customHeight="1">
      <c r="B641" s="13"/>
      <c r="C641" s="13"/>
      <c r="D641" s="13"/>
      <c r="E641" s="13"/>
    </row>
    <row r="642" spans="2:5" ht="16.5" customHeight="1">
      <c r="B642" s="13"/>
      <c r="C642" s="13"/>
      <c r="D642" s="13"/>
      <c r="E642" s="13"/>
    </row>
    <row r="643" spans="2:5" ht="16.5" customHeight="1">
      <c r="B643" s="13"/>
      <c r="C643" s="13"/>
      <c r="D643" s="13"/>
      <c r="E643" s="13"/>
    </row>
    <row r="644" spans="2:5" ht="16.5" customHeight="1">
      <c r="B644" s="13"/>
      <c r="C644" s="13"/>
      <c r="D644" s="13"/>
      <c r="E644" s="13"/>
    </row>
    <row r="645" spans="2:5" ht="16.5" customHeight="1">
      <c r="B645" s="13"/>
      <c r="C645" s="13"/>
      <c r="D645" s="13"/>
      <c r="E645" s="13"/>
    </row>
    <row r="646" spans="2:5" ht="16.5" customHeight="1">
      <c r="B646" s="13"/>
      <c r="C646" s="13"/>
      <c r="D646" s="13"/>
      <c r="E646" s="13"/>
    </row>
    <row r="647" spans="2:5" ht="16.5" customHeight="1">
      <c r="B647" s="13"/>
      <c r="C647" s="13"/>
      <c r="D647" s="13"/>
      <c r="E647" s="13"/>
    </row>
    <row r="648" spans="2:5" ht="16.5" customHeight="1">
      <c r="B648" s="13"/>
      <c r="C648" s="13"/>
      <c r="D648" s="13"/>
      <c r="E648" s="13"/>
    </row>
    <row r="649" spans="2:5" ht="16.5" customHeight="1">
      <c r="B649" s="13"/>
      <c r="C649" s="13"/>
      <c r="D649" s="13"/>
      <c r="E649" s="13"/>
    </row>
    <row r="650" spans="2:5" ht="16.5" customHeight="1">
      <c r="B650" s="13"/>
      <c r="C650" s="13"/>
      <c r="D650" s="13"/>
      <c r="E650" s="13"/>
    </row>
    <row r="651" spans="2:5" ht="16.5" customHeight="1">
      <c r="B651" s="13"/>
      <c r="C651" s="13"/>
      <c r="D651" s="13"/>
      <c r="E651" s="13"/>
    </row>
    <row r="652" spans="2:5" ht="16.5" customHeight="1">
      <c r="B652" s="13"/>
      <c r="C652" s="13"/>
      <c r="D652" s="13"/>
      <c r="E652" s="13"/>
    </row>
    <row r="653" spans="2:5" ht="16.5" customHeight="1">
      <c r="B653" s="13"/>
      <c r="C653" s="13"/>
      <c r="D653" s="13"/>
      <c r="E653" s="13"/>
    </row>
    <row r="654" spans="2:5" ht="16.5" customHeight="1">
      <c r="B654" s="13"/>
      <c r="C654" s="13"/>
      <c r="D654" s="13"/>
      <c r="E654" s="13"/>
    </row>
    <row r="655" spans="2:5" ht="16.5" customHeight="1">
      <c r="B655" s="13"/>
      <c r="C655" s="13"/>
      <c r="D655" s="13"/>
      <c r="E655" s="13"/>
    </row>
    <row r="656" spans="2:5" ht="16.5" customHeight="1">
      <c r="B656" s="13"/>
      <c r="C656" s="13"/>
      <c r="D656" s="13"/>
      <c r="E656" s="13"/>
    </row>
    <row r="657" spans="2:5" ht="16.5" customHeight="1">
      <c r="B657" s="13"/>
      <c r="C657" s="13"/>
      <c r="D657" s="13"/>
      <c r="E657" s="13"/>
    </row>
    <row r="658" spans="2:5" ht="16.5" customHeight="1">
      <c r="B658" s="13"/>
      <c r="C658" s="13"/>
      <c r="D658" s="13"/>
      <c r="E658" s="13"/>
    </row>
    <row r="659" spans="2:5" ht="16.5" customHeight="1">
      <c r="B659" s="13"/>
      <c r="C659" s="13"/>
      <c r="D659" s="13"/>
      <c r="E659" s="13"/>
    </row>
    <row r="660" spans="2:5" ht="16.5" customHeight="1">
      <c r="B660" s="13"/>
      <c r="C660" s="13"/>
      <c r="D660" s="13"/>
      <c r="E660" s="13"/>
    </row>
    <row r="661" spans="2:5" ht="16.5" customHeight="1">
      <c r="B661" s="13"/>
      <c r="C661" s="13"/>
      <c r="D661" s="13"/>
      <c r="E661" s="13"/>
    </row>
    <row r="662" spans="2:5" ht="16.5" customHeight="1">
      <c r="B662" s="13"/>
      <c r="C662" s="13"/>
      <c r="D662" s="13"/>
      <c r="E662" s="13"/>
    </row>
    <row r="663" spans="2:5" ht="16.5" customHeight="1">
      <c r="B663" s="13"/>
      <c r="C663" s="13"/>
      <c r="D663" s="13"/>
      <c r="E663" s="13"/>
    </row>
    <row r="664" spans="2:5" ht="16.5" customHeight="1">
      <c r="B664" s="13"/>
      <c r="C664" s="13"/>
      <c r="D664" s="13"/>
      <c r="E664" s="13"/>
    </row>
    <row r="665" spans="2:5" ht="16.5" customHeight="1">
      <c r="B665" s="13"/>
      <c r="C665" s="13"/>
      <c r="D665" s="13"/>
      <c r="E665" s="13"/>
    </row>
    <row r="666" spans="2:5" ht="16.5" customHeight="1">
      <c r="B666" s="13"/>
      <c r="C666" s="13"/>
      <c r="D666" s="13"/>
      <c r="E666" s="13"/>
    </row>
    <row r="667" spans="2:5" ht="16.5" customHeight="1">
      <c r="B667" s="13"/>
      <c r="C667" s="13"/>
      <c r="D667" s="13"/>
      <c r="E667" s="13"/>
    </row>
    <row r="668" spans="2:5" ht="16.5" customHeight="1">
      <c r="B668" s="13"/>
      <c r="C668" s="13"/>
      <c r="D668" s="13"/>
      <c r="E668" s="13"/>
    </row>
    <row r="669" spans="2:5" ht="16.5" customHeight="1">
      <c r="B669" s="13"/>
      <c r="C669" s="13"/>
      <c r="D669" s="13"/>
      <c r="E669" s="13"/>
    </row>
    <row r="670" spans="2:5" ht="16.5" customHeight="1">
      <c r="B670" s="13"/>
      <c r="C670" s="13"/>
      <c r="D670" s="13"/>
      <c r="E670" s="13"/>
    </row>
    <row r="671" spans="2:5" ht="16.5" customHeight="1">
      <c r="B671" s="13"/>
      <c r="C671" s="13"/>
      <c r="D671" s="13"/>
      <c r="E671" s="13"/>
    </row>
    <row r="672" spans="2:5" ht="16.5" customHeight="1">
      <c r="B672" s="13"/>
      <c r="C672" s="13"/>
      <c r="D672" s="13"/>
      <c r="E672" s="13"/>
    </row>
    <row r="673" spans="2:5" ht="16.5" customHeight="1">
      <c r="B673" s="13"/>
      <c r="C673" s="13"/>
      <c r="D673" s="13"/>
      <c r="E673" s="13"/>
    </row>
    <row r="674" spans="2:5" ht="16.5" customHeight="1">
      <c r="B674" s="13"/>
      <c r="C674" s="13"/>
      <c r="D674" s="13"/>
      <c r="E674" s="13"/>
    </row>
    <row r="675" spans="2:5" ht="16.5" customHeight="1">
      <c r="B675" s="13"/>
      <c r="C675" s="13"/>
      <c r="D675" s="13"/>
      <c r="E675" s="13"/>
    </row>
    <row r="676" spans="2:5" ht="16.5" customHeight="1">
      <c r="B676" s="13"/>
      <c r="C676" s="13"/>
      <c r="D676" s="13"/>
      <c r="E676" s="13"/>
    </row>
    <row r="677" spans="2:5" ht="16.5" customHeight="1">
      <c r="B677" s="13"/>
      <c r="C677" s="13"/>
      <c r="D677" s="13"/>
      <c r="E677" s="13"/>
    </row>
    <row r="678" spans="2:5" ht="16.5" customHeight="1">
      <c r="B678" s="13"/>
      <c r="C678" s="13"/>
      <c r="D678" s="13"/>
      <c r="E678" s="13"/>
    </row>
    <row r="679" spans="2:5" ht="16.5" customHeight="1">
      <c r="B679" s="13"/>
      <c r="C679" s="13"/>
      <c r="D679" s="13"/>
      <c r="E679" s="13"/>
    </row>
    <row r="680" spans="2:5" ht="16.5" customHeight="1">
      <c r="B680" s="13"/>
      <c r="C680" s="13"/>
      <c r="D680" s="13"/>
      <c r="E680" s="13"/>
    </row>
    <row r="681" spans="2:5" ht="16.5" customHeight="1">
      <c r="B681" s="13"/>
      <c r="C681" s="13"/>
      <c r="D681" s="13"/>
      <c r="E681" s="13"/>
    </row>
    <row r="682" spans="2:5" ht="16.5" customHeight="1">
      <c r="B682" s="13"/>
      <c r="C682" s="13"/>
      <c r="D682" s="13"/>
      <c r="E682" s="13"/>
    </row>
    <row r="683" spans="2:5" ht="16.5" customHeight="1">
      <c r="B683" s="13"/>
      <c r="C683" s="13"/>
      <c r="D683" s="13"/>
      <c r="E683" s="13"/>
    </row>
    <row r="684" spans="2:5" ht="16.5" customHeight="1">
      <c r="B684" s="13"/>
      <c r="C684" s="13"/>
      <c r="D684" s="13"/>
      <c r="E684" s="13"/>
    </row>
    <row r="685" spans="2:5" ht="16.5" customHeight="1">
      <c r="B685" s="13"/>
      <c r="C685" s="13"/>
      <c r="D685" s="13"/>
      <c r="E685" s="13"/>
    </row>
    <row r="686" spans="2:5" ht="16.5" customHeight="1">
      <c r="B686" s="13"/>
      <c r="C686" s="13"/>
      <c r="D686" s="13"/>
      <c r="E686" s="13"/>
    </row>
    <row r="687" spans="2:5" ht="16.5" customHeight="1">
      <c r="B687" s="13"/>
      <c r="C687" s="13"/>
      <c r="D687" s="13"/>
      <c r="E687" s="13"/>
    </row>
    <row r="688" spans="2:5" ht="16.5" customHeight="1">
      <c r="B688" s="13"/>
      <c r="C688" s="13"/>
      <c r="D688" s="13"/>
      <c r="E688" s="13"/>
    </row>
    <row r="689" spans="2:5" ht="16.5" customHeight="1">
      <c r="B689" s="13"/>
      <c r="C689" s="13"/>
      <c r="D689" s="13"/>
      <c r="E689" s="13"/>
    </row>
    <row r="690" spans="2:5" ht="16.5" customHeight="1">
      <c r="B690" s="13"/>
      <c r="C690" s="13"/>
      <c r="D690" s="13"/>
      <c r="E690" s="13"/>
    </row>
    <row r="691" spans="2:5" ht="16.5" customHeight="1">
      <c r="B691" s="13"/>
      <c r="C691" s="13"/>
      <c r="D691" s="13"/>
      <c r="E691" s="13"/>
    </row>
    <row r="692" spans="2:5" ht="16.5" customHeight="1">
      <c r="B692" s="13"/>
      <c r="C692" s="13"/>
      <c r="D692" s="13"/>
      <c r="E692" s="13"/>
    </row>
    <row r="693" spans="2:5" ht="16.5" customHeight="1">
      <c r="B693" s="13"/>
      <c r="C693" s="13"/>
      <c r="D693" s="13"/>
      <c r="E693" s="13"/>
    </row>
    <row r="694" spans="2:5" ht="16.5" customHeight="1">
      <c r="B694" s="13"/>
      <c r="C694" s="13"/>
      <c r="D694" s="13"/>
      <c r="E694" s="13"/>
    </row>
    <row r="695" spans="2:5" ht="16.5" customHeight="1">
      <c r="B695" s="13"/>
      <c r="C695" s="13"/>
      <c r="D695" s="13"/>
      <c r="E695" s="13"/>
    </row>
    <row r="696" spans="2:5" ht="16.5" customHeight="1">
      <c r="B696" s="13"/>
      <c r="C696" s="13"/>
      <c r="D696" s="13"/>
      <c r="E696" s="13"/>
    </row>
    <row r="697" spans="2:5" ht="16.5" customHeight="1">
      <c r="B697" s="13"/>
      <c r="C697" s="13"/>
      <c r="D697" s="13"/>
      <c r="E697" s="13"/>
    </row>
    <row r="698" spans="2:5" ht="16.5" customHeight="1">
      <c r="B698" s="13"/>
      <c r="C698" s="13"/>
      <c r="D698" s="13"/>
      <c r="E698" s="13"/>
    </row>
    <row r="699" spans="2:5" ht="16.5" customHeight="1">
      <c r="B699" s="13"/>
      <c r="C699" s="13"/>
      <c r="D699" s="13"/>
      <c r="E699" s="13"/>
    </row>
    <row r="700" spans="2:5" ht="16.5" customHeight="1">
      <c r="B700" s="13"/>
      <c r="C700" s="13"/>
      <c r="D700" s="13"/>
      <c r="E700" s="13"/>
    </row>
    <row r="701" spans="2:5" ht="16.5" customHeight="1">
      <c r="B701" s="13"/>
      <c r="C701" s="13"/>
      <c r="D701" s="13"/>
      <c r="E701" s="13"/>
    </row>
    <row r="702" spans="2:5" ht="16.5" customHeight="1">
      <c r="B702" s="13"/>
      <c r="C702" s="13"/>
      <c r="D702" s="13"/>
      <c r="E702" s="13"/>
    </row>
    <row r="703" spans="2:5" ht="16.5" customHeight="1">
      <c r="B703" s="13"/>
      <c r="C703" s="13"/>
      <c r="D703" s="13"/>
      <c r="E703" s="13"/>
    </row>
    <row r="704" spans="2:5" ht="16.5" customHeight="1">
      <c r="B704" s="13"/>
      <c r="C704" s="13"/>
      <c r="D704" s="13"/>
      <c r="E704" s="13"/>
    </row>
    <row r="705" spans="2:5" ht="16.5" customHeight="1">
      <c r="B705" s="13"/>
      <c r="C705" s="13"/>
      <c r="D705" s="13"/>
      <c r="E705" s="13"/>
    </row>
    <row r="706" spans="2:5" ht="16.5" customHeight="1">
      <c r="B706" s="13"/>
      <c r="C706" s="13"/>
      <c r="D706" s="13"/>
      <c r="E706" s="13"/>
    </row>
    <row r="707" spans="2:5" ht="16.5" customHeight="1">
      <c r="B707" s="13"/>
      <c r="C707" s="13"/>
      <c r="D707" s="13"/>
      <c r="E707" s="13"/>
    </row>
    <row r="708" spans="2:5" ht="16.5" customHeight="1">
      <c r="B708" s="13"/>
      <c r="C708" s="13"/>
      <c r="D708" s="13"/>
      <c r="E708" s="13"/>
    </row>
    <row r="709" spans="2:5" ht="16.5" customHeight="1">
      <c r="B709" s="13"/>
      <c r="C709" s="13"/>
      <c r="D709" s="13"/>
      <c r="E709" s="13"/>
    </row>
    <row r="710" spans="2:5" ht="16.5" customHeight="1">
      <c r="B710" s="13"/>
      <c r="C710" s="13"/>
      <c r="D710" s="13"/>
      <c r="E710" s="13"/>
    </row>
    <row r="711" spans="2:5" ht="16.5" customHeight="1">
      <c r="B711" s="13"/>
      <c r="C711" s="13"/>
      <c r="D711" s="13"/>
      <c r="E711" s="13"/>
    </row>
    <row r="712" spans="2:5" ht="16.5" customHeight="1">
      <c r="B712" s="13"/>
      <c r="C712" s="13"/>
      <c r="D712" s="13"/>
      <c r="E712" s="13"/>
    </row>
    <row r="713" spans="2:5" ht="16.5" customHeight="1">
      <c r="B713" s="13"/>
      <c r="C713" s="13"/>
      <c r="D713" s="13"/>
      <c r="E713" s="13"/>
    </row>
    <row r="714" spans="2:5" ht="16.5" customHeight="1">
      <c r="B714" s="13"/>
      <c r="C714" s="13"/>
      <c r="D714" s="13"/>
      <c r="E714" s="13"/>
    </row>
    <row r="715" spans="2:5" ht="16.5" customHeight="1">
      <c r="B715" s="13"/>
      <c r="C715" s="13"/>
      <c r="D715" s="13"/>
      <c r="E715" s="13"/>
    </row>
    <row r="716" spans="2:5" ht="16.5" customHeight="1">
      <c r="B716" s="13"/>
      <c r="C716" s="13"/>
      <c r="D716" s="13"/>
      <c r="E716" s="13"/>
    </row>
    <row r="717" spans="2:5" ht="16.5" customHeight="1">
      <c r="B717" s="13"/>
      <c r="C717" s="13"/>
      <c r="D717" s="13"/>
      <c r="E717" s="13"/>
    </row>
    <row r="718" spans="2:5" ht="16.5" customHeight="1">
      <c r="B718" s="13"/>
      <c r="C718" s="13"/>
      <c r="D718" s="13"/>
      <c r="E718" s="13"/>
    </row>
    <row r="719" spans="2:5" ht="16.5" customHeight="1">
      <c r="B719" s="13"/>
      <c r="C719" s="13"/>
      <c r="D719" s="13"/>
      <c r="E719" s="13"/>
    </row>
    <row r="720" spans="2:5" ht="16.5" customHeight="1">
      <c r="B720" s="13"/>
      <c r="C720" s="13"/>
      <c r="D720" s="13"/>
      <c r="E720" s="13"/>
    </row>
    <row r="721" spans="2:5" ht="16.5" customHeight="1">
      <c r="B721" s="13"/>
      <c r="C721" s="13"/>
      <c r="D721" s="13"/>
      <c r="E721" s="13"/>
    </row>
    <row r="722" spans="2:5" ht="16.5" customHeight="1">
      <c r="B722" s="13"/>
      <c r="C722" s="13"/>
      <c r="D722" s="13"/>
      <c r="E722" s="13"/>
    </row>
    <row r="723" spans="2:5" ht="16.5" customHeight="1">
      <c r="B723" s="13"/>
      <c r="C723" s="13"/>
      <c r="D723" s="13"/>
      <c r="E723" s="13"/>
    </row>
    <row r="724" spans="2:5" ht="16.5" customHeight="1">
      <c r="B724" s="13"/>
      <c r="C724" s="13"/>
      <c r="D724" s="13"/>
      <c r="E724" s="13"/>
    </row>
    <row r="725" spans="2:5" ht="16.5" customHeight="1">
      <c r="B725" s="13"/>
      <c r="C725" s="13"/>
      <c r="D725" s="13"/>
      <c r="E725" s="13"/>
    </row>
    <row r="726" spans="2:5" ht="16.5" customHeight="1">
      <c r="B726" s="13"/>
      <c r="C726" s="13"/>
      <c r="D726" s="13"/>
      <c r="E726" s="13"/>
    </row>
    <row r="727" spans="2:5" ht="16.5" customHeight="1">
      <c r="B727" s="13"/>
      <c r="C727" s="13"/>
      <c r="D727" s="13"/>
      <c r="E727" s="13"/>
    </row>
    <row r="728" spans="2:5" ht="16.5" customHeight="1">
      <c r="B728" s="13"/>
      <c r="C728" s="13"/>
      <c r="D728" s="13"/>
      <c r="E728" s="13"/>
    </row>
    <row r="729" spans="2:5" ht="16.5" customHeight="1">
      <c r="B729" s="13"/>
      <c r="C729" s="13"/>
      <c r="D729" s="13"/>
      <c r="E729" s="13"/>
    </row>
    <row r="730" spans="2:5" ht="16.5" customHeight="1">
      <c r="B730" s="13"/>
      <c r="C730" s="13"/>
      <c r="D730" s="13"/>
      <c r="E730" s="13"/>
    </row>
    <row r="731" spans="2:5" ht="16.5" customHeight="1">
      <c r="B731" s="13"/>
      <c r="C731" s="13"/>
      <c r="D731" s="13"/>
      <c r="E731" s="13"/>
    </row>
    <row r="732" spans="2:5" ht="16.5" customHeight="1">
      <c r="B732" s="13"/>
      <c r="C732" s="13"/>
      <c r="D732" s="13"/>
      <c r="E732" s="13"/>
    </row>
    <row r="733" spans="2:5" ht="16.5" customHeight="1">
      <c r="B733" s="13"/>
      <c r="C733" s="13"/>
      <c r="D733" s="13"/>
      <c r="E733" s="13"/>
    </row>
    <row r="734" spans="2:5" ht="16.5" customHeight="1">
      <c r="B734" s="13"/>
      <c r="C734" s="13"/>
      <c r="D734" s="13"/>
      <c r="E734" s="13"/>
    </row>
    <row r="735" spans="2:5" ht="16.5" customHeight="1">
      <c r="B735" s="13"/>
      <c r="C735" s="13"/>
      <c r="D735" s="13"/>
      <c r="E735" s="13"/>
    </row>
    <row r="736" spans="2:5" ht="16.5" customHeight="1">
      <c r="B736" s="13"/>
      <c r="C736" s="13"/>
      <c r="D736" s="13"/>
      <c r="E736" s="13"/>
    </row>
    <row r="737" spans="2:5" ht="16.5" customHeight="1">
      <c r="B737" s="13"/>
      <c r="C737" s="13"/>
      <c r="D737" s="13"/>
      <c r="E737" s="13"/>
    </row>
    <row r="738" spans="2:5" ht="16.5" customHeight="1">
      <c r="B738" s="13"/>
      <c r="C738" s="13"/>
      <c r="D738" s="13"/>
      <c r="E738" s="13"/>
    </row>
    <row r="739" spans="2:5" ht="16.5" customHeight="1">
      <c r="B739" s="13"/>
      <c r="C739" s="13"/>
      <c r="D739" s="13"/>
      <c r="E739" s="13"/>
    </row>
    <row r="740" spans="2:5" ht="16.5" customHeight="1">
      <c r="B740" s="13"/>
      <c r="C740" s="13"/>
      <c r="D740" s="13"/>
      <c r="E740" s="13"/>
    </row>
    <row r="741" spans="2:5" ht="16.5" customHeight="1">
      <c r="B741" s="13"/>
      <c r="C741" s="13"/>
      <c r="D741" s="13"/>
      <c r="E741" s="13"/>
    </row>
    <row r="742" spans="2:5" ht="16.5" customHeight="1">
      <c r="B742" s="13"/>
      <c r="C742" s="13"/>
      <c r="D742" s="13"/>
      <c r="E742" s="13"/>
    </row>
    <row r="743" spans="2:5" ht="16.5" customHeight="1">
      <c r="B743" s="13"/>
      <c r="C743" s="13"/>
      <c r="D743" s="13"/>
      <c r="E743" s="13"/>
    </row>
    <row r="744" spans="2:5" ht="16.5" customHeight="1">
      <c r="B744" s="13"/>
      <c r="C744" s="13"/>
      <c r="D744" s="13"/>
      <c r="E744" s="13"/>
    </row>
    <row r="745" spans="2:5" ht="16.5" customHeight="1">
      <c r="B745" s="13"/>
      <c r="C745" s="13"/>
      <c r="D745" s="13"/>
      <c r="E745" s="13"/>
    </row>
    <row r="746" spans="2:5" ht="16.5" customHeight="1">
      <c r="B746" s="13"/>
      <c r="C746" s="13"/>
      <c r="D746" s="13"/>
      <c r="E746" s="13"/>
    </row>
    <row r="747" spans="2:5" ht="16.5" customHeight="1">
      <c r="B747" s="13"/>
      <c r="C747" s="13"/>
      <c r="D747" s="13"/>
      <c r="E747" s="13"/>
    </row>
    <row r="748" spans="2:5" ht="16.5" customHeight="1">
      <c r="B748" s="13"/>
      <c r="C748" s="13"/>
      <c r="D748" s="13"/>
      <c r="E748" s="13"/>
    </row>
    <row r="749" spans="2:5" ht="16.5" customHeight="1">
      <c r="B749" s="13"/>
      <c r="C749" s="13"/>
      <c r="D749" s="13"/>
      <c r="E749" s="13"/>
    </row>
    <row r="750" spans="2:5" ht="16.5" customHeight="1">
      <c r="B750" s="13"/>
      <c r="C750" s="13"/>
      <c r="D750" s="13"/>
      <c r="E750" s="13"/>
    </row>
    <row r="751" spans="2:5" ht="16.5" customHeight="1">
      <c r="B751" s="13"/>
      <c r="C751" s="13"/>
      <c r="D751" s="13"/>
      <c r="E751" s="13"/>
    </row>
    <row r="752" spans="2:5" ht="16.5" customHeight="1">
      <c r="B752" s="13"/>
      <c r="C752" s="13"/>
      <c r="D752" s="13"/>
      <c r="E752" s="13"/>
    </row>
    <row r="753" spans="2:5" ht="16.5" customHeight="1">
      <c r="B753" s="13"/>
      <c r="C753" s="13"/>
      <c r="D753" s="13"/>
      <c r="E753" s="13"/>
    </row>
    <row r="754" spans="2:5" ht="16.5" customHeight="1">
      <c r="B754" s="13"/>
      <c r="C754" s="13"/>
      <c r="D754" s="13"/>
      <c r="E754" s="13"/>
    </row>
    <row r="755" spans="2:5" ht="16.5" customHeight="1">
      <c r="B755" s="13"/>
      <c r="C755" s="13"/>
      <c r="D755" s="13"/>
      <c r="E755" s="13"/>
    </row>
    <row r="756" spans="2:5" ht="16.5" customHeight="1">
      <c r="B756" s="13"/>
      <c r="C756" s="13"/>
      <c r="D756" s="13"/>
      <c r="E756" s="13"/>
    </row>
    <row r="757" spans="2:5" ht="16.5" customHeight="1">
      <c r="B757" s="13"/>
      <c r="C757" s="13"/>
      <c r="D757" s="13"/>
      <c r="E757" s="13"/>
    </row>
    <row r="758" spans="2:5" ht="16.5" customHeight="1">
      <c r="B758" s="13"/>
      <c r="C758" s="13"/>
      <c r="D758" s="13"/>
      <c r="E758" s="13"/>
    </row>
    <row r="759" spans="2:5" ht="16.5" customHeight="1">
      <c r="B759" s="13"/>
      <c r="C759" s="13"/>
      <c r="D759" s="13"/>
      <c r="E759" s="13"/>
    </row>
    <row r="760" spans="2:5" ht="16.5" customHeight="1">
      <c r="B760" s="13"/>
      <c r="C760" s="13"/>
      <c r="D760" s="13"/>
      <c r="E760" s="13"/>
    </row>
    <row r="761" spans="2:5" ht="16.5" customHeight="1">
      <c r="B761" s="13"/>
      <c r="C761" s="13"/>
      <c r="D761" s="13"/>
      <c r="E761" s="13"/>
    </row>
    <row r="762" spans="2:5" ht="16.5" customHeight="1">
      <c r="B762" s="13"/>
      <c r="C762" s="13"/>
      <c r="D762" s="13"/>
      <c r="E762" s="13"/>
    </row>
    <row r="763" spans="2:5" ht="16.5" customHeight="1">
      <c r="B763" s="13"/>
      <c r="C763" s="13"/>
      <c r="D763" s="13"/>
      <c r="E763" s="13"/>
    </row>
    <row r="764" spans="2:5" ht="16.5" customHeight="1">
      <c r="B764" s="13"/>
      <c r="C764" s="13"/>
      <c r="D764" s="13"/>
      <c r="E764" s="13"/>
    </row>
    <row r="765" spans="2:5" ht="16.5" customHeight="1">
      <c r="B765" s="13"/>
      <c r="C765" s="13"/>
      <c r="D765" s="13"/>
      <c r="E765" s="13"/>
    </row>
    <row r="766" spans="2:5" ht="16.5" customHeight="1">
      <c r="B766" s="13"/>
      <c r="C766" s="13"/>
      <c r="D766" s="13"/>
      <c r="E766" s="13"/>
    </row>
    <row r="767" spans="2:5" ht="16.5" customHeight="1">
      <c r="B767" s="13"/>
      <c r="C767" s="13"/>
      <c r="D767" s="13"/>
      <c r="E767" s="13"/>
    </row>
    <row r="768" spans="2:5" ht="16.5" customHeight="1">
      <c r="B768" s="13"/>
      <c r="C768" s="13"/>
      <c r="D768" s="13"/>
      <c r="E768" s="13"/>
    </row>
    <row r="769" spans="2:5" ht="16.5" customHeight="1">
      <c r="B769" s="13"/>
      <c r="C769" s="13"/>
      <c r="D769" s="13"/>
      <c r="E769" s="13"/>
    </row>
    <row r="770" spans="2:5" ht="16.5" customHeight="1">
      <c r="B770" s="13"/>
      <c r="C770" s="13"/>
      <c r="D770" s="13"/>
      <c r="E770" s="13"/>
    </row>
    <row r="771" spans="2:5" ht="16.5" customHeight="1">
      <c r="B771" s="13"/>
      <c r="C771" s="13"/>
      <c r="D771" s="13"/>
      <c r="E771" s="13"/>
    </row>
    <row r="772" spans="2:5" ht="16.5" customHeight="1">
      <c r="B772" s="13"/>
      <c r="C772" s="13"/>
      <c r="D772" s="13"/>
      <c r="E772" s="13"/>
    </row>
    <row r="773" spans="2:5" ht="16.5" customHeight="1">
      <c r="B773" s="13"/>
      <c r="C773" s="13"/>
      <c r="D773" s="13"/>
      <c r="E773" s="13"/>
    </row>
    <row r="774" spans="2:5" ht="16.5" customHeight="1">
      <c r="B774" s="13"/>
      <c r="C774" s="13"/>
      <c r="D774" s="13"/>
      <c r="E774" s="13"/>
    </row>
    <row r="775" spans="2:5" ht="16.5" customHeight="1">
      <c r="B775" s="13"/>
      <c r="C775" s="13"/>
      <c r="D775" s="13"/>
      <c r="E775" s="13"/>
    </row>
    <row r="776" spans="2:5" ht="16.5" customHeight="1">
      <c r="B776" s="13"/>
      <c r="C776" s="13"/>
      <c r="D776" s="13"/>
      <c r="E776" s="13"/>
    </row>
    <row r="777" spans="2:5" ht="16.5" customHeight="1">
      <c r="B777" s="13"/>
      <c r="C777" s="13"/>
      <c r="D777" s="13"/>
      <c r="E777" s="13"/>
    </row>
    <row r="778" spans="2:5" ht="16.5" customHeight="1">
      <c r="B778" s="13"/>
      <c r="C778" s="13"/>
      <c r="D778" s="13"/>
      <c r="E778" s="13"/>
    </row>
    <row r="779" spans="2:5" ht="16.5" customHeight="1">
      <c r="B779" s="13"/>
      <c r="C779" s="13"/>
      <c r="D779" s="13"/>
      <c r="E779" s="13"/>
    </row>
    <row r="780" spans="2:5" ht="16.5" customHeight="1">
      <c r="B780" s="13"/>
      <c r="C780" s="13"/>
      <c r="D780" s="13"/>
      <c r="E780" s="13"/>
    </row>
    <row r="781" spans="2:5" ht="16.5" customHeight="1">
      <c r="B781" s="13"/>
      <c r="C781" s="13"/>
      <c r="D781" s="13"/>
      <c r="E781" s="13"/>
    </row>
    <row r="782" spans="2:5" ht="16.5" customHeight="1">
      <c r="B782" s="13"/>
      <c r="C782" s="13"/>
      <c r="D782" s="13"/>
      <c r="E782" s="13"/>
    </row>
    <row r="783" spans="2:5" ht="16.5" customHeight="1">
      <c r="B783" s="13"/>
      <c r="C783" s="13"/>
      <c r="D783" s="13"/>
      <c r="E783" s="13"/>
    </row>
    <row r="784" spans="2:5" ht="16.5" customHeight="1">
      <c r="B784" s="13"/>
      <c r="C784" s="13"/>
      <c r="D784" s="13"/>
      <c r="E784" s="13"/>
    </row>
    <row r="785" spans="2:5" ht="16.5" customHeight="1">
      <c r="B785" s="13"/>
      <c r="C785" s="13"/>
      <c r="D785" s="13"/>
      <c r="E785" s="13"/>
    </row>
    <row r="786" spans="2:5" ht="16.5" customHeight="1">
      <c r="B786" s="13"/>
      <c r="C786" s="13"/>
      <c r="D786" s="13"/>
      <c r="E786" s="13"/>
    </row>
    <row r="787" spans="2:5" ht="16.5" customHeight="1">
      <c r="B787" s="13"/>
      <c r="C787" s="13"/>
      <c r="D787" s="13"/>
      <c r="E787" s="13"/>
    </row>
    <row r="788" spans="2:5" ht="16.5" customHeight="1">
      <c r="B788" s="13"/>
      <c r="C788" s="13"/>
      <c r="D788" s="13"/>
      <c r="E788" s="13"/>
    </row>
    <row r="789" spans="2:5" ht="16.5" customHeight="1">
      <c r="B789" s="13"/>
      <c r="C789" s="13"/>
      <c r="D789" s="13"/>
      <c r="E789" s="13"/>
    </row>
    <row r="790" spans="2:5" ht="16.5" customHeight="1">
      <c r="B790" s="13"/>
      <c r="C790" s="13"/>
      <c r="D790" s="13"/>
      <c r="E790" s="13"/>
    </row>
    <row r="791" spans="2:5" ht="16.5" customHeight="1">
      <c r="B791" s="13"/>
      <c r="C791" s="13"/>
      <c r="D791" s="13"/>
      <c r="E791" s="13"/>
    </row>
    <row r="792" spans="2:5" ht="16.5" customHeight="1">
      <c r="B792" s="13"/>
      <c r="C792" s="13"/>
      <c r="D792" s="13"/>
      <c r="E792" s="13"/>
    </row>
    <row r="793" spans="2:5" ht="16.5" customHeight="1">
      <c r="B793" s="13"/>
      <c r="C793" s="13"/>
      <c r="D793" s="13"/>
      <c r="E793" s="13"/>
    </row>
    <row r="794" spans="2:5" ht="16.5" customHeight="1">
      <c r="B794" s="13"/>
      <c r="C794" s="13"/>
      <c r="D794" s="13"/>
      <c r="E794" s="13"/>
    </row>
    <row r="795" spans="2:5" ht="16.5" customHeight="1">
      <c r="B795" s="13"/>
      <c r="C795" s="13"/>
      <c r="D795" s="13"/>
      <c r="E795" s="13"/>
    </row>
    <row r="796" spans="2:5" ht="16.5" customHeight="1">
      <c r="B796" s="13"/>
      <c r="C796" s="13"/>
      <c r="D796" s="13"/>
      <c r="E796" s="13"/>
    </row>
    <row r="797" spans="2:5" ht="16.5" customHeight="1">
      <c r="B797" s="13"/>
      <c r="C797" s="13"/>
      <c r="D797" s="13"/>
      <c r="E797" s="13"/>
    </row>
    <row r="798" spans="2:5" ht="16.5" customHeight="1">
      <c r="B798" s="13"/>
      <c r="C798" s="13"/>
      <c r="D798" s="13"/>
      <c r="E798" s="13"/>
    </row>
    <row r="799" spans="2:5" ht="16.5" customHeight="1">
      <c r="B799" s="13"/>
      <c r="C799" s="13"/>
      <c r="D799" s="13"/>
      <c r="E799" s="13"/>
    </row>
    <row r="800" spans="2:5" ht="16.5" customHeight="1">
      <c r="B800" s="13"/>
      <c r="C800" s="13"/>
      <c r="D800" s="13"/>
      <c r="E800" s="13"/>
    </row>
    <row r="801" spans="2:5" ht="16.5" customHeight="1">
      <c r="B801" s="13"/>
      <c r="C801" s="13"/>
      <c r="D801" s="13"/>
      <c r="E801" s="13"/>
    </row>
    <row r="802" spans="2:5" ht="16.5" customHeight="1">
      <c r="B802" s="13"/>
      <c r="C802" s="13"/>
      <c r="D802" s="13"/>
      <c r="E802" s="13"/>
    </row>
    <row r="803" spans="2:5" ht="16.5" customHeight="1">
      <c r="B803" s="13"/>
      <c r="C803" s="13"/>
      <c r="D803" s="13"/>
      <c r="E803" s="13"/>
    </row>
    <row r="804" spans="2:5" ht="16.5" customHeight="1">
      <c r="B804" s="13"/>
      <c r="C804" s="13"/>
      <c r="D804" s="13"/>
      <c r="E804" s="13"/>
    </row>
    <row r="805" spans="2:5" ht="16.5" customHeight="1">
      <c r="B805" s="13"/>
      <c r="C805" s="13"/>
      <c r="D805" s="13"/>
      <c r="E805" s="13"/>
    </row>
    <row r="806" spans="2:5" ht="16.5" customHeight="1">
      <c r="B806" s="13"/>
      <c r="C806" s="13"/>
      <c r="D806" s="13"/>
      <c r="E806" s="13"/>
    </row>
    <row r="807" spans="2:5" ht="16.5" customHeight="1">
      <c r="B807" s="13"/>
      <c r="C807" s="13"/>
      <c r="D807" s="13"/>
      <c r="E807" s="13"/>
    </row>
    <row r="808" spans="2:5" ht="16.5" customHeight="1">
      <c r="B808" s="13"/>
      <c r="C808" s="13"/>
      <c r="D808" s="13"/>
      <c r="E808" s="13"/>
    </row>
    <row r="809" spans="2:5" ht="16.5" customHeight="1">
      <c r="B809" s="13"/>
      <c r="C809" s="13"/>
      <c r="D809" s="13"/>
      <c r="E809" s="13"/>
    </row>
    <row r="810" spans="2:5" ht="16.5" customHeight="1">
      <c r="B810" s="13"/>
      <c r="C810" s="13"/>
      <c r="D810" s="13"/>
      <c r="E810" s="13"/>
    </row>
    <row r="811" spans="2:5" ht="16.5" customHeight="1">
      <c r="B811" s="13"/>
      <c r="C811" s="13"/>
      <c r="D811" s="13"/>
      <c r="E811" s="13"/>
    </row>
    <row r="812" spans="2:5" ht="16.5" customHeight="1">
      <c r="B812" s="13"/>
      <c r="C812" s="13"/>
      <c r="D812" s="13"/>
      <c r="E812" s="13"/>
    </row>
    <row r="813" spans="2:5" ht="16.5" customHeight="1">
      <c r="B813" s="13"/>
      <c r="C813" s="13"/>
      <c r="D813" s="13"/>
      <c r="E813" s="13"/>
    </row>
    <row r="814" spans="2:5" ht="16.5" customHeight="1">
      <c r="B814" s="13"/>
      <c r="C814" s="13"/>
      <c r="D814" s="13"/>
      <c r="E814" s="13"/>
    </row>
    <row r="815" spans="2:5" ht="16.5" customHeight="1">
      <c r="B815" s="13"/>
      <c r="C815" s="13"/>
      <c r="D815" s="13"/>
      <c r="E815" s="13"/>
    </row>
    <row r="816" spans="2:5" ht="16.5" customHeight="1">
      <c r="B816" s="13"/>
      <c r="C816" s="13"/>
      <c r="D816" s="13"/>
      <c r="E816" s="13"/>
    </row>
    <row r="817" spans="2:5" ht="16.5" customHeight="1">
      <c r="B817" s="13"/>
      <c r="C817" s="13"/>
      <c r="D817" s="13"/>
      <c r="E817" s="13"/>
    </row>
    <row r="818" spans="2:5" ht="16.5" customHeight="1">
      <c r="B818" s="13"/>
      <c r="C818" s="13"/>
      <c r="D818" s="13"/>
      <c r="E818" s="13"/>
    </row>
    <row r="819" spans="2:5" ht="16.5" customHeight="1">
      <c r="B819" s="13"/>
      <c r="C819" s="13"/>
      <c r="D819" s="13"/>
      <c r="E819" s="13"/>
    </row>
    <row r="820" spans="2:5" ht="16.5" customHeight="1">
      <c r="B820" s="13"/>
      <c r="C820" s="13"/>
      <c r="D820" s="13"/>
      <c r="E820" s="13"/>
    </row>
    <row r="821" spans="2:5" ht="16.5" customHeight="1">
      <c r="B821" s="13"/>
      <c r="C821" s="13"/>
      <c r="D821" s="13"/>
      <c r="E821" s="13"/>
    </row>
    <row r="822" spans="2:5" ht="16.5" customHeight="1">
      <c r="B822" s="13"/>
      <c r="C822" s="13"/>
      <c r="D822" s="13"/>
      <c r="E822" s="13"/>
    </row>
    <row r="823" spans="2:5" ht="16.5" customHeight="1">
      <c r="B823" s="13"/>
      <c r="C823" s="13"/>
      <c r="D823" s="13"/>
      <c r="E823" s="13"/>
    </row>
    <row r="824" spans="2:5" ht="16.5" customHeight="1">
      <c r="B824" s="13"/>
      <c r="C824" s="13"/>
      <c r="D824" s="13"/>
      <c r="E824" s="13"/>
    </row>
    <row r="825" spans="2:5" ht="16.5" customHeight="1">
      <c r="B825" s="13"/>
      <c r="C825" s="13"/>
      <c r="D825" s="13"/>
      <c r="E825" s="13"/>
    </row>
    <row r="826" spans="2:5" ht="16.5" customHeight="1">
      <c r="B826" s="13"/>
      <c r="C826" s="13"/>
      <c r="D826" s="13"/>
      <c r="E826" s="13"/>
    </row>
    <row r="827" spans="2:5" ht="16.5" customHeight="1">
      <c r="B827" s="13"/>
      <c r="C827" s="13"/>
      <c r="D827" s="13"/>
      <c r="E827" s="13"/>
    </row>
    <row r="828" spans="2:5" ht="16.5" customHeight="1">
      <c r="B828" s="13"/>
      <c r="C828" s="13"/>
      <c r="D828" s="13"/>
      <c r="E828" s="13"/>
    </row>
    <row r="829" spans="2:5" ht="16.5" customHeight="1">
      <c r="B829" s="13"/>
      <c r="C829" s="13"/>
      <c r="D829" s="13"/>
      <c r="E829" s="13"/>
    </row>
    <row r="830" spans="2:5" ht="16.5" customHeight="1">
      <c r="B830" s="13"/>
      <c r="C830" s="13"/>
      <c r="D830" s="13"/>
      <c r="E830" s="13"/>
    </row>
    <row r="831" spans="2:5" ht="16.5" customHeight="1">
      <c r="B831" s="13"/>
      <c r="C831" s="13"/>
      <c r="D831" s="13"/>
      <c r="E831" s="13"/>
    </row>
    <row r="832" spans="2:5" ht="16.5" customHeight="1">
      <c r="B832" s="13"/>
      <c r="C832" s="13"/>
      <c r="D832" s="13"/>
      <c r="E832" s="13"/>
    </row>
    <row r="833" spans="2:5" ht="16.5" customHeight="1">
      <c r="B833" s="13"/>
      <c r="C833" s="13"/>
      <c r="D833" s="13"/>
      <c r="E833" s="13"/>
    </row>
    <row r="834" spans="2:5" ht="16.5" customHeight="1">
      <c r="B834" s="13"/>
      <c r="C834" s="13"/>
      <c r="D834" s="13"/>
      <c r="E834" s="13"/>
    </row>
    <row r="835" spans="2:5" ht="16.5" customHeight="1">
      <c r="B835" s="13"/>
      <c r="C835" s="13"/>
      <c r="D835" s="13"/>
      <c r="E835" s="13"/>
    </row>
    <row r="836" spans="2:5" ht="16.5" customHeight="1">
      <c r="B836" s="13"/>
      <c r="C836" s="13"/>
      <c r="D836" s="13"/>
      <c r="E836" s="13"/>
    </row>
    <row r="837" spans="2:5" ht="16.5" customHeight="1">
      <c r="B837" s="13"/>
      <c r="C837" s="13"/>
      <c r="D837" s="13"/>
      <c r="E837" s="13"/>
    </row>
    <row r="838" spans="2:5" ht="16.5" customHeight="1">
      <c r="B838" s="13"/>
      <c r="C838" s="13"/>
      <c r="D838" s="13"/>
      <c r="E838" s="13"/>
    </row>
    <row r="839" spans="2:5" ht="16.5" customHeight="1">
      <c r="B839" s="13"/>
      <c r="C839" s="13"/>
      <c r="D839" s="13"/>
      <c r="E839" s="13"/>
    </row>
    <row r="840" spans="2:5" ht="16.5" customHeight="1">
      <c r="B840" s="13"/>
      <c r="C840" s="13"/>
      <c r="D840" s="13"/>
      <c r="E840" s="13"/>
    </row>
    <row r="841" spans="2:5" ht="16.5" customHeight="1">
      <c r="B841" s="13"/>
      <c r="C841" s="13"/>
      <c r="D841" s="13"/>
      <c r="E841" s="13"/>
    </row>
    <row r="842" spans="2:5" ht="16.5" customHeight="1">
      <c r="B842" s="13"/>
      <c r="C842" s="13"/>
      <c r="D842" s="13"/>
      <c r="E842" s="13"/>
    </row>
    <row r="843" spans="2:5" ht="16.5" customHeight="1">
      <c r="B843" s="13"/>
      <c r="C843" s="13"/>
      <c r="D843" s="13"/>
      <c r="E843" s="13"/>
    </row>
    <row r="844" spans="2:5" ht="16.5" customHeight="1">
      <c r="B844" s="13"/>
      <c r="C844" s="13"/>
      <c r="D844" s="13"/>
      <c r="E844" s="13"/>
    </row>
    <row r="845" spans="2:5" ht="16.5" customHeight="1">
      <c r="B845" s="13"/>
      <c r="C845" s="13"/>
      <c r="D845" s="13"/>
      <c r="E845" s="13"/>
    </row>
    <row r="846" spans="2:5" ht="16.5" customHeight="1">
      <c r="B846" s="13"/>
      <c r="C846" s="13"/>
      <c r="D846" s="13"/>
      <c r="E846" s="13"/>
    </row>
    <row r="847" spans="2:5" ht="16.5" customHeight="1">
      <c r="B847" s="13"/>
      <c r="C847" s="13"/>
      <c r="D847" s="13"/>
      <c r="E847" s="13"/>
    </row>
    <row r="848" spans="2:5" ht="16.5" customHeight="1">
      <c r="B848" s="13"/>
      <c r="C848" s="13"/>
      <c r="D848" s="13"/>
      <c r="E848" s="13"/>
    </row>
    <row r="849" spans="2:5" ht="16.5" customHeight="1">
      <c r="B849" s="13"/>
      <c r="C849" s="13"/>
      <c r="D849" s="13"/>
      <c r="E849" s="13"/>
    </row>
    <row r="850" spans="2:5" ht="16.5" customHeight="1">
      <c r="B850" s="13"/>
      <c r="C850" s="13"/>
      <c r="D850" s="13"/>
      <c r="E850" s="13"/>
    </row>
    <row r="851" spans="2:5" ht="16.5" customHeight="1">
      <c r="B851" s="13"/>
      <c r="C851" s="13"/>
      <c r="D851" s="13"/>
      <c r="E851" s="13"/>
    </row>
    <row r="852" spans="2:5" ht="16.5" customHeight="1">
      <c r="B852" s="13"/>
      <c r="C852" s="13"/>
      <c r="D852" s="13"/>
      <c r="E852" s="13"/>
    </row>
    <row r="853" spans="2:5" ht="16.5" customHeight="1">
      <c r="B853" s="13"/>
      <c r="C853" s="13"/>
      <c r="D853" s="13"/>
      <c r="E853" s="13"/>
    </row>
    <row r="854" spans="2:5" ht="16.5" customHeight="1">
      <c r="B854" s="13"/>
      <c r="C854" s="13"/>
      <c r="D854" s="13"/>
      <c r="E854" s="13"/>
    </row>
    <row r="855" spans="2:5" ht="16.5" customHeight="1">
      <c r="B855" s="13"/>
      <c r="C855" s="13"/>
      <c r="D855" s="13"/>
      <c r="E855" s="13"/>
    </row>
    <row r="856" spans="2:5" ht="16.5" customHeight="1">
      <c r="B856" s="13"/>
      <c r="C856" s="13"/>
      <c r="D856" s="13"/>
      <c r="E856" s="13"/>
    </row>
    <row r="857" spans="2:5" ht="16.5" customHeight="1">
      <c r="B857" s="13"/>
      <c r="C857" s="13"/>
      <c r="D857" s="13"/>
      <c r="E857" s="13"/>
    </row>
    <row r="858" spans="2:5" ht="16.5" customHeight="1">
      <c r="B858" s="13"/>
      <c r="C858" s="13"/>
      <c r="D858" s="13"/>
      <c r="E858" s="13"/>
    </row>
    <row r="859" spans="2:5" ht="16.5" customHeight="1">
      <c r="B859" s="13"/>
      <c r="C859" s="13"/>
      <c r="D859" s="13"/>
      <c r="E859" s="13"/>
    </row>
    <row r="860" spans="2:5" ht="16.5" customHeight="1">
      <c r="B860" s="13"/>
      <c r="C860" s="13"/>
      <c r="D860" s="13"/>
      <c r="E860" s="13"/>
    </row>
    <row r="861" spans="2:5" ht="16.5" customHeight="1">
      <c r="B861" s="13"/>
      <c r="C861" s="13"/>
      <c r="D861" s="13"/>
      <c r="E861" s="13"/>
    </row>
    <row r="862" spans="2:5" ht="16.5" customHeight="1">
      <c r="B862" s="13"/>
      <c r="C862" s="13"/>
      <c r="D862" s="13"/>
      <c r="E862" s="13"/>
    </row>
    <row r="863" spans="2:5" ht="16.5" customHeight="1">
      <c r="B863" s="13"/>
      <c r="C863" s="13"/>
      <c r="D863" s="13"/>
      <c r="E863" s="13"/>
    </row>
    <row r="864" spans="2:5" ht="16.5" customHeight="1">
      <c r="B864" s="13"/>
      <c r="C864" s="13"/>
      <c r="D864" s="13"/>
      <c r="E864" s="13"/>
    </row>
    <row r="865" spans="2:5" ht="16.5" customHeight="1">
      <c r="B865" s="13"/>
      <c r="C865" s="13"/>
      <c r="D865" s="13"/>
      <c r="E865" s="13"/>
    </row>
    <row r="866" spans="2:5" ht="16.5" customHeight="1">
      <c r="B866" s="13"/>
      <c r="C866" s="13"/>
      <c r="D866" s="13"/>
      <c r="E866" s="13"/>
    </row>
    <row r="867" spans="2:5" ht="16.5" customHeight="1">
      <c r="B867" s="13"/>
      <c r="C867" s="13"/>
      <c r="D867" s="13"/>
      <c r="E867" s="13"/>
    </row>
    <row r="868" spans="2:5" ht="16.5" customHeight="1">
      <c r="B868" s="13"/>
      <c r="C868" s="13"/>
      <c r="D868" s="13"/>
      <c r="E868" s="13"/>
    </row>
    <row r="869" spans="2:5" ht="16.5" customHeight="1">
      <c r="B869" s="13"/>
      <c r="C869" s="13"/>
      <c r="D869" s="13"/>
      <c r="E869" s="13"/>
    </row>
    <row r="870" spans="2:5" ht="16.5" customHeight="1">
      <c r="B870" s="13"/>
      <c r="C870" s="13"/>
      <c r="D870" s="13"/>
      <c r="E870" s="13"/>
    </row>
    <row r="871" spans="2:5" ht="16.5" customHeight="1">
      <c r="B871" s="13"/>
      <c r="C871" s="13"/>
      <c r="D871" s="13"/>
      <c r="E871" s="13"/>
    </row>
    <row r="872" spans="2:5" ht="16.5" customHeight="1">
      <c r="B872" s="13"/>
      <c r="C872" s="13"/>
      <c r="D872" s="13"/>
      <c r="E872" s="13"/>
    </row>
    <row r="873" spans="2:5" ht="16.5" customHeight="1">
      <c r="B873" s="13"/>
      <c r="C873" s="13"/>
      <c r="D873" s="13"/>
      <c r="E873" s="13"/>
    </row>
    <row r="874" spans="2:5" ht="16.5" customHeight="1">
      <c r="B874" s="13"/>
      <c r="C874" s="13"/>
      <c r="D874" s="13"/>
      <c r="E874" s="13"/>
    </row>
    <row r="875" spans="2:5" ht="16.5" customHeight="1">
      <c r="B875" s="13"/>
      <c r="C875" s="13"/>
      <c r="D875" s="13"/>
      <c r="E875" s="13"/>
    </row>
    <row r="876" spans="2:5" ht="16.5" customHeight="1">
      <c r="B876" s="13"/>
      <c r="C876" s="13"/>
      <c r="D876" s="13"/>
      <c r="E876" s="13"/>
    </row>
    <row r="877" spans="2:5" ht="16.5" customHeight="1">
      <c r="B877" s="13"/>
      <c r="C877" s="13"/>
      <c r="D877" s="13"/>
      <c r="E877" s="13"/>
    </row>
    <row r="878" spans="2:5" ht="16.5" customHeight="1">
      <c r="B878" s="13"/>
      <c r="C878" s="13"/>
      <c r="D878" s="13"/>
      <c r="E878" s="13"/>
    </row>
    <row r="879" spans="2:5" ht="16.5" customHeight="1">
      <c r="B879" s="13"/>
      <c r="C879" s="13"/>
      <c r="D879" s="13"/>
      <c r="E879" s="13"/>
    </row>
    <row r="880" spans="2:5" ht="16.5" customHeight="1">
      <c r="B880" s="13"/>
      <c r="C880" s="13"/>
      <c r="D880" s="13"/>
      <c r="E880" s="13"/>
    </row>
    <row r="881" spans="2:5" ht="16.5" customHeight="1">
      <c r="B881" s="13"/>
      <c r="C881" s="13"/>
      <c r="D881" s="13"/>
      <c r="E881" s="13"/>
    </row>
    <row r="882" spans="2:5" ht="16.5" customHeight="1">
      <c r="B882" s="13"/>
      <c r="C882" s="13"/>
      <c r="D882" s="13"/>
      <c r="E882" s="13"/>
    </row>
    <row r="883" spans="2:5" ht="16.5" customHeight="1">
      <c r="B883" s="13"/>
      <c r="C883" s="13"/>
      <c r="D883" s="13"/>
      <c r="E883" s="13"/>
    </row>
    <row r="884" spans="2:5" ht="16.5" customHeight="1">
      <c r="B884" s="13"/>
      <c r="C884" s="13"/>
      <c r="D884" s="13"/>
      <c r="E884" s="13"/>
    </row>
    <row r="885" spans="2:5" ht="16.5" customHeight="1">
      <c r="B885" s="13"/>
      <c r="C885" s="13"/>
      <c r="D885" s="13"/>
      <c r="E885" s="13"/>
    </row>
    <row r="886" spans="2:5" ht="16.5" customHeight="1">
      <c r="B886" s="13"/>
      <c r="C886" s="13"/>
      <c r="D886" s="13"/>
      <c r="E886" s="13"/>
    </row>
    <row r="887" spans="2:5" ht="16.5" customHeight="1">
      <c r="B887" s="13"/>
      <c r="C887" s="13"/>
      <c r="D887" s="13"/>
      <c r="E887" s="13"/>
    </row>
    <row r="888" spans="2:5" ht="16.5" customHeight="1">
      <c r="B888" s="13"/>
      <c r="C888" s="13"/>
      <c r="D888" s="13"/>
      <c r="E888" s="13"/>
    </row>
    <row r="889" spans="2:5" ht="16.5" customHeight="1">
      <c r="B889" s="13"/>
      <c r="C889" s="13"/>
      <c r="D889" s="13"/>
      <c r="E889" s="13"/>
    </row>
    <row r="890" spans="2:5" ht="16.5" customHeight="1">
      <c r="B890" s="13"/>
      <c r="C890" s="13"/>
      <c r="D890" s="13"/>
      <c r="E890" s="13"/>
    </row>
    <row r="891" spans="2:5" ht="16.5" customHeight="1">
      <c r="B891" s="13"/>
      <c r="C891" s="13"/>
      <c r="D891" s="13"/>
      <c r="E891" s="13"/>
    </row>
    <row r="892" spans="2:5" ht="16.5" customHeight="1">
      <c r="B892" s="13"/>
      <c r="C892" s="13"/>
      <c r="D892" s="13"/>
      <c r="E892" s="13"/>
    </row>
    <row r="893" spans="2:5" ht="16.5" customHeight="1">
      <c r="B893" s="13"/>
      <c r="C893" s="13"/>
      <c r="D893" s="13"/>
      <c r="E893" s="13"/>
    </row>
    <row r="894" spans="2:5" ht="16.5" customHeight="1">
      <c r="B894" s="13"/>
      <c r="C894" s="13"/>
      <c r="D894" s="13"/>
      <c r="E894" s="13"/>
    </row>
    <row r="895" spans="2:5" ht="16.5" customHeight="1">
      <c r="B895" s="13"/>
      <c r="C895" s="13"/>
      <c r="D895" s="13"/>
      <c r="E895" s="13"/>
    </row>
    <row r="896" spans="2:5" ht="16.5" customHeight="1">
      <c r="B896" s="13"/>
      <c r="C896" s="13"/>
      <c r="D896" s="13"/>
      <c r="E896" s="13"/>
    </row>
    <row r="897" spans="2:5" ht="16.5" customHeight="1">
      <c r="B897" s="13"/>
      <c r="C897" s="13"/>
      <c r="D897" s="13"/>
      <c r="E897" s="13"/>
    </row>
    <row r="898" spans="2:5" ht="16.5" customHeight="1">
      <c r="B898" s="13"/>
      <c r="C898" s="13"/>
      <c r="D898" s="13"/>
      <c r="E898" s="13"/>
    </row>
    <row r="899" spans="2:5" ht="16.5" customHeight="1">
      <c r="B899" s="13"/>
      <c r="C899" s="13"/>
      <c r="D899" s="13"/>
      <c r="E899" s="13"/>
    </row>
    <row r="900" spans="2:5" ht="16.5" customHeight="1">
      <c r="B900" s="13"/>
      <c r="C900" s="13"/>
      <c r="D900" s="13"/>
      <c r="E900" s="13"/>
    </row>
    <row r="901" spans="2:5" ht="16.5" customHeight="1">
      <c r="B901" s="13"/>
      <c r="C901" s="13"/>
      <c r="D901" s="13"/>
      <c r="E901" s="13"/>
    </row>
    <row r="902" spans="2:5" ht="16.5" customHeight="1">
      <c r="B902" s="13"/>
      <c r="C902" s="13"/>
      <c r="D902" s="13"/>
      <c r="E902" s="13"/>
    </row>
    <row r="903" spans="2:5" ht="16.5" customHeight="1">
      <c r="B903" s="13"/>
      <c r="C903" s="13"/>
      <c r="D903" s="13"/>
      <c r="E903" s="13"/>
    </row>
    <row r="904" spans="2:5" ht="16.5" customHeight="1">
      <c r="B904" s="13"/>
      <c r="C904" s="13"/>
      <c r="D904" s="13"/>
      <c r="E904" s="13"/>
    </row>
    <row r="905" spans="2:5" ht="16.5" customHeight="1">
      <c r="B905" s="13"/>
      <c r="C905" s="13"/>
      <c r="D905" s="13"/>
      <c r="E905" s="13"/>
    </row>
    <row r="906" spans="2:5" ht="16.5" customHeight="1">
      <c r="B906" s="13"/>
      <c r="C906" s="13"/>
      <c r="D906" s="13"/>
      <c r="E906" s="13"/>
    </row>
    <row r="907" spans="2:5" ht="16.5" customHeight="1">
      <c r="B907" s="13"/>
      <c r="C907" s="13"/>
      <c r="D907" s="13"/>
      <c r="E907" s="13"/>
    </row>
    <row r="908" spans="2:5" ht="16.5" customHeight="1">
      <c r="B908" s="13"/>
      <c r="C908" s="13"/>
      <c r="D908" s="13"/>
      <c r="E908" s="13"/>
    </row>
    <row r="909" spans="2:5" ht="16.5" customHeight="1">
      <c r="B909" s="13"/>
      <c r="C909" s="13"/>
      <c r="D909" s="13"/>
      <c r="E909" s="13"/>
    </row>
    <row r="910" spans="2:5" ht="16.5" customHeight="1">
      <c r="B910" s="13"/>
      <c r="C910" s="13"/>
      <c r="D910" s="13"/>
      <c r="E910" s="13"/>
    </row>
    <row r="911" spans="2:5" ht="16.5" customHeight="1">
      <c r="B911" s="13"/>
      <c r="C911" s="13"/>
      <c r="D911" s="13"/>
      <c r="E911" s="13"/>
    </row>
    <row r="912" spans="2:5" ht="16.5" customHeight="1">
      <c r="B912" s="13"/>
      <c r="C912" s="13"/>
      <c r="D912" s="13"/>
      <c r="E912" s="13"/>
    </row>
    <row r="913" spans="2:5" ht="16.5" customHeight="1">
      <c r="B913" s="13"/>
      <c r="C913" s="13"/>
      <c r="D913" s="13"/>
      <c r="E913" s="13"/>
    </row>
    <row r="914" spans="2:5" ht="16.5" customHeight="1">
      <c r="B914" s="13"/>
      <c r="C914" s="13"/>
      <c r="D914" s="13"/>
      <c r="E914" s="13"/>
    </row>
    <row r="915" spans="2:5" ht="16.5" customHeight="1">
      <c r="B915" s="13"/>
      <c r="C915" s="13"/>
      <c r="D915" s="13"/>
      <c r="E915" s="13"/>
    </row>
    <row r="916" spans="2:5" ht="16.5" customHeight="1">
      <c r="B916" s="13"/>
      <c r="C916" s="13"/>
      <c r="D916" s="13"/>
      <c r="E916" s="13"/>
    </row>
    <row r="917" spans="2:5" ht="16.5" customHeight="1">
      <c r="B917" s="13"/>
      <c r="C917" s="13"/>
      <c r="D917" s="13"/>
      <c r="E917" s="13"/>
    </row>
    <row r="918" spans="2:5" ht="16.5" customHeight="1">
      <c r="B918" s="13"/>
      <c r="C918" s="13"/>
      <c r="D918" s="13"/>
      <c r="E918" s="13"/>
    </row>
    <row r="919" spans="2:5" ht="16.5" customHeight="1">
      <c r="B919" s="13"/>
      <c r="C919" s="13"/>
      <c r="D919" s="13"/>
      <c r="E919" s="13"/>
    </row>
    <row r="920" spans="2:5" ht="16.5" customHeight="1">
      <c r="B920" s="13"/>
      <c r="C920" s="13"/>
      <c r="D920" s="13"/>
      <c r="E920" s="13"/>
    </row>
    <row r="921" spans="2:5" ht="16.5" customHeight="1">
      <c r="B921" s="13"/>
      <c r="C921" s="13"/>
      <c r="D921" s="13"/>
      <c r="E921" s="13"/>
    </row>
    <row r="922" spans="2:5" ht="16.5" customHeight="1">
      <c r="B922" s="13"/>
      <c r="C922" s="13"/>
      <c r="D922" s="13"/>
      <c r="E922" s="13"/>
    </row>
    <row r="923" spans="2:5" ht="16.5" customHeight="1">
      <c r="B923" s="13"/>
      <c r="C923" s="13"/>
      <c r="D923" s="13"/>
      <c r="E923" s="13"/>
    </row>
    <row r="924" spans="2:5" ht="16.5" customHeight="1">
      <c r="B924" s="13"/>
      <c r="C924" s="13"/>
      <c r="D924" s="13"/>
      <c r="E924" s="13"/>
    </row>
    <row r="925" spans="2:5" ht="16.5" customHeight="1">
      <c r="B925" s="13"/>
      <c r="C925" s="13"/>
      <c r="D925" s="13"/>
      <c r="E925" s="13"/>
    </row>
    <row r="926" spans="2:5" ht="16.5" customHeight="1">
      <c r="B926" s="13"/>
      <c r="C926" s="13"/>
      <c r="D926" s="13"/>
      <c r="E926" s="13"/>
    </row>
    <row r="927" spans="2:5" ht="16.5" customHeight="1">
      <c r="B927" s="13"/>
      <c r="C927" s="13"/>
      <c r="D927" s="13"/>
      <c r="E927" s="13"/>
    </row>
    <row r="928" spans="2:5" ht="16.5" customHeight="1">
      <c r="B928" s="13"/>
      <c r="C928" s="13"/>
      <c r="D928" s="13"/>
      <c r="E928" s="13"/>
    </row>
    <row r="929" spans="2:5" ht="16.5" customHeight="1">
      <c r="B929" s="13"/>
      <c r="C929" s="13"/>
      <c r="D929" s="13"/>
      <c r="E929" s="13"/>
    </row>
    <row r="930" spans="2:5" ht="16.5" customHeight="1">
      <c r="B930" s="13"/>
      <c r="C930" s="13"/>
      <c r="D930" s="13"/>
      <c r="E930" s="13"/>
    </row>
    <row r="931" spans="2:5" ht="16.5" customHeight="1">
      <c r="B931" s="13"/>
      <c r="C931" s="13"/>
      <c r="D931" s="13"/>
      <c r="E931" s="13"/>
    </row>
    <row r="932" spans="2:5" ht="16.5" customHeight="1">
      <c r="B932" s="13"/>
      <c r="C932" s="13"/>
      <c r="D932" s="13"/>
      <c r="E932" s="13"/>
    </row>
    <row r="933" spans="2:5" ht="16.5" customHeight="1">
      <c r="B933" s="13"/>
      <c r="C933" s="13"/>
      <c r="D933" s="13"/>
      <c r="E933" s="13"/>
    </row>
    <row r="934" spans="2:5" ht="16.5" customHeight="1">
      <c r="B934" s="13"/>
      <c r="C934" s="13"/>
      <c r="D934" s="13"/>
      <c r="E934" s="13"/>
    </row>
    <row r="935" spans="2:5" ht="16.5" customHeight="1">
      <c r="B935" s="13"/>
      <c r="C935" s="13"/>
      <c r="D935" s="13"/>
      <c r="E935" s="13"/>
    </row>
    <row r="936" spans="2:5" ht="16.5" customHeight="1">
      <c r="B936" s="13"/>
      <c r="C936" s="13"/>
      <c r="D936" s="13"/>
      <c r="E936" s="13"/>
    </row>
    <row r="937" spans="2:5" ht="16.5" customHeight="1">
      <c r="B937" s="13"/>
      <c r="C937" s="13"/>
      <c r="D937" s="13"/>
      <c r="E937" s="13"/>
    </row>
    <row r="938" spans="2:5" ht="16.5" customHeight="1">
      <c r="B938" s="13"/>
      <c r="C938" s="13"/>
      <c r="D938" s="13"/>
      <c r="E938" s="13"/>
    </row>
    <row r="939" spans="2:5" ht="16.5" customHeight="1">
      <c r="B939" s="13"/>
      <c r="C939" s="13"/>
      <c r="D939" s="13"/>
      <c r="E939" s="13"/>
    </row>
    <row r="940" spans="2:5" ht="16.5" customHeight="1">
      <c r="B940" s="13"/>
      <c r="C940" s="13"/>
      <c r="D940" s="13"/>
      <c r="E940" s="13"/>
    </row>
    <row r="941" spans="2:5" ht="16.5" customHeight="1">
      <c r="B941" s="13"/>
      <c r="C941" s="13"/>
      <c r="D941" s="13"/>
      <c r="E941" s="13"/>
    </row>
    <row r="942" spans="2:5" ht="16.5" customHeight="1">
      <c r="B942" s="13"/>
      <c r="C942" s="13"/>
      <c r="D942" s="13"/>
      <c r="E942" s="13"/>
    </row>
    <row r="943" spans="2:5" ht="16.5" customHeight="1">
      <c r="B943" s="13"/>
      <c r="C943" s="13"/>
      <c r="D943" s="13"/>
      <c r="E943" s="13"/>
    </row>
    <row r="944" spans="2:5" ht="16.5" customHeight="1">
      <c r="B944" s="13"/>
      <c r="C944" s="13"/>
      <c r="D944" s="13"/>
      <c r="E944" s="13"/>
    </row>
    <row r="945" spans="2:5" ht="16.5" customHeight="1">
      <c r="B945" s="13"/>
      <c r="C945" s="13"/>
      <c r="D945" s="13"/>
      <c r="E945" s="13"/>
    </row>
    <row r="946" spans="2:5" ht="16.5" customHeight="1">
      <c r="B946" s="13"/>
      <c r="C946" s="13"/>
      <c r="D946" s="13"/>
      <c r="E946" s="13"/>
    </row>
    <row r="947" spans="2:5" ht="16.5" customHeight="1">
      <c r="B947" s="13"/>
      <c r="C947" s="13"/>
      <c r="D947" s="13"/>
      <c r="E947" s="13"/>
    </row>
    <row r="948" spans="2:5" ht="16.5" customHeight="1">
      <c r="B948" s="13"/>
      <c r="C948" s="13"/>
      <c r="D948" s="13"/>
      <c r="E948" s="13"/>
    </row>
    <row r="949" spans="2:5" ht="16.5" customHeight="1">
      <c r="B949" s="13"/>
      <c r="C949" s="13"/>
      <c r="D949" s="13"/>
      <c r="E949" s="13"/>
    </row>
    <row r="950" spans="2:5" ht="16.5" customHeight="1">
      <c r="B950" s="13"/>
      <c r="C950" s="13"/>
      <c r="D950" s="13"/>
      <c r="E950" s="13"/>
    </row>
    <row r="951" spans="2:5" ht="16.5" customHeight="1">
      <c r="B951" s="13"/>
      <c r="C951" s="13"/>
      <c r="D951" s="13"/>
      <c r="E951" s="13"/>
    </row>
    <row r="952" spans="2:5" ht="16.5" customHeight="1">
      <c r="B952" s="13"/>
      <c r="C952" s="13"/>
      <c r="D952" s="13"/>
      <c r="E952" s="13"/>
    </row>
    <row r="953" spans="2:5" ht="16.5" customHeight="1">
      <c r="B953" s="13"/>
      <c r="C953" s="13"/>
      <c r="D953" s="13"/>
      <c r="E953" s="13"/>
    </row>
    <row r="954" spans="2:5" ht="16.5" customHeight="1">
      <c r="B954" s="13"/>
      <c r="C954" s="13"/>
      <c r="D954" s="13"/>
      <c r="E954" s="13"/>
    </row>
    <row r="955" spans="2:5" ht="16.5" customHeight="1">
      <c r="B955" s="13"/>
      <c r="C955" s="13"/>
      <c r="D955" s="13"/>
      <c r="E955" s="13"/>
    </row>
    <row r="956" spans="2:5" ht="16.5" customHeight="1">
      <c r="B956" s="13"/>
      <c r="C956" s="13"/>
      <c r="D956" s="13"/>
      <c r="E956" s="13"/>
    </row>
    <row r="957" spans="2:5" ht="16.5" customHeight="1">
      <c r="B957" s="13"/>
      <c r="C957" s="13"/>
      <c r="D957" s="13"/>
      <c r="E957" s="13"/>
    </row>
    <row r="958" spans="2:5" ht="16.5" customHeight="1">
      <c r="B958" s="13"/>
      <c r="C958" s="13"/>
      <c r="D958" s="13"/>
      <c r="E958" s="13"/>
    </row>
    <row r="959" spans="2:5" ht="16.5" customHeight="1">
      <c r="B959" s="13"/>
      <c r="C959" s="13"/>
      <c r="D959" s="13"/>
      <c r="E959" s="13"/>
    </row>
    <row r="960" spans="2:5" ht="16.5" customHeight="1">
      <c r="B960" s="13"/>
      <c r="C960" s="13"/>
      <c r="D960" s="13"/>
      <c r="E960" s="13"/>
    </row>
    <row r="961" spans="2:5" ht="16.5" customHeight="1">
      <c r="B961" s="13"/>
      <c r="C961" s="13"/>
      <c r="D961" s="13"/>
      <c r="E961" s="13"/>
    </row>
    <row r="962" spans="2:5" ht="16.5" customHeight="1">
      <c r="B962" s="13"/>
      <c r="C962" s="13"/>
      <c r="D962" s="13"/>
      <c r="E962" s="13"/>
    </row>
    <row r="963" spans="2:5" ht="16.5" customHeight="1">
      <c r="B963" s="13"/>
      <c r="C963" s="13"/>
      <c r="D963" s="13"/>
      <c r="E963" s="13"/>
    </row>
    <row r="964" spans="2:5" ht="16.5" customHeight="1">
      <c r="B964" s="13"/>
      <c r="C964" s="13"/>
      <c r="D964" s="13"/>
      <c r="E964" s="13"/>
    </row>
    <row r="965" spans="2:5" ht="16.5" customHeight="1">
      <c r="B965" s="13"/>
      <c r="C965" s="13"/>
      <c r="D965" s="13"/>
      <c r="E965" s="13"/>
    </row>
    <row r="966" spans="2:5" ht="16.5" customHeight="1">
      <c r="B966" s="13"/>
      <c r="C966" s="13"/>
      <c r="D966" s="13"/>
      <c r="E966" s="13"/>
    </row>
    <row r="967" spans="2:5" ht="16.5" customHeight="1">
      <c r="B967" s="13"/>
      <c r="C967" s="13"/>
      <c r="D967" s="13"/>
      <c r="E967" s="13"/>
    </row>
    <row r="968" spans="2:5" ht="16.5" customHeight="1">
      <c r="B968" s="13"/>
      <c r="C968" s="13"/>
      <c r="D968" s="13"/>
      <c r="E968" s="13"/>
    </row>
    <row r="969" spans="2:5" ht="16.5" customHeight="1">
      <c r="B969" s="13"/>
      <c r="C969" s="13"/>
      <c r="D969" s="13"/>
      <c r="E969" s="13"/>
    </row>
    <row r="970" spans="2:5" ht="16.5" customHeight="1">
      <c r="B970" s="13"/>
      <c r="C970" s="13"/>
      <c r="D970" s="13"/>
      <c r="E970" s="13"/>
    </row>
    <row r="971" spans="2:5" ht="16.5" customHeight="1">
      <c r="B971" s="13"/>
      <c r="C971" s="13"/>
      <c r="D971" s="13"/>
      <c r="E971" s="13"/>
    </row>
    <row r="972" spans="2:5" ht="16.5" customHeight="1">
      <c r="B972" s="13"/>
      <c r="C972" s="13"/>
      <c r="D972" s="13"/>
      <c r="E972" s="13"/>
    </row>
    <row r="973" spans="2:5" ht="16.5" customHeight="1">
      <c r="B973" s="13"/>
      <c r="C973" s="13"/>
      <c r="D973" s="13"/>
      <c r="E973" s="13"/>
    </row>
    <row r="974" spans="2:5" ht="16.5" customHeight="1">
      <c r="B974" s="13"/>
      <c r="C974" s="13"/>
      <c r="D974" s="13"/>
      <c r="E974" s="13"/>
    </row>
    <row r="975" spans="2:5" ht="16.5" customHeight="1">
      <c r="B975" s="13"/>
      <c r="C975" s="13"/>
      <c r="D975" s="13"/>
      <c r="E975" s="13"/>
    </row>
    <row r="976" spans="2:5" ht="16.5" customHeight="1">
      <c r="B976" s="13"/>
      <c r="C976" s="13"/>
      <c r="D976" s="13"/>
      <c r="E976" s="13"/>
    </row>
    <row r="977" spans="2:5" ht="16.5" customHeight="1">
      <c r="B977" s="13"/>
      <c r="C977" s="13"/>
      <c r="D977" s="13"/>
      <c r="E977" s="13"/>
    </row>
    <row r="978" spans="2:5" ht="16.5" customHeight="1">
      <c r="B978" s="13"/>
      <c r="C978" s="13"/>
      <c r="D978" s="13"/>
      <c r="E978" s="13"/>
    </row>
    <row r="979" spans="2:5" ht="16.5" customHeight="1">
      <c r="B979" s="13"/>
      <c r="C979" s="13"/>
      <c r="D979" s="13"/>
      <c r="E979" s="13"/>
    </row>
    <row r="980" spans="2:5" ht="16.5" customHeight="1">
      <c r="B980" s="13"/>
      <c r="C980" s="13"/>
      <c r="D980" s="13"/>
      <c r="E980" s="13"/>
    </row>
    <row r="981" spans="2:5" ht="16.5" customHeight="1">
      <c r="B981" s="13"/>
      <c r="C981" s="13"/>
      <c r="D981" s="13"/>
      <c r="E981" s="13"/>
    </row>
    <row r="982" spans="2:5" ht="16.5" customHeight="1">
      <c r="B982" s="13"/>
      <c r="C982" s="13"/>
      <c r="D982" s="13"/>
      <c r="E982" s="13"/>
    </row>
    <row r="983" spans="2:5" ht="16.5" customHeight="1">
      <c r="B983" s="13"/>
      <c r="C983" s="13"/>
      <c r="D983" s="13"/>
      <c r="E983" s="13"/>
    </row>
    <row r="984" spans="2:5" ht="16.5" customHeight="1">
      <c r="B984" s="13"/>
      <c r="C984" s="13"/>
      <c r="D984" s="13"/>
      <c r="E984" s="13"/>
    </row>
    <row r="985" spans="2:5" ht="16.5" customHeight="1">
      <c r="B985" s="13"/>
      <c r="C985" s="13"/>
      <c r="D985" s="13"/>
      <c r="E985" s="13"/>
    </row>
    <row r="986" spans="2:5" ht="16.5" customHeight="1">
      <c r="B986" s="13"/>
      <c r="C986" s="13"/>
      <c r="D986" s="13"/>
      <c r="E986" s="13"/>
    </row>
    <row r="987" spans="2:5" ht="16.5" customHeight="1">
      <c r="B987" s="13"/>
      <c r="C987" s="13"/>
      <c r="D987" s="13"/>
      <c r="E987" s="13"/>
    </row>
    <row r="988" spans="2:5" ht="16.5" customHeight="1">
      <c r="B988" s="13"/>
      <c r="C988" s="13"/>
      <c r="D988" s="13"/>
      <c r="E988" s="13"/>
    </row>
    <row r="989" spans="2:5" ht="16.5" customHeight="1">
      <c r="B989" s="13"/>
      <c r="C989" s="13"/>
      <c r="D989" s="13"/>
      <c r="E989" s="13"/>
    </row>
    <row r="990" spans="2:5" ht="16.5" customHeight="1">
      <c r="B990" s="13"/>
      <c r="C990" s="13"/>
      <c r="D990" s="13"/>
      <c r="E990" s="13"/>
    </row>
    <row r="991" spans="2:5" ht="16.5" customHeight="1">
      <c r="B991" s="13"/>
      <c r="C991" s="13"/>
      <c r="D991" s="13"/>
      <c r="E991" s="13"/>
    </row>
    <row r="992" spans="2:5" ht="16.5" customHeight="1">
      <c r="B992" s="13"/>
      <c r="C992" s="13"/>
      <c r="D992" s="13"/>
      <c r="E992" s="13"/>
    </row>
    <row r="993" spans="2:5" ht="16.5" customHeight="1">
      <c r="B993" s="13"/>
      <c r="C993" s="13"/>
      <c r="D993" s="13"/>
      <c r="E993" s="13"/>
    </row>
    <row r="994" spans="2:5" ht="16.5" customHeight="1">
      <c r="B994" s="13"/>
      <c r="C994" s="13"/>
      <c r="D994" s="13"/>
      <c r="E994" s="13"/>
    </row>
    <row r="995" spans="2:5" ht="16.5" customHeight="1">
      <c r="B995" s="13"/>
      <c r="C995" s="13"/>
      <c r="D995" s="13"/>
      <c r="E995" s="13"/>
    </row>
    <row r="996" spans="2:5" ht="16.5" customHeight="1">
      <c r="B996" s="13"/>
      <c r="C996" s="13"/>
      <c r="D996" s="13"/>
      <c r="E996" s="13"/>
    </row>
    <row r="997" spans="2:5" ht="16.5" customHeight="1">
      <c r="B997" s="13"/>
      <c r="C997" s="13"/>
      <c r="D997" s="13"/>
      <c r="E997" s="13"/>
    </row>
    <row r="998" spans="2:5" ht="16.5" customHeight="1">
      <c r="B998" s="13"/>
      <c r="C998" s="13"/>
      <c r="D998" s="13"/>
      <c r="E998" s="13"/>
    </row>
    <row r="999" spans="2:5" ht="16.5" customHeight="1">
      <c r="B999" s="13"/>
      <c r="C999" s="13"/>
      <c r="D999" s="13"/>
      <c r="E999" s="13"/>
    </row>
    <row r="1000" spans="2:5" ht="16.5" customHeight="1">
      <c r="B1000" s="13"/>
      <c r="C1000" s="13"/>
      <c r="D1000" s="13"/>
      <c r="E1000" s="13"/>
    </row>
  </sheetData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E28" sqref="E28"/>
    </sheetView>
  </sheetViews>
  <sheetFormatPr defaultColWidth="14.42578125" defaultRowHeight="15" customHeight="1"/>
  <cols>
    <col min="1" max="1" width="14.5703125" customWidth="1"/>
    <col min="3" max="3" width="28.28515625" customWidth="1"/>
    <col min="4" max="4" width="42.140625" customWidth="1"/>
    <col min="5" max="5" width="53" customWidth="1"/>
    <col min="6" max="6" width="34.85546875" customWidth="1"/>
    <col min="7" max="7" width="23.85546875" customWidth="1"/>
    <col min="8" max="26" width="8.7109375" customWidth="1"/>
  </cols>
  <sheetData>
    <row r="1" spans="1:26" ht="16.5" customHeight="1">
      <c r="A1" s="4" t="s">
        <v>1709</v>
      </c>
      <c r="B1" s="4" t="s">
        <v>2</v>
      </c>
      <c r="C1" s="4" t="s">
        <v>1714</v>
      </c>
      <c r="D1" s="4" t="s">
        <v>3</v>
      </c>
      <c r="E1" s="4" t="s">
        <v>4</v>
      </c>
      <c r="F1" s="7" t="s">
        <v>6</v>
      </c>
      <c r="G1" s="3" t="s">
        <v>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customHeight="1">
      <c r="A2" s="4" t="s">
        <v>11</v>
      </c>
      <c r="B2" s="4" t="s">
        <v>11</v>
      </c>
      <c r="C2" s="4" t="s">
        <v>11</v>
      </c>
      <c r="D2" s="4" t="s">
        <v>11</v>
      </c>
      <c r="E2" s="4" t="s">
        <v>11</v>
      </c>
      <c r="F2" s="7" t="s">
        <v>11</v>
      </c>
      <c r="G2" s="3" t="s">
        <v>11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>
      <c r="A3" s="11" t="s">
        <v>1730</v>
      </c>
      <c r="B3" s="10" t="s">
        <v>2435</v>
      </c>
      <c r="C3" s="11" t="s">
        <v>2436</v>
      </c>
      <c r="D3" s="11" t="str">
        <f t="shared" ref="D3:D38" si="0">B3&amp;"_"&amp;TEXT(C3,"0000")&amp;"_"&amp;A3</f>
        <v>GUIDE_MOVE_TITLE</v>
      </c>
      <c r="E3" s="10" t="s">
        <v>2440</v>
      </c>
      <c r="F3" s="11" t="s">
        <v>2441</v>
      </c>
      <c r="G3" s="8" t="s">
        <v>215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>
      <c r="A4" s="11" t="str">
        <f t="shared" ref="A4:B4" si="1">A3</f>
        <v>TITLE</v>
      </c>
      <c r="B4" s="11" t="str">
        <f t="shared" si="1"/>
        <v>GUIDE</v>
      </c>
      <c r="C4" s="11" t="s">
        <v>2445</v>
      </c>
      <c r="D4" s="11" t="str">
        <f t="shared" si="0"/>
        <v>GUIDE_NORMAL_ATTACK_TITLE</v>
      </c>
      <c r="E4" s="10" t="s">
        <v>2446</v>
      </c>
      <c r="F4" s="11" t="s">
        <v>2447</v>
      </c>
      <c r="G4" s="8" t="s">
        <v>2448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 customHeight="1">
      <c r="A5" s="11" t="str">
        <f t="shared" ref="A5:B5" si="2">A4</f>
        <v>TITLE</v>
      </c>
      <c r="B5" s="11" t="str">
        <f t="shared" si="2"/>
        <v>GUIDE</v>
      </c>
      <c r="C5" s="11" t="s">
        <v>2452</v>
      </c>
      <c r="D5" s="11" t="str">
        <f t="shared" si="0"/>
        <v>GUIDE_MAIN_SKILL_USE_TITLE</v>
      </c>
      <c r="E5" s="10" t="s">
        <v>2453</v>
      </c>
      <c r="F5" s="11" t="s">
        <v>2454</v>
      </c>
      <c r="G5" s="8" t="s">
        <v>2455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 customHeight="1">
      <c r="A6" s="11" t="str">
        <f t="shared" ref="A6:B6" si="3">A5</f>
        <v>TITLE</v>
      </c>
      <c r="B6" s="11" t="str">
        <f t="shared" si="3"/>
        <v>GUIDE</v>
      </c>
      <c r="C6" s="11" t="s">
        <v>2456</v>
      </c>
      <c r="D6" s="11" t="str">
        <f t="shared" si="0"/>
        <v>GUIDE_DASH_USE_TITLE</v>
      </c>
      <c r="E6" s="10" t="s">
        <v>2457</v>
      </c>
      <c r="F6" s="11" t="s">
        <v>2459</v>
      </c>
      <c r="G6" s="8" t="s">
        <v>2461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>
      <c r="A7" s="11" t="str">
        <f t="shared" ref="A7:B7" si="4">A6</f>
        <v>TITLE</v>
      </c>
      <c r="B7" s="11" t="str">
        <f t="shared" si="4"/>
        <v>GUIDE</v>
      </c>
      <c r="C7" s="11" t="s">
        <v>2463</v>
      </c>
      <c r="D7" s="11" t="str">
        <f t="shared" si="0"/>
        <v>GUIDE_STORYMODE_PLAY_TITLE</v>
      </c>
      <c r="E7" s="11" t="s">
        <v>2464</v>
      </c>
      <c r="F7" s="11" t="s">
        <v>2465</v>
      </c>
      <c r="G7" s="8" t="s">
        <v>2466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 customHeight="1">
      <c r="A8" s="11" t="str">
        <f t="shared" ref="A8:B8" si="5">A7</f>
        <v>TITLE</v>
      </c>
      <c r="B8" s="11" t="str">
        <f t="shared" si="5"/>
        <v>GUIDE</v>
      </c>
      <c r="C8" s="11" t="s">
        <v>2470</v>
      </c>
      <c r="D8" s="11" t="str">
        <f t="shared" si="0"/>
        <v>GUIDE_CHARACTER_DEPLOY_TITLE</v>
      </c>
      <c r="E8" s="11" t="s">
        <v>3795</v>
      </c>
      <c r="F8" s="11" t="s">
        <v>2471</v>
      </c>
      <c r="G8" s="8" t="s">
        <v>2472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 customHeight="1">
      <c r="A9" s="11" t="str">
        <f t="shared" ref="A9:B9" si="6">A8</f>
        <v>TITLE</v>
      </c>
      <c r="B9" s="11" t="str">
        <f t="shared" si="6"/>
        <v>GUIDE</v>
      </c>
      <c r="C9" s="11" t="s">
        <v>2476</v>
      </c>
      <c r="D9" s="11" t="str">
        <f t="shared" si="0"/>
        <v>GUIDE_DAILY_DUNGEON_PLAY_TITLE</v>
      </c>
      <c r="E9" s="10" t="s">
        <v>2478</v>
      </c>
      <c r="F9" s="11" t="s">
        <v>2480</v>
      </c>
      <c r="G9" s="8" t="s">
        <v>2482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 customHeight="1">
      <c r="A10" s="11" t="str">
        <f t="shared" ref="A10:A18" si="7">A9</f>
        <v>TITLE</v>
      </c>
      <c r="B10" s="10" t="s">
        <v>2483</v>
      </c>
      <c r="C10" s="11" t="s">
        <v>2484</v>
      </c>
      <c r="D10" s="11" t="str">
        <f t="shared" si="0"/>
        <v>REPEAT_ENEMY_KILL_TITLE</v>
      </c>
      <c r="E10" s="10" t="s">
        <v>2485</v>
      </c>
      <c r="F10" s="11" t="s">
        <v>2486</v>
      </c>
      <c r="G10" s="8" t="s">
        <v>2487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 customHeight="1">
      <c r="A11" s="11" t="str">
        <f t="shared" si="7"/>
        <v>TITLE</v>
      </c>
      <c r="B11" s="10" t="s">
        <v>2483</v>
      </c>
      <c r="C11" s="11" t="s">
        <v>2491</v>
      </c>
      <c r="D11" s="11" t="str">
        <f t="shared" si="0"/>
        <v>REPEAT_TOURNAMENT_PLAY_TITLE</v>
      </c>
      <c r="E11" s="10" t="s">
        <v>2492</v>
      </c>
      <c r="F11" s="11" t="s">
        <v>2493</v>
      </c>
      <c r="G11" s="8" t="s">
        <v>2494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 customHeight="1">
      <c r="A12" s="11" t="str">
        <f t="shared" si="7"/>
        <v>TITLE</v>
      </c>
      <c r="B12" s="10" t="s">
        <v>2483</v>
      </c>
      <c r="C12" s="11" t="s">
        <v>2495</v>
      </c>
      <c r="D12" s="11" t="str">
        <f t="shared" si="0"/>
        <v>REPEAT_RAID_PLAY_TITLE</v>
      </c>
      <c r="E12" s="10" t="s">
        <v>2496</v>
      </c>
      <c r="F12" s="11" t="s">
        <v>2498</v>
      </c>
      <c r="G12" s="8" t="s">
        <v>2500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 customHeight="1">
      <c r="A13" s="11" t="str">
        <f t="shared" si="7"/>
        <v>TITLE</v>
      </c>
      <c r="B13" s="10" t="s">
        <v>2483</v>
      </c>
      <c r="C13" s="11" t="s">
        <v>2502</v>
      </c>
      <c r="D13" s="11" t="str">
        <f t="shared" si="0"/>
        <v>REPEAT_GACHA_PROGRESS_TITLE</v>
      </c>
      <c r="E13" s="10" t="s">
        <v>3794</v>
      </c>
      <c r="F13" s="11" t="s">
        <v>2503</v>
      </c>
      <c r="G13" s="8" t="s">
        <v>2504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6.5" customHeight="1">
      <c r="A14" s="11" t="str">
        <f t="shared" si="7"/>
        <v>TITLE</v>
      </c>
      <c r="B14" s="10" t="s">
        <v>2483</v>
      </c>
      <c r="C14" s="11" t="s">
        <v>2505</v>
      </c>
      <c r="D14" s="11" t="str">
        <f t="shared" si="0"/>
        <v>REPEAT_FARM_RICE_EARN_TITLE</v>
      </c>
      <c r="E14" s="10" t="s">
        <v>2506</v>
      </c>
      <c r="F14" s="11" t="s">
        <v>2507</v>
      </c>
      <c r="G14" s="8" t="s">
        <v>2508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 customHeight="1">
      <c r="A15" s="11" t="str">
        <f t="shared" si="7"/>
        <v>TITLE</v>
      </c>
      <c r="B15" s="10" t="s">
        <v>2483</v>
      </c>
      <c r="C15" s="11" t="s">
        <v>2510</v>
      </c>
      <c r="D15" s="11" t="str">
        <f t="shared" si="0"/>
        <v>REPEAT_MARKET_GOLD_EARN_TITLE</v>
      </c>
      <c r="E15" s="10" t="s">
        <v>2512</v>
      </c>
      <c r="F15" s="11" t="s">
        <v>2513</v>
      </c>
      <c r="G15" s="8" t="s">
        <v>2514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 customHeight="1">
      <c r="A16" s="11" t="str">
        <f t="shared" si="7"/>
        <v>TITLE</v>
      </c>
      <c r="B16" s="10" t="s">
        <v>2483</v>
      </c>
      <c r="C16" s="11" t="s">
        <v>2515</v>
      </c>
      <c r="D16" s="11" t="str">
        <f t="shared" si="0"/>
        <v>REPEAT_OFFICE_MISSION_PROGRESS_TITLE</v>
      </c>
      <c r="E16" s="10" t="s">
        <v>2516</v>
      </c>
      <c r="F16" s="11" t="s">
        <v>2517</v>
      </c>
      <c r="G16" s="8" t="s">
        <v>2518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 customHeight="1">
      <c r="A17" s="11" t="str">
        <f t="shared" si="7"/>
        <v>TITLE</v>
      </c>
      <c r="B17" s="10" t="s">
        <v>2483</v>
      </c>
      <c r="C17" s="11" t="s">
        <v>2476</v>
      </c>
      <c r="D17" s="11" t="str">
        <f t="shared" si="0"/>
        <v>REPEAT_DAILY_DUNGEON_PLAY_TITLE</v>
      </c>
      <c r="E17" s="10" t="s">
        <v>2521</v>
      </c>
      <c r="F17" s="11" t="s">
        <v>2522</v>
      </c>
      <c r="G17" s="8" t="s">
        <v>2523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 customHeight="1">
      <c r="A18" s="11" t="str">
        <f t="shared" si="7"/>
        <v>TITLE</v>
      </c>
      <c r="B18" s="10" t="s">
        <v>2483</v>
      </c>
      <c r="C18" s="11" t="s">
        <v>2524</v>
      </c>
      <c r="D18" s="11" t="str">
        <f t="shared" si="0"/>
        <v>REPEAT_STAGE_BOSS_KILL_TITLE</v>
      </c>
      <c r="E18" s="10" t="s">
        <v>2525</v>
      </c>
      <c r="F18" s="11" t="s">
        <v>2526</v>
      </c>
      <c r="G18" s="8" t="s">
        <v>2527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 customHeight="1">
      <c r="A19" s="11" t="s">
        <v>1977</v>
      </c>
      <c r="B19" s="10" t="s">
        <v>2435</v>
      </c>
      <c r="C19" s="11" t="s">
        <v>2436</v>
      </c>
      <c r="D19" s="11" t="str">
        <f t="shared" si="0"/>
        <v>GUIDE_MOVE_DESC</v>
      </c>
      <c r="E19" s="11" t="s">
        <v>2531</v>
      </c>
      <c r="F19" s="11" t="s">
        <v>2532</v>
      </c>
      <c r="G19" s="8" t="s">
        <v>2533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 customHeight="1">
      <c r="A20" s="11" t="s">
        <v>2534</v>
      </c>
      <c r="B20" s="10" t="s">
        <v>2435</v>
      </c>
      <c r="C20" s="11" t="s">
        <v>2436</v>
      </c>
      <c r="D20" s="11" t="str">
        <f t="shared" si="0"/>
        <v>GUIDE_MOVE_DESC_MOBILE</v>
      </c>
      <c r="E20" s="11" t="s">
        <v>2535</v>
      </c>
      <c r="F20" s="11" t="s">
        <v>2536</v>
      </c>
      <c r="G20" s="8" t="s">
        <v>2537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6.5" customHeight="1">
      <c r="A21" s="11" t="s">
        <v>1977</v>
      </c>
      <c r="B21" s="11" t="str">
        <f>B19</f>
        <v>GUIDE</v>
      </c>
      <c r="C21" s="11" t="s">
        <v>2445</v>
      </c>
      <c r="D21" s="11" t="str">
        <f t="shared" si="0"/>
        <v>GUIDE_NORMAL_ATTACK_DESC</v>
      </c>
      <c r="E21" s="11" t="s">
        <v>2538</v>
      </c>
      <c r="F21" s="11" t="s">
        <v>2539</v>
      </c>
      <c r="G21" s="8" t="s">
        <v>2540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6.5" customHeight="1">
      <c r="A22" s="11" t="s">
        <v>2534</v>
      </c>
      <c r="B22" s="11" t="str">
        <f t="shared" ref="B22:B24" si="8">B21</f>
        <v>GUIDE</v>
      </c>
      <c r="C22" s="11" t="s">
        <v>2445</v>
      </c>
      <c r="D22" s="11" t="str">
        <f t="shared" si="0"/>
        <v>GUIDE_NORMAL_ATTACK_DESC_MOBILE</v>
      </c>
      <c r="E22" s="11" t="s">
        <v>2544</v>
      </c>
      <c r="F22" s="11" t="s">
        <v>2545</v>
      </c>
      <c r="G22" s="8" t="s">
        <v>2546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6.5" customHeight="1">
      <c r="A23" s="11" t="s">
        <v>1977</v>
      </c>
      <c r="B23" s="11" t="str">
        <f t="shared" si="8"/>
        <v>GUIDE</v>
      </c>
      <c r="C23" s="11" t="s">
        <v>2452</v>
      </c>
      <c r="D23" s="11" t="str">
        <f t="shared" si="0"/>
        <v>GUIDE_MAIN_SKILL_USE_DESC</v>
      </c>
      <c r="E23" s="11" t="s">
        <v>2550</v>
      </c>
      <c r="F23" s="11" t="s">
        <v>2551</v>
      </c>
      <c r="G23" s="8" t="s">
        <v>2552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6.5" customHeight="1">
      <c r="A24" s="11" t="s">
        <v>2534</v>
      </c>
      <c r="B24" s="11" t="str">
        <f t="shared" si="8"/>
        <v>GUIDE</v>
      </c>
      <c r="C24" s="11" t="s">
        <v>2452</v>
      </c>
      <c r="D24" s="11" t="str">
        <f t="shared" si="0"/>
        <v>GUIDE_MAIN_SKILL_USE_DESC_MOBILE</v>
      </c>
      <c r="E24" s="11" t="s">
        <v>2553</v>
      </c>
      <c r="F24" s="11" t="s">
        <v>2554</v>
      </c>
      <c r="G24" s="8" t="s">
        <v>2555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6.5" customHeight="1">
      <c r="A25" s="11" t="s">
        <v>1977</v>
      </c>
      <c r="B25" s="11" t="str">
        <f t="shared" ref="B25:B27" si="9">B23</f>
        <v>GUIDE</v>
      </c>
      <c r="C25" s="11" t="s">
        <v>2456</v>
      </c>
      <c r="D25" s="11" t="str">
        <f t="shared" si="0"/>
        <v>GUIDE_DASH_USE_DESC</v>
      </c>
      <c r="E25" s="11" t="s">
        <v>2559</v>
      </c>
      <c r="F25" s="11" t="s">
        <v>2560</v>
      </c>
      <c r="G25" s="8" t="s">
        <v>2561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6.5" customHeight="1">
      <c r="A26" s="11" t="s">
        <v>2534</v>
      </c>
      <c r="B26" s="11" t="str">
        <f t="shared" si="9"/>
        <v>GUIDE</v>
      </c>
      <c r="C26" s="11" t="s">
        <v>2456</v>
      </c>
      <c r="D26" s="11" t="str">
        <f t="shared" si="0"/>
        <v>GUIDE_DASH_USE_DESC_MOBILE</v>
      </c>
      <c r="E26" s="11" t="s">
        <v>2565</v>
      </c>
      <c r="F26" s="11" t="s">
        <v>2566</v>
      </c>
      <c r="G26" s="8" t="s">
        <v>2567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6.5" customHeight="1">
      <c r="A27" s="11" t="s">
        <v>1977</v>
      </c>
      <c r="B27" s="11" t="str">
        <f t="shared" si="9"/>
        <v>GUIDE</v>
      </c>
      <c r="C27" s="11" t="s">
        <v>2463</v>
      </c>
      <c r="D27" s="11" t="str">
        <f t="shared" si="0"/>
        <v>GUIDE_STORYMODE_PLAY_DESC</v>
      </c>
      <c r="E27" s="11" t="s">
        <v>2568</v>
      </c>
      <c r="F27" s="11" t="s">
        <v>2569</v>
      </c>
      <c r="G27" s="8" t="s">
        <v>2570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6.5" customHeight="1">
      <c r="A28" s="11" t="s">
        <v>1977</v>
      </c>
      <c r="B28" s="11" t="str">
        <f t="shared" ref="B28:B29" si="10">B27</f>
        <v>GUIDE</v>
      </c>
      <c r="C28" s="11" t="s">
        <v>2470</v>
      </c>
      <c r="D28" s="11" t="str">
        <f t="shared" si="0"/>
        <v>GUIDE_CHARACTER_DEPLOY_DESC</v>
      </c>
      <c r="E28" s="11" t="s">
        <v>3796</v>
      </c>
      <c r="F28" s="11" t="s">
        <v>2574</v>
      </c>
      <c r="G28" s="8" t="s">
        <v>2575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6.5" customHeight="1">
      <c r="A29" s="11" t="s">
        <v>1977</v>
      </c>
      <c r="B29" s="11" t="str">
        <f t="shared" si="10"/>
        <v>GUIDE</v>
      </c>
      <c r="C29" s="11" t="s">
        <v>2476</v>
      </c>
      <c r="D29" s="11" t="str">
        <f t="shared" si="0"/>
        <v>GUIDE_DAILY_DUNGEON_PLAY_DESC</v>
      </c>
      <c r="E29" s="11"/>
      <c r="F29" s="11"/>
      <c r="G29" s="11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6.5" customHeight="1">
      <c r="A30" s="11" t="s">
        <v>1977</v>
      </c>
      <c r="B30" s="10" t="s">
        <v>2483</v>
      </c>
      <c r="C30" s="11" t="s">
        <v>2484</v>
      </c>
      <c r="D30" s="11" t="str">
        <f t="shared" si="0"/>
        <v>REPEAT_ENEMY_KILL_DESC</v>
      </c>
      <c r="E30" s="11"/>
      <c r="F30" s="11"/>
      <c r="G30" s="11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6.5" customHeight="1">
      <c r="A31" s="11" t="s">
        <v>1977</v>
      </c>
      <c r="B31" s="10" t="s">
        <v>2483</v>
      </c>
      <c r="C31" s="11" t="s">
        <v>2491</v>
      </c>
      <c r="D31" s="11" t="str">
        <f t="shared" si="0"/>
        <v>REPEAT_TOURNAMENT_PLAY_DESC</v>
      </c>
      <c r="E31" s="11"/>
      <c r="F31" s="11"/>
      <c r="G31" s="11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6.5" customHeight="1">
      <c r="A32" s="11" t="s">
        <v>1977</v>
      </c>
      <c r="B32" s="10" t="s">
        <v>2483</v>
      </c>
      <c r="C32" s="11" t="s">
        <v>2495</v>
      </c>
      <c r="D32" s="11" t="str">
        <f t="shared" si="0"/>
        <v>REPEAT_RAID_PLAY_DESC</v>
      </c>
      <c r="E32" s="11"/>
      <c r="F32" s="11"/>
      <c r="G32" s="11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6.5" customHeight="1">
      <c r="A33" s="11" t="s">
        <v>1977</v>
      </c>
      <c r="B33" s="10" t="s">
        <v>2483</v>
      </c>
      <c r="C33" s="11" t="s">
        <v>2502</v>
      </c>
      <c r="D33" s="11" t="str">
        <f t="shared" si="0"/>
        <v>REPEAT_GACHA_PROGRESS_DESC</v>
      </c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6.5" customHeight="1">
      <c r="A34" s="11" t="s">
        <v>1977</v>
      </c>
      <c r="B34" s="10" t="s">
        <v>2483</v>
      </c>
      <c r="C34" s="11" t="s">
        <v>2505</v>
      </c>
      <c r="D34" s="11" t="str">
        <f t="shared" si="0"/>
        <v>REPEAT_FARM_RICE_EARN_DESC</v>
      </c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6.5" customHeight="1">
      <c r="A35" s="11" t="s">
        <v>1977</v>
      </c>
      <c r="B35" s="10" t="s">
        <v>2483</v>
      </c>
      <c r="C35" s="11" t="s">
        <v>2510</v>
      </c>
      <c r="D35" s="11" t="str">
        <f t="shared" si="0"/>
        <v>REPEAT_MARKET_GOLD_EARN_DESC</v>
      </c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6.5" customHeight="1">
      <c r="A36" s="11" t="s">
        <v>1977</v>
      </c>
      <c r="B36" s="10" t="s">
        <v>2483</v>
      </c>
      <c r="C36" s="11" t="s">
        <v>2515</v>
      </c>
      <c r="D36" s="11" t="str">
        <f t="shared" si="0"/>
        <v>REPEAT_OFFICE_MISSION_PROGRESS_DESC</v>
      </c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6.5" customHeight="1">
      <c r="A37" s="11" t="s">
        <v>1977</v>
      </c>
      <c r="B37" s="10" t="s">
        <v>2483</v>
      </c>
      <c r="C37" s="11" t="s">
        <v>2476</v>
      </c>
      <c r="D37" s="11" t="str">
        <f t="shared" si="0"/>
        <v>REPEAT_DAILY_DUNGEON_PLAY_DESC</v>
      </c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6.5" customHeight="1">
      <c r="A38" s="11" t="s">
        <v>1977</v>
      </c>
      <c r="B38" s="10" t="s">
        <v>2483</v>
      </c>
      <c r="C38" s="11" t="s">
        <v>2524</v>
      </c>
      <c r="D38" s="11" t="str">
        <f t="shared" si="0"/>
        <v>REPEAT_STAGE_BOSS_KILL_DESC</v>
      </c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6.5" customHeight="1">
      <c r="A39" s="6"/>
      <c r="B39" s="24"/>
      <c r="C39" s="25"/>
      <c r="D39" s="26"/>
      <c r="E39" s="6"/>
      <c r="F39" s="2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6.5" customHeight="1">
      <c r="A40" s="6"/>
      <c r="B40" s="24"/>
      <c r="C40" s="25"/>
      <c r="D40" s="26"/>
      <c r="E40" s="6"/>
      <c r="F40" s="28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6.5" customHeight="1">
      <c r="A41" s="6"/>
      <c r="B41" s="24"/>
      <c r="C41" s="25"/>
      <c r="D41" s="26"/>
      <c r="E41" s="6"/>
      <c r="F41" s="28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6.5" customHeight="1">
      <c r="A42" s="6"/>
      <c r="B42" s="24"/>
      <c r="C42" s="25"/>
      <c r="D42" s="26"/>
      <c r="E42" s="2"/>
      <c r="F42" s="28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6.5" customHeight="1">
      <c r="A43" s="6"/>
      <c r="B43" s="24"/>
      <c r="C43" s="25"/>
      <c r="D43" s="26"/>
      <c r="E43" s="2"/>
      <c r="F43" s="28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6.5" customHeight="1">
      <c r="A44" s="6"/>
      <c r="B44" s="24"/>
      <c r="C44" s="25"/>
      <c r="D44" s="26"/>
      <c r="E44" s="6"/>
      <c r="F44" s="28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6.5" customHeight="1">
      <c r="A45" s="6"/>
      <c r="B45" s="24"/>
      <c r="C45" s="25"/>
      <c r="D45" s="26"/>
      <c r="E45" s="2"/>
      <c r="F45" s="28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6.5" customHeight="1">
      <c r="A46" s="6"/>
      <c r="B46" s="24"/>
      <c r="C46" s="25"/>
      <c r="D46" s="26"/>
      <c r="E46" s="6"/>
      <c r="F46" s="28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6.5" customHeight="1">
      <c r="A47" s="6"/>
      <c r="B47" s="24"/>
      <c r="C47" s="25"/>
      <c r="D47" s="26"/>
      <c r="E47" s="6"/>
      <c r="F47" s="28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6.5" customHeight="1">
      <c r="A48" s="6"/>
      <c r="B48" s="24"/>
      <c r="C48" s="25"/>
      <c r="D48" s="26"/>
      <c r="E48" s="6"/>
      <c r="F48" s="28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6.5" customHeight="1">
      <c r="A49" s="6"/>
      <c r="B49" s="24"/>
      <c r="C49" s="25"/>
      <c r="D49" s="26"/>
      <c r="E49" s="6"/>
      <c r="F49" s="28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6.5" customHeight="1">
      <c r="A50" s="6"/>
      <c r="B50" s="24"/>
      <c r="C50" s="25"/>
      <c r="D50" s="26"/>
      <c r="E50" s="6"/>
      <c r="F50" s="28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6.5" customHeight="1">
      <c r="A51" s="6"/>
      <c r="B51" s="24"/>
      <c r="C51" s="25"/>
      <c r="D51" s="26"/>
      <c r="E51" s="6"/>
      <c r="F51" s="28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6.5" customHeight="1">
      <c r="A52" s="6"/>
      <c r="B52" s="24"/>
      <c r="C52" s="25"/>
      <c r="D52" s="26"/>
      <c r="E52" s="6"/>
      <c r="F52" s="28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6.5" customHeight="1">
      <c r="A53" s="6"/>
      <c r="B53" s="24"/>
      <c r="C53" s="25"/>
      <c r="D53" s="26"/>
      <c r="E53" s="6"/>
      <c r="F53" s="28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6.5" customHeight="1">
      <c r="A54" s="6"/>
      <c r="B54" s="24"/>
      <c r="C54" s="25"/>
      <c r="D54" s="26"/>
      <c r="E54" s="6"/>
      <c r="F54" s="28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6.5" customHeight="1">
      <c r="A55" s="6"/>
      <c r="B55" s="24"/>
      <c r="C55" s="25"/>
      <c r="D55" s="26"/>
      <c r="E55" s="6"/>
      <c r="F55" s="28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6.5" customHeight="1">
      <c r="A56" s="6"/>
      <c r="B56" s="24"/>
      <c r="C56" s="25"/>
      <c r="D56" s="26"/>
      <c r="E56" s="6"/>
      <c r="F56" s="28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6.5" customHeight="1">
      <c r="A57" s="6"/>
      <c r="B57" s="24"/>
      <c r="C57" s="25"/>
      <c r="D57" s="26"/>
      <c r="E57" s="6"/>
      <c r="F57" s="28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6.5" customHeight="1">
      <c r="A58" s="6"/>
      <c r="B58" s="24"/>
      <c r="C58" s="25"/>
      <c r="D58" s="26"/>
      <c r="E58" s="6"/>
      <c r="F58" s="28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6.5" customHeight="1">
      <c r="A59" s="6"/>
      <c r="B59" s="24"/>
      <c r="C59" s="25"/>
      <c r="D59" s="26"/>
      <c r="E59" s="6"/>
      <c r="F59" s="28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6.5" customHeight="1">
      <c r="A60" s="6"/>
      <c r="B60" s="24"/>
      <c r="C60" s="25"/>
      <c r="D60" s="26"/>
      <c r="E60" s="6"/>
      <c r="F60" s="28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6.5" customHeight="1">
      <c r="A61" s="6"/>
      <c r="B61" s="24"/>
      <c r="C61" s="25"/>
      <c r="D61" s="26"/>
      <c r="E61" s="6"/>
      <c r="F61" s="28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6.5" customHeight="1">
      <c r="A62" s="6"/>
      <c r="B62" s="24"/>
      <c r="C62" s="25"/>
      <c r="D62" s="26"/>
      <c r="E62" s="6"/>
      <c r="F62" s="28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6.5" customHeight="1">
      <c r="A63" s="6"/>
      <c r="B63" s="24"/>
      <c r="C63" s="25"/>
      <c r="D63" s="26"/>
      <c r="E63" s="6"/>
      <c r="F63" s="28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6.5" customHeight="1">
      <c r="A64" s="6"/>
      <c r="B64" s="24"/>
      <c r="C64" s="25"/>
      <c r="D64" s="26"/>
      <c r="E64" s="6"/>
      <c r="F64" s="28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6.5" customHeight="1">
      <c r="A65" s="6"/>
      <c r="B65" s="24"/>
      <c r="C65" s="25"/>
      <c r="D65" s="26"/>
      <c r="E65" s="6"/>
      <c r="F65" s="28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6.5" customHeight="1">
      <c r="A66" s="6"/>
      <c r="B66" s="24"/>
      <c r="C66" s="25"/>
      <c r="D66" s="26"/>
      <c r="E66" s="6"/>
      <c r="F66" s="28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6.5" customHeight="1">
      <c r="A67" s="6"/>
      <c r="B67" s="24"/>
      <c r="C67" s="25"/>
      <c r="D67" s="26"/>
      <c r="E67" s="6"/>
      <c r="F67" s="28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6.5" customHeight="1">
      <c r="A68" s="6"/>
      <c r="B68" s="24"/>
      <c r="C68" s="25"/>
      <c r="D68" s="26"/>
      <c r="E68" s="6"/>
      <c r="F68" s="28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6.5" customHeight="1">
      <c r="A69" s="6"/>
      <c r="B69" s="24"/>
      <c r="C69" s="25"/>
      <c r="D69" s="26"/>
      <c r="E69" s="6"/>
      <c r="F69" s="28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6.5" customHeight="1">
      <c r="A70" s="6"/>
      <c r="B70" s="24"/>
      <c r="C70" s="25"/>
      <c r="D70" s="26"/>
      <c r="E70" s="6"/>
      <c r="F70" s="28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6.5" customHeight="1">
      <c r="A71" s="6"/>
      <c r="B71" s="24"/>
      <c r="C71" s="25"/>
      <c r="D71" s="26"/>
      <c r="E71" s="6"/>
      <c r="F71" s="28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6.5" customHeight="1">
      <c r="A72" s="6"/>
      <c r="B72" s="24"/>
      <c r="C72" s="25"/>
      <c r="D72" s="26"/>
      <c r="E72" s="6"/>
      <c r="F72" s="28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6.5" customHeight="1">
      <c r="A73" s="6"/>
      <c r="B73" s="24"/>
      <c r="C73" s="25"/>
      <c r="D73" s="26"/>
      <c r="E73" s="6"/>
      <c r="F73" s="28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6.5" customHeight="1">
      <c r="A74" s="6"/>
      <c r="B74" s="24"/>
      <c r="C74" s="25"/>
      <c r="D74" s="26"/>
      <c r="E74" s="6"/>
      <c r="F74" s="28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6.5" customHeight="1">
      <c r="A75" s="6"/>
      <c r="B75" s="29"/>
      <c r="C75" s="30"/>
      <c r="D75" s="26"/>
      <c r="E75" s="6"/>
      <c r="F75" s="31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6.5" customHeight="1">
      <c r="A76" s="6"/>
      <c r="B76" s="24"/>
      <c r="C76" s="25"/>
      <c r="D76" s="26"/>
      <c r="E76" s="6"/>
      <c r="F76" s="28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6.5" customHeight="1">
      <c r="A77" s="6"/>
      <c r="B77" s="24"/>
      <c r="C77" s="25"/>
      <c r="D77" s="26"/>
      <c r="E77" s="6"/>
      <c r="F77" s="27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6.5" customHeight="1">
      <c r="A78" s="6"/>
      <c r="B78" s="24"/>
      <c r="C78" s="30"/>
      <c r="D78" s="26"/>
      <c r="E78" s="6"/>
      <c r="F78" s="31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6.5" customHeight="1">
      <c r="A79" s="6"/>
      <c r="B79" s="24"/>
      <c r="C79" s="25"/>
      <c r="D79" s="26"/>
      <c r="E79" s="6"/>
      <c r="F79" s="28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6.5" customHeight="1">
      <c r="A80" s="6"/>
      <c r="B80" s="24"/>
      <c r="C80" s="25"/>
      <c r="D80" s="26"/>
      <c r="E80" s="6"/>
      <c r="F80" s="28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6.5" customHeight="1">
      <c r="A81" s="6"/>
      <c r="B81" s="32"/>
      <c r="C81" s="33"/>
      <c r="D81" s="26"/>
      <c r="E81" s="6"/>
      <c r="F81" s="28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6.5" customHeight="1">
      <c r="A82" s="6"/>
      <c r="B82" s="32"/>
      <c r="C82" s="33"/>
      <c r="D82" s="26"/>
      <c r="E82" s="6"/>
      <c r="F82" s="28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6.5" customHeight="1">
      <c r="A83" s="6"/>
      <c r="B83" s="32"/>
      <c r="C83" s="33"/>
      <c r="D83" s="26"/>
      <c r="E83" s="6"/>
      <c r="F83" s="28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6.5" customHeight="1">
      <c r="A84" s="6"/>
      <c r="B84" s="32"/>
      <c r="C84" s="33"/>
      <c r="D84" s="26"/>
      <c r="E84" s="6"/>
      <c r="F84" s="28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6.5" customHeight="1">
      <c r="A85" s="6"/>
      <c r="B85" s="32"/>
      <c r="C85" s="33"/>
      <c r="D85" s="26"/>
      <c r="E85" s="6"/>
      <c r="F85" s="28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6.5" customHeight="1">
      <c r="A86" s="6"/>
      <c r="B86" s="32"/>
      <c r="C86" s="33"/>
      <c r="D86" s="26"/>
      <c r="E86" s="6"/>
      <c r="F86" s="28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6.5" customHeight="1">
      <c r="A87" s="6"/>
      <c r="B87" s="32"/>
      <c r="C87" s="33"/>
      <c r="D87" s="26"/>
      <c r="E87" s="6"/>
      <c r="F87" s="28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6.5" customHeight="1">
      <c r="A88" s="6"/>
      <c r="B88" s="32"/>
      <c r="C88" s="33"/>
      <c r="D88" s="26"/>
      <c r="E88" s="6"/>
      <c r="F88" s="28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6.5" customHeight="1">
      <c r="A89" s="6"/>
      <c r="B89" s="32"/>
      <c r="C89" s="33"/>
      <c r="D89" s="26"/>
      <c r="E89" s="6"/>
      <c r="F89" s="28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6.5" customHeight="1">
      <c r="A90" s="6"/>
      <c r="B90" s="32"/>
      <c r="C90" s="33"/>
      <c r="D90" s="26"/>
      <c r="E90" s="6"/>
      <c r="F90" s="28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6.5" customHeight="1">
      <c r="A91" s="6"/>
      <c r="B91" s="32"/>
      <c r="C91" s="33"/>
      <c r="D91" s="26"/>
      <c r="E91" s="6"/>
      <c r="F91" s="28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6.5" customHeight="1">
      <c r="A92" s="6"/>
      <c r="B92" s="32"/>
      <c r="C92" s="33"/>
      <c r="D92" s="26"/>
      <c r="E92" s="6"/>
      <c r="F92" s="28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6.5" customHeight="1">
      <c r="A93" s="6"/>
      <c r="B93" s="32"/>
      <c r="C93" s="33"/>
      <c r="D93" s="26"/>
      <c r="E93" s="6"/>
      <c r="F93" s="28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6.5" customHeight="1">
      <c r="A94" s="6"/>
      <c r="B94" s="32"/>
      <c r="C94" s="33"/>
      <c r="D94" s="26"/>
      <c r="E94" s="6"/>
      <c r="F94" s="28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6.5" customHeight="1">
      <c r="A95" s="6"/>
      <c r="B95" s="32"/>
      <c r="C95" s="33"/>
      <c r="D95" s="26"/>
      <c r="E95" s="6"/>
      <c r="F95" s="28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6.5" customHeight="1">
      <c r="A96" s="6"/>
      <c r="B96" s="32"/>
      <c r="C96" s="33"/>
      <c r="D96" s="26"/>
      <c r="E96" s="6"/>
      <c r="F96" s="28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6.5" customHeight="1">
      <c r="A97" s="6"/>
      <c r="B97" s="32"/>
      <c r="C97" s="33"/>
      <c r="D97" s="26"/>
      <c r="E97" s="2"/>
      <c r="F97" s="28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6.5" customHeight="1">
      <c r="A98" s="6"/>
      <c r="B98" s="32"/>
      <c r="C98" s="33"/>
      <c r="D98" s="26"/>
      <c r="E98" s="2"/>
      <c r="F98" s="28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6.5" customHeight="1">
      <c r="A99" s="6"/>
      <c r="B99" s="32"/>
      <c r="C99" s="33"/>
      <c r="D99" s="26"/>
      <c r="E99" s="6"/>
      <c r="F99" s="2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6"/>
      <c r="B100" s="32"/>
      <c r="C100" s="33"/>
      <c r="D100" s="26"/>
      <c r="E100" s="6"/>
      <c r="F100" s="2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6"/>
      <c r="B101" s="32"/>
      <c r="C101" s="33"/>
      <c r="D101" s="26"/>
      <c r="E101" s="6"/>
      <c r="F101" s="2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6"/>
      <c r="B102" s="32"/>
      <c r="C102" s="33"/>
      <c r="D102" s="26"/>
      <c r="E102" s="6"/>
      <c r="F102" s="28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6"/>
      <c r="B103" s="32"/>
      <c r="C103" s="33"/>
      <c r="D103" s="26"/>
      <c r="E103" s="6"/>
      <c r="F103" s="28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6"/>
      <c r="B104" s="32"/>
      <c r="C104" s="33"/>
      <c r="D104" s="26"/>
      <c r="E104" s="6"/>
      <c r="F104" s="28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6"/>
      <c r="B105" s="32"/>
      <c r="C105" s="33"/>
      <c r="D105" s="26"/>
      <c r="E105" s="6"/>
      <c r="F105" s="28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6"/>
      <c r="B106" s="32"/>
      <c r="C106" s="33"/>
      <c r="D106" s="26"/>
      <c r="E106" s="6"/>
      <c r="F106" s="2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6"/>
      <c r="B107" s="32"/>
      <c r="C107" s="33"/>
      <c r="D107" s="26"/>
      <c r="E107" s="6"/>
      <c r="F107" s="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6"/>
      <c r="B108" s="32"/>
      <c r="C108" s="33"/>
      <c r="D108" s="26"/>
      <c r="E108" s="6"/>
      <c r="F108" s="2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6"/>
      <c r="B109" s="32"/>
      <c r="C109" s="33"/>
      <c r="D109" s="26"/>
      <c r="E109" s="6"/>
      <c r="F109" s="2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6"/>
      <c r="B110" s="32"/>
      <c r="C110" s="33"/>
      <c r="D110" s="26"/>
      <c r="E110" s="6"/>
      <c r="F110" s="2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6"/>
      <c r="B111" s="32"/>
      <c r="C111" s="33"/>
      <c r="D111" s="26"/>
      <c r="E111" s="6"/>
      <c r="F111" s="2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6"/>
      <c r="B112" s="32"/>
      <c r="C112" s="33"/>
      <c r="D112" s="26"/>
      <c r="E112" s="6"/>
      <c r="F112" s="2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6"/>
      <c r="B113" s="32"/>
      <c r="C113" s="33"/>
      <c r="D113" s="26"/>
      <c r="E113" s="6"/>
      <c r="F113" s="2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6"/>
      <c r="B114" s="32"/>
      <c r="C114" s="33"/>
      <c r="D114" s="26"/>
      <c r="E114" s="6"/>
      <c r="F114" s="28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6"/>
      <c r="B115" s="32"/>
      <c r="C115" s="33"/>
      <c r="D115" s="26"/>
      <c r="E115" s="6"/>
      <c r="F115" s="28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6"/>
      <c r="B116" s="32"/>
      <c r="C116" s="33"/>
      <c r="D116" s="26"/>
      <c r="E116" s="6"/>
      <c r="F116" s="28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6"/>
      <c r="B117" s="32"/>
      <c r="C117" s="33"/>
      <c r="D117" s="26"/>
      <c r="E117" s="6"/>
      <c r="F117" s="28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6"/>
      <c r="B118" s="32"/>
      <c r="C118" s="33"/>
      <c r="D118" s="26"/>
      <c r="E118" s="6"/>
      <c r="F118" s="28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6"/>
      <c r="B119" s="32"/>
      <c r="C119" s="33"/>
      <c r="D119" s="26"/>
      <c r="E119" s="6"/>
      <c r="F119" s="28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6"/>
      <c r="B120" s="32"/>
      <c r="C120" s="33"/>
      <c r="D120" s="26"/>
      <c r="E120" s="6"/>
      <c r="F120" s="28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6"/>
      <c r="B121" s="32"/>
      <c r="C121" s="33"/>
      <c r="D121" s="26"/>
      <c r="E121" s="6"/>
      <c r="F121" s="28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6"/>
      <c r="B122" s="32"/>
      <c r="C122" s="33"/>
      <c r="D122" s="26"/>
      <c r="E122" s="6"/>
      <c r="F122" s="28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6"/>
      <c r="B123" s="32"/>
      <c r="C123" s="33"/>
      <c r="D123" s="26"/>
      <c r="E123" s="6"/>
      <c r="F123" s="2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6"/>
      <c r="B124" s="32"/>
      <c r="C124" s="33"/>
      <c r="D124" s="26"/>
      <c r="E124" s="6"/>
      <c r="F124" s="2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6"/>
      <c r="B125" s="32"/>
      <c r="C125" s="33"/>
      <c r="D125" s="26"/>
      <c r="E125" s="6"/>
      <c r="F125" s="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6"/>
      <c r="B126" s="32"/>
      <c r="C126" s="33"/>
      <c r="D126" s="26"/>
      <c r="E126" s="6"/>
      <c r="F126" s="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6"/>
      <c r="B127" s="32"/>
      <c r="C127" s="33"/>
      <c r="D127" s="26"/>
      <c r="E127" s="6"/>
      <c r="F127" s="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6"/>
      <c r="B128" s="32"/>
      <c r="C128" s="33"/>
      <c r="D128" s="26"/>
      <c r="E128" s="6"/>
      <c r="F128" s="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14"/>
      <c r="C129" s="13"/>
      <c r="D129" s="13"/>
      <c r="E129" s="6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14"/>
      <c r="C130" s="13"/>
      <c r="D130" s="13"/>
      <c r="E130" s="6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14"/>
      <c r="C131" s="13"/>
      <c r="D131" s="13"/>
      <c r="E131" s="6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14"/>
      <c r="C132" s="13"/>
      <c r="D132" s="13"/>
      <c r="E132" s="6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14"/>
      <c r="C133" s="13"/>
      <c r="D133" s="13"/>
      <c r="E133" s="6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14"/>
      <c r="C134" s="13"/>
      <c r="D134" s="13"/>
      <c r="E134" s="6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14"/>
      <c r="C135" s="13"/>
      <c r="D135" s="13"/>
      <c r="E135" s="6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14"/>
      <c r="C136" s="13"/>
      <c r="D136" s="13"/>
      <c r="E136" s="6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14"/>
      <c r="C137" s="13"/>
      <c r="D137" s="13"/>
      <c r="E137" s="6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14"/>
      <c r="C138" s="13"/>
      <c r="D138" s="13"/>
      <c r="E138" s="6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14"/>
      <c r="C139" s="13"/>
      <c r="D139" s="13"/>
      <c r="E139" s="6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14"/>
      <c r="C140" s="13"/>
      <c r="D140" s="13"/>
      <c r="E140" s="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14"/>
      <c r="C141" s="13"/>
      <c r="D141" s="13"/>
      <c r="E141" s="6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14"/>
      <c r="C142" s="13"/>
      <c r="D142" s="13"/>
      <c r="E142" s="6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14"/>
      <c r="C143" s="13"/>
      <c r="D143" s="13"/>
      <c r="E143" s="6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14"/>
      <c r="C144" s="13"/>
      <c r="D144" s="13"/>
      <c r="E144" s="6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14"/>
      <c r="C145" s="13"/>
      <c r="D145" s="13"/>
      <c r="E145" s="6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14"/>
      <c r="C146" s="13"/>
      <c r="D146" s="13"/>
      <c r="E146" s="6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14"/>
      <c r="C147" s="13"/>
      <c r="D147" s="13"/>
      <c r="E147" s="6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14"/>
      <c r="C148" s="13"/>
      <c r="D148" s="13"/>
      <c r="E148" s="6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14"/>
      <c r="C149" s="13"/>
      <c r="D149" s="13"/>
      <c r="E149" s="6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14"/>
      <c r="C150" s="13"/>
      <c r="D150" s="13"/>
      <c r="E150" s="6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14"/>
      <c r="C151" s="13"/>
      <c r="D151" s="13"/>
      <c r="E151" s="6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14"/>
      <c r="C152" s="13"/>
      <c r="D152" s="13"/>
      <c r="E152" s="6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14"/>
      <c r="C153" s="13"/>
      <c r="D153" s="13"/>
      <c r="E153" s="6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14"/>
      <c r="C154" s="13"/>
      <c r="D154" s="13"/>
      <c r="E154" s="6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14"/>
      <c r="C155" s="13"/>
      <c r="D155" s="13"/>
      <c r="E155" s="6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14"/>
      <c r="C156" s="13"/>
      <c r="D156" s="13"/>
      <c r="E156" s="6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14"/>
      <c r="C157" s="13"/>
      <c r="D157" s="13"/>
      <c r="E157" s="6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14"/>
      <c r="C158" s="13"/>
      <c r="D158" s="13"/>
      <c r="E158" s="6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14"/>
      <c r="C159" s="13"/>
      <c r="D159" s="13"/>
      <c r="E159" s="6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14"/>
      <c r="C160" s="13"/>
      <c r="D160" s="13"/>
      <c r="E160" s="6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14"/>
      <c r="C161" s="13"/>
      <c r="D161" s="13"/>
      <c r="E161" s="6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14"/>
      <c r="C162" s="13"/>
      <c r="D162" s="13"/>
      <c r="E162" s="6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14"/>
      <c r="C163" s="13"/>
      <c r="D163" s="13"/>
      <c r="E163" s="6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14"/>
      <c r="C164" s="13"/>
      <c r="D164" s="13"/>
      <c r="E164" s="6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14"/>
      <c r="C165" s="13"/>
      <c r="D165" s="13"/>
      <c r="E165" s="6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14"/>
      <c r="C166" s="13"/>
      <c r="D166" s="13"/>
      <c r="E166" s="6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14"/>
      <c r="C167" s="13"/>
      <c r="D167" s="13"/>
      <c r="E167" s="6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14"/>
      <c r="C168" s="13"/>
      <c r="D168" s="13"/>
      <c r="E168" s="6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14"/>
      <c r="C169" s="13"/>
      <c r="D169" s="13"/>
      <c r="E169" s="6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14"/>
      <c r="C170" s="13"/>
      <c r="D170" s="13"/>
      <c r="E170" s="6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14"/>
      <c r="C171" s="13"/>
      <c r="D171" s="13"/>
      <c r="E171" s="6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14"/>
      <c r="C172" s="13"/>
      <c r="D172" s="13"/>
      <c r="E172" s="6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14"/>
      <c r="C173" s="13"/>
      <c r="D173" s="13"/>
      <c r="E173" s="6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14"/>
      <c r="C174" s="13"/>
      <c r="D174" s="13"/>
      <c r="E174" s="6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14"/>
      <c r="C175" s="13"/>
      <c r="D175" s="13"/>
      <c r="E175" s="6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14"/>
      <c r="C176" s="13"/>
      <c r="D176" s="13"/>
      <c r="E176" s="6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14"/>
      <c r="C177" s="13"/>
      <c r="D177" s="13"/>
      <c r="E177" s="6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14"/>
      <c r="C178" s="13"/>
      <c r="D178" s="13"/>
      <c r="E178" s="6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14"/>
      <c r="C179" s="13"/>
      <c r="D179" s="13"/>
      <c r="E179" s="6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14"/>
      <c r="C180" s="13"/>
      <c r="D180" s="13"/>
      <c r="E180" s="6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14"/>
      <c r="C181" s="13"/>
      <c r="D181" s="13"/>
      <c r="E181" s="6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14"/>
      <c r="C182" s="13"/>
      <c r="D182" s="13"/>
      <c r="E182" s="6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14"/>
      <c r="C183" s="13"/>
      <c r="D183" s="13"/>
      <c r="E183" s="6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14"/>
      <c r="C184" s="13"/>
      <c r="D184" s="13"/>
      <c r="E184" s="6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14"/>
      <c r="C185" s="13"/>
      <c r="D185" s="13"/>
      <c r="E185" s="6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14"/>
      <c r="C186" s="13"/>
      <c r="D186" s="13"/>
      <c r="E186" s="6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14"/>
      <c r="C187" s="13"/>
      <c r="D187" s="13"/>
      <c r="E187" s="6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14"/>
      <c r="C188" s="13"/>
      <c r="D188" s="13"/>
      <c r="E188" s="6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14"/>
      <c r="C189" s="13"/>
      <c r="D189" s="13"/>
      <c r="E189" s="6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14"/>
      <c r="C190" s="13"/>
      <c r="D190" s="13"/>
      <c r="E190" s="6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14"/>
      <c r="C191" s="13"/>
      <c r="D191" s="13"/>
      <c r="E191" s="6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14"/>
      <c r="C192" s="13"/>
      <c r="D192" s="13"/>
      <c r="E192" s="6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14"/>
      <c r="C193" s="13"/>
      <c r="D193" s="13"/>
      <c r="E193" s="6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14"/>
      <c r="C194" s="13"/>
      <c r="D194" s="13"/>
      <c r="E194" s="6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14"/>
      <c r="C195" s="13"/>
      <c r="D195" s="13"/>
      <c r="E195" s="6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14"/>
      <c r="C196" s="13"/>
      <c r="D196" s="13"/>
      <c r="E196" s="6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14"/>
      <c r="C197" s="13"/>
      <c r="D197" s="13"/>
      <c r="E197" s="6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14"/>
      <c r="C198" s="13"/>
      <c r="D198" s="13"/>
      <c r="E198" s="6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14"/>
      <c r="C199" s="13"/>
      <c r="D199" s="13"/>
      <c r="E199" s="6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14"/>
      <c r="C200" s="13"/>
      <c r="D200" s="13"/>
      <c r="E200" s="6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14"/>
      <c r="C201" s="13"/>
      <c r="D201" s="13"/>
      <c r="E201" s="6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14"/>
      <c r="C202" s="13"/>
      <c r="D202" s="13"/>
      <c r="E202" s="6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14"/>
      <c r="C203" s="13"/>
      <c r="D203" s="13"/>
      <c r="E203" s="6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14"/>
      <c r="C204" s="13"/>
      <c r="D204" s="13"/>
      <c r="E204" s="6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14"/>
      <c r="C205" s="13"/>
      <c r="D205" s="13"/>
      <c r="E205" s="6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14"/>
      <c r="C206" s="13"/>
      <c r="D206" s="13"/>
      <c r="E206" s="6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14"/>
      <c r="C207" s="13"/>
      <c r="D207" s="13"/>
      <c r="E207" s="6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14"/>
      <c r="C208" s="13"/>
      <c r="D208" s="13"/>
      <c r="E208" s="6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14"/>
      <c r="C209" s="13"/>
      <c r="D209" s="13"/>
      <c r="E209" s="6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14"/>
      <c r="C210" s="13"/>
      <c r="D210" s="13"/>
      <c r="E210" s="6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14"/>
      <c r="C211" s="13"/>
      <c r="D211" s="13"/>
      <c r="E211" s="6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14"/>
      <c r="C212" s="13"/>
      <c r="D212" s="13"/>
      <c r="E212" s="6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14"/>
      <c r="C213" s="13"/>
      <c r="D213" s="13"/>
      <c r="E213" s="6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14"/>
      <c r="C214" s="13"/>
      <c r="D214" s="13"/>
      <c r="E214" s="6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14"/>
      <c r="C215" s="13"/>
      <c r="D215" s="13"/>
      <c r="E215" s="6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14"/>
      <c r="C216" s="13"/>
      <c r="D216" s="13"/>
      <c r="E216" s="6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14"/>
      <c r="C217" s="13"/>
      <c r="D217" s="13"/>
      <c r="E217" s="6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14"/>
      <c r="C218" s="13"/>
      <c r="D218" s="13"/>
      <c r="E218" s="6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14"/>
      <c r="C219" s="13"/>
      <c r="D219" s="13"/>
      <c r="E219" s="6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14"/>
      <c r="C220" s="13"/>
      <c r="D220" s="13"/>
      <c r="E220" s="6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14"/>
      <c r="C221" s="13"/>
      <c r="D221" s="13"/>
      <c r="E221" s="6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14"/>
      <c r="C222" s="13"/>
      <c r="D222" s="13"/>
      <c r="E222" s="6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14"/>
      <c r="C223" s="13"/>
      <c r="D223" s="13"/>
      <c r="E223" s="6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14"/>
      <c r="C224" s="13"/>
      <c r="D224" s="13"/>
      <c r="E224" s="6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14"/>
      <c r="C225" s="13"/>
      <c r="D225" s="13"/>
      <c r="E225" s="6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14"/>
      <c r="C226" s="13"/>
      <c r="D226" s="13"/>
      <c r="E226" s="6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14"/>
      <c r="C227" s="13"/>
      <c r="D227" s="13"/>
      <c r="E227" s="6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14"/>
      <c r="C228" s="13"/>
      <c r="D228" s="13"/>
      <c r="E228" s="6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14"/>
      <c r="C229" s="13"/>
      <c r="D229" s="13"/>
      <c r="E229" s="6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14"/>
      <c r="C230" s="13"/>
      <c r="D230" s="13"/>
      <c r="E230" s="6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14"/>
      <c r="C231" s="13"/>
      <c r="D231" s="13"/>
      <c r="E231" s="6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14"/>
      <c r="C232" s="13"/>
      <c r="D232" s="13"/>
      <c r="E232" s="6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14"/>
      <c r="C233" s="13"/>
      <c r="D233" s="13"/>
      <c r="E233" s="6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14"/>
      <c r="C234" s="13"/>
      <c r="D234" s="13"/>
      <c r="E234" s="6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14"/>
      <c r="C235" s="13"/>
      <c r="D235" s="13"/>
      <c r="E235" s="6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14"/>
      <c r="C236" s="13"/>
      <c r="D236" s="13"/>
      <c r="E236" s="6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14"/>
      <c r="C237" s="13"/>
      <c r="D237" s="13"/>
      <c r="E237" s="6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14"/>
      <c r="C238" s="13"/>
      <c r="D238" s="13"/>
      <c r="E238" s="6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14"/>
      <c r="C239" s="13"/>
      <c r="D239" s="13"/>
      <c r="E239" s="6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14"/>
      <c r="C240" s="13"/>
      <c r="D240" s="13"/>
      <c r="E240" s="6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14"/>
      <c r="C241" s="13"/>
      <c r="D241" s="13"/>
      <c r="E241" s="6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14"/>
      <c r="C242" s="13"/>
      <c r="D242" s="13"/>
      <c r="E242" s="6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14"/>
      <c r="C243" s="13"/>
      <c r="D243" s="13"/>
      <c r="E243" s="6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14"/>
      <c r="C244" s="13"/>
      <c r="D244" s="13"/>
      <c r="E244" s="6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14"/>
      <c r="C245" s="13"/>
      <c r="D245" s="13"/>
      <c r="E245" s="6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14"/>
      <c r="C246" s="13"/>
      <c r="D246" s="13"/>
      <c r="E246" s="6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14"/>
      <c r="C247" s="13"/>
      <c r="D247" s="13"/>
      <c r="E247" s="6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14"/>
      <c r="C248" s="13"/>
      <c r="D248" s="13"/>
      <c r="E248" s="6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14"/>
      <c r="C249" s="13"/>
      <c r="D249" s="13"/>
      <c r="E249" s="6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14"/>
      <c r="C250" s="13"/>
      <c r="D250" s="13"/>
      <c r="E250" s="6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14"/>
      <c r="C251" s="13"/>
      <c r="D251" s="13"/>
      <c r="E251" s="6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14"/>
      <c r="C252" s="13"/>
      <c r="D252" s="13"/>
      <c r="E252" s="6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14"/>
      <c r="C253" s="13"/>
      <c r="D253" s="13"/>
      <c r="E253" s="6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14"/>
      <c r="C254" s="13"/>
      <c r="D254" s="13"/>
      <c r="E254" s="6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14"/>
      <c r="C255" s="13"/>
      <c r="D255" s="13"/>
      <c r="E255" s="6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14"/>
      <c r="C256" s="13"/>
      <c r="D256" s="13"/>
      <c r="E256" s="6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14"/>
      <c r="C257" s="13"/>
      <c r="D257" s="13"/>
      <c r="E257" s="6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14"/>
      <c r="C258" s="13"/>
      <c r="D258" s="13"/>
      <c r="E258" s="6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14"/>
      <c r="C259" s="13"/>
      <c r="D259" s="13"/>
      <c r="E259" s="6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14"/>
      <c r="C260" s="13"/>
      <c r="D260" s="13"/>
      <c r="E260" s="6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14"/>
      <c r="C261" s="13"/>
      <c r="D261" s="13"/>
      <c r="E261" s="6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14"/>
      <c r="C262" s="13"/>
      <c r="D262" s="13"/>
      <c r="E262" s="6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14"/>
      <c r="C263" s="13"/>
      <c r="D263" s="13"/>
      <c r="E263" s="6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14"/>
      <c r="C264" s="13"/>
      <c r="D264" s="13"/>
      <c r="E264" s="6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14"/>
      <c r="C265" s="13"/>
      <c r="D265" s="13"/>
      <c r="E265" s="6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14"/>
      <c r="C266" s="13"/>
      <c r="D266" s="13"/>
      <c r="E266" s="6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14"/>
      <c r="C267" s="13"/>
      <c r="D267" s="13"/>
      <c r="E267" s="6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14"/>
      <c r="C268" s="13"/>
      <c r="D268" s="13"/>
      <c r="E268" s="6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14"/>
      <c r="C269" s="13"/>
      <c r="D269" s="13"/>
      <c r="E269" s="6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14"/>
      <c r="C270" s="13"/>
      <c r="D270" s="13"/>
      <c r="E270" s="6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14"/>
      <c r="C271" s="13"/>
      <c r="D271" s="13"/>
      <c r="E271" s="6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14"/>
      <c r="C272" s="13"/>
      <c r="D272" s="13"/>
      <c r="E272" s="6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14"/>
      <c r="C273" s="13"/>
      <c r="D273" s="13"/>
      <c r="E273" s="6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14"/>
      <c r="C274" s="13"/>
      <c r="D274" s="13"/>
      <c r="E274" s="6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14"/>
      <c r="C275" s="13"/>
      <c r="D275" s="13"/>
      <c r="E275" s="6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14"/>
      <c r="C276" s="13"/>
      <c r="D276" s="13"/>
      <c r="E276" s="6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14"/>
      <c r="C277" s="13"/>
      <c r="D277" s="13"/>
      <c r="E277" s="6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14"/>
      <c r="C278" s="13"/>
      <c r="D278" s="13"/>
      <c r="E278" s="6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14"/>
      <c r="C279" s="13"/>
      <c r="D279" s="13"/>
      <c r="E279" s="6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14"/>
      <c r="C280" s="13"/>
      <c r="D280" s="13"/>
      <c r="E280" s="6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14"/>
      <c r="C281" s="13"/>
      <c r="D281" s="13"/>
      <c r="E281" s="6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14"/>
      <c r="C282" s="13"/>
      <c r="D282" s="13"/>
      <c r="E282" s="6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14"/>
      <c r="C283" s="13"/>
      <c r="D283" s="13"/>
      <c r="E283" s="6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14"/>
      <c r="C284" s="13"/>
      <c r="D284" s="13"/>
      <c r="E284" s="6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14"/>
      <c r="C285" s="13"/>
      <c r="D285" s="13"/>
      <c r="E285" s="6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14"/>
      <c r="C286" s="13"/>
      <c r="D286" s="13"/>
      <c r="E286" s="6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14"/>
      <c r="C287" s="13"/>
      <c r="D287" s="13"/>
      <c r="E287" s="6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14"/>
      <c r="C288" s="13"/>
      <c r="D288" s="13"/>
      <c r="E288" s="6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14"/>
      <c r="C289" s="13"/>
      <c r="D289" s="13"/>
      <c r="E289" s="6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14"/>
      <c r="C290" s="13"/>
      <c r="D290" s="13"/>
      <c r="E290" s="6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14"/>
      <c r="C291" s="13"/>
      <c r="D291" s="13"/>
      <c r="E291" s="6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14"/>
      <c r="C292" s="13"/>
      <c r="D292" s="13"/>
      <c r="E292" s="6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14"/>
      <c r="C293" s="13"/>
      <c r="D293" s="13"/>
      <c r="E293" s="6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14"/>
      <c r="C294" s="13"/>
      <c r="D294" s="13"/>
      <c r="E294" s="6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14"/>
      <c r="C295" s="13"/>
      <c r="D295" s="13"/>
      <c r="E295" s="6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14"/>
      <c r="C296" s="13"/>
      <c r="D296" s="13"/>
      <c r="E296" s="6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14"/>
      <c r="C297" s="13"/>
      <c r="D297" s="13"/>
      <c r="E297" s="6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14"/>
      <c r="C298" s="13"/>
      <c r="D298" s="13"/>
      <c r="E298" s="6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14"/>
      <c r="C299" s="13"/>
      <c r="D299" s="13"/>
      <c r="E299" s="6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14"/>
      <c r="C300" s="13"/>
      <c r="D300" s="13"/>
      <c r="E300" s="6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14"/>
      <c r="C301" s="13"/>
      <c r="D301" s="13"/>
      <c r="E301" s="6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14"/>
      <c r="C302" s="13"/>
      <c r="D302" s="13"/>
      <c r="E302" s="6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14"/>
      <c r="C303" s="13"/>
      <c r="D303" s="13"/>
      <c r="E303" s="6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14"/>
      <c r="C304" s="13"/>
      <c r="D304" s="13"/>
      <c r="E304" s="6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14"/>
      <c r="C305" s="13"/>
      <c r="D305" s="13"/>
      <c r="E305" s="6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14"/>
      <c r="C306" s="13"/>
      <c r="D306" s="13"/>
      <c r="E306" s="6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14"/>
      <c r="C307" s="13"/>
      <c r="D307" s="13"/>
      <c r="E307" s="6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14"/>
      <c r="C308" s="13"/>
      <c r="D308" s="13"/>
      <c r="E308" s="6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14"/>
      <c r="C309" s="13"/>
      <c r="D309" s="13"/>
      <c r="E309" s="6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14"/>
      <c r="C310" s="13"/>
      <c r="D310" s="13"/>
      <c r="E310" s="6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14"/>
      <c r="C311" s="13"/>
      <c r="D311" s="13"/>
      <c r="E311" s="6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14"/>
      <c r="C312" s="13"/>
      <c r="D312" s="13"/>
      <c r="E312" s="6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14"/>
      <c r="C313" s="13"/>
      <c r="D313" s="13"/>
      <c r="E313" s="6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14"/>
      <c r="C314" s="13"/>
      <c r="D314" s="13"/>
      <c r="E314" s="6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14"/>
      <c r="C315" s="13"/>
      <c r="D315" s="13"/>
      <c r="E315" s="6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14"/>
      <c r="C316" s="13"/>
      <c r="D316" s="13"/>
      <c r="E316" s="6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14"/>
      <c r="C317" s="13"/>
      <c r="D317" s="13"/>
      <c r="E317" s="6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14"/>
      <c r="C318" s="13"/>
      <c r="D318" s="13"/>
      <c r="E318" s="6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14"/>
      <c r="C319" s="13"/>
      <c r="D319" s="13"/>
      <c r="E319" s="6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14"/>
      <c r="C320" s="13"/>
      <c r="D320" s="13"/>
      <c r="E320" s="6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14"/>
      <c r="C321" s="13"/>
      <c r="D321" s="13"/>
      <c r="E321" s="6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14"/>
      <c r="C322" s="13"/>
      <c r="D322" s="13"/>
      <c r="E322" s="6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14"/>
      <c r="C323" s="13"/>
      <c r="D323" s="13"/>
      <c r="E323" s="6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14"/>
      <c r="C324" s="13"/>
      <c r="D324" s="13"/>
      <c r="E324" s="6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14"/>
      <c r="C325" s="13"/>
      <c r="D325" s="13"/>
      <c r="E325" s="6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14"/>
      <c r="C326" s="13"/>
      <c r="D326" s="13"/>
      <c r="E326" s="6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14"/>
      <c r="C327" s="13"/>
      <c r="D327" s="13"/>
      <c r="E327" s="6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14"/>
      <c r="C328" s="13"/>
      <c r="D328" s="13"/>
      <c r="E328" s="6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14"/>
      <c r="C329" s="13"/>
      <c r="D329" s="13"/>
      <c r="E329" s="6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14"/>
      <c r="C330" s="13"/>
      <c r="D330" s="13"/>
      <c r="E330" s="6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14"/>
      <c r="C331" s="13"/>
      <c r="D331" s="13"/>
      <c r="E331" s="6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14"/>
      <c r="C332" s="13"/>
      <c r="D332" s="13"/>
      <c r="E332" s="6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14"/>
      <c r="C333" s="13"/>
      <c r="D333" s="13"/>
      <c r="E333" s="6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14"/>
      <c r="C334" s="13"/>
      <c r="D334" s="13"/>
      <c r="E334" s="6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14"/>
      <c r="C335" s="13"/>
      <c r="D335" s="13"/>
      <c r="E335" s="6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14"/>
      <c r="C336" s="13"/>
      <c r="D336" s="13"/>
      <c r="E336" s="6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14"/>
      <c r="C337" s="13"/>
      <c r="D337" s="13"/>
      <c r="E337" s="6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14"/>
      <c r="C338" s="13"/>
      <c r="D338" s="13"/>
      <c r="E338" s="6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14"/>
      <c r="C339" s="13"/>
      <c r="D339" s="13"/>
      <c r="E339" s="6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14"/>
      <c r="C340" s="13"/>
      <c r="D340" s="13"/>
      <c r="E340" s="6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14"/>
      <c r="C341" s="13"/>
      <c r="D341" s="13"/>
      <c r="E341" s="6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14"/>
      <c r="C342" s="13"/>
      <c r="D342" s="13"/>
      <c r="E342" s="6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14"/>
      <c r="C343" s="13"/>
      <c r="D343" s="13"/>
      <c r="E343" s="6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14"/>
      <c r="C344" s="13"/>
      <c r="D344" s="13"/>
      <c r="E344" s="6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14"/>
      <c r="C345" s="13"/>
      <c r="D345" s="13"/>
      <c r="E345" s="6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14"/>
      <c r="C346" s="13"/>
      <c r="D346" s="13"/>
      <c r="E346" s="6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14"/>
      <c r="C347" s="13"/>
      <c r="D347" s="13"/>
      <c r="E347" s="6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14"/>
      <c r="C348" s="13"/>
      <c r="D348" s="13"/>
      <c r="E348" s="6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14"/>
      <c r="C349" s="13"/>
      <c r="D349" s="13"/>
      <c r="E349" s="6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14"/>
      <c r="C350" s="13"/>
      <c r="D350" s="13"/>
      <c r="E350" s="6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14"/>
      <c r="C351" s="13"/>
      <c r="D351" s="13"/>
      <c r="E351" s="6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14"/>
      <c r="C352" s="13"/>
      <c r="D352" s="13"/>
      <c r="E352" s="6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14"/>
      <c r="C353" s="13"/>
      <c r="D353" s="13"/>
      <c r="E353" s="6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14"/>
      <c r="C354" s="13"/>
      <c r="D354" s="13"/>
      <c r="E354" s="6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14"/>
      <c r="C355" s="13"/>
      <c r="D355" s="13"/>
      <c r="E355" s="6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14"/>
      <c r="C356" s="13"/>
      <c r="D356" s="13"/>
      <c r="E356" s="6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14"/>
      <c r="C357" s="13"/>
      <c r="D357" s="13"/>
      <c r="E357" s="6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14"/>
      <c r="C358" s="13"/>
      <c r="D358" s="13"/>
      <c r="E358" s="6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14"/>
      <c r="C359" s="13"/>
      <c r="D359" s="13"/>
      <c r="E359" s="6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14"/>
      <c r="C360" s="13"/>
      <c r="D360" s="13"/>
      <c r="E360" s="6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14"/>
      <c r="C361" s="13"/>
      <c r="D361" s="13"/>
      <c r="E361" s="6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14"/>
      <c r="C362" s="13"/>
      <c r="D362" s="13"/>
      <c r="E362" s="6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14"/>
      <c r="C363" s="13"/>
      <c r="D363" s="13"/>
      <c r="E363" s="6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14"/>
      <c r="C364" s="13"/>
      <c r="D364" s="13"/>
      <c r="E364" s="6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14"/>
      <c r="C365" s="13"/>
      <c r="D365" s="13"/>
      <c r="E365" s="6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14"/>
      <c r="C366" s="13"/>
      <c r="D366" s="13"/>
      <c r="E366" s="6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14"/>
      <c r="C367" s="13"/>
      <c r="D367" s="13"/>
      <c r="E367" s="6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14"/>
      <c r="C368" s="13"/>
      <c r="D368" s="13"/>
      <c r="E368" s="6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14"/>
      <c r="C369" s="13"/>
      <c r="D369" s="13"/>
      <c r="E369" s="6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14"/>
      <c r="C370" s="13"/>
      <c r="D370" s="13"/>
      <c r="E370" s="6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14"/>
      <c r="C371" s="13"/>
      <c r="D371" s="13"/>
      <c r="E371" s="6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14"/>
      <c r="C372" s="13"/>
      <c r="D372" s="13"/>
      <c r="E372" s="6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14"/>
      <c r="C373" s="13"/>
      <c r="D373" s="13"/>
      <c r="E373" s="6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14"/>
      <c r="C374" s="13"/>
      <c r="D374" s="13"/>
      <c r="E374" s="6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14"/>
      <c r="C375" s="13"/>
      <c r="D375" s="13"/>
      <c r="E375" s="6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14"/>
      <c r="C376" s="13"/>
      <c r="D376" s="13"/>
      <c r="E376" s="6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14"/>
      <c r="C377" s="13"/>
      <c r="D377" s="13"/>
      <c r="E377" s="6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14"/>
      <c r="C378" s="13"/>
      <c r="D378" s="13"/>
      <c r="E378" s="6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14"/>
      <c r="C379" s="13"/>
      <c r="D379" s="13"/>
      <c r="E379" s="6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14"/>
      <c r="C380" s="13"/>
      <c r="D380" s="13"/>
      <c r="E380" s="6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14"/>
      <c r="C381" s="13"/>
      <c r="D381" s="13"/>
      <c r="E381" s="6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14"/>
      <c r="C382" s="13"/>
      <c r="D382" s="13"/>
      <c r="E382" s="6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14"/>
      <c r="C383" s="13"/>
      <c r="D383" s="13"/>
      <c r="E383" s="6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14"/>
      <c r="C384" s="13"/>
      <c r="D384" s="13"/>
      <c r="E384" s="6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14"/>
      <c r="C385" s="13"/>
      <c r="D385" s="13"/>
      <c r="E385" s="6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14"/>
      <c r="C386" s="13"/>
      <c r="D386" s="13"/>
      <c r="E386" s="6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14"/>
      <c r="C387" s="13"/>
      <c r="D387" s="13"/>
      <c r="E387" s="6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14"/>
      <c r="C388" s="13"/>
      <c r="D388" s="13"/>
      <c r="E388" s="6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14"/>
      <c r="C389" s="13"/>
      <c r="D389" s="13"/>
      <c r="E389" s="6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14"/>
      <c r="C390" s="13"/>
      <c r="D390" s="13"/>
      <c r="E390" s="6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14"/>
      <c r="C391" s="13"/>
      <c r="D391" s="13"/>
      <c r="E391" s="6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14"/>
      <c r="C392" s="13"/>
      <c r="D392" s="13"/>
      <c r="E392" s="6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14"/>
      <c r="C393" s="13"/>
      <c r="D393" s="13"/>
      <c r="E393" s="6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14"/>
      <c r="C394" s="13"/>
      <c r="D394" s="13"/>
      <c r="E394" s="6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14"/>
      <c r="C395" s="13"/>
      <c r="D395" s="13"/>
      <c r="E395" s="6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14"/>
      <c r="C396" s="13"/>
      <c r="D396" s="13"/>
      <c r="E396" s="6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14"/>
      <c r="C397" s="13"/>
      <c r="D397" s="13"/>
      <c r="E397" s="6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14"/>
      <c r="C398" s="13"/>
      <c r="D398" s="13"/>
      <c r="E398" s="6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14"/>
      <c r="C399" s="13"/>
      <c r="D399" s="13"/>
      <c r="E399" s="6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14"/>
      <c r="C400" s="13"/>
      <c r="D400" s="13"/>
      <c r="E400" s="6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14"/>
      <c r="C401" s="13"/>
      <c r="D401" s="13"/>
      <c r="E401" s="6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14"/>
      <c r="C402" s="13"/>
      <c r="D402" s="13"/>
      <c r="E402" s="6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14"/>
      <c r="C403" s="13"/>
      <c r="D403" s="13"/>
      <c r="E403" s="6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14"/>
      <c r="C404" s="13"/>
      <c r="D404" s="13"/>
      <c r="E404" s="6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14"/>
      <c r="C405" s="13"/>
      <c r="D405" s="13"/>
      <c r="E405" s="6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14"/>
      <c r="C406" s="13"/>
      <c r="D406" s="13"/>
      <c r="E406" s="6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14"/>
      <c r="C407" s="13"/>
      <c r="D407" s="13"/>
      <c r="E407" s="6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14"/>
      <c r="C408" s="13"/>
      <c r="D408" s="13"/>
      <c r="E408" s="6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14"/>
      <c r="C409" s="13"/>
      <c r="D409" s="13"/>
      <c r="E409" s="6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14"/>
      <c r="C410" s="13"/>
      <c r="D410" s="13"/>
      <c r="E410" s="6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14"/>
      <c r="C411" s="13"/>
      <c r="D411" s="13"/>
      <c r="E411" s="6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14"/>
      <c r="C412" s="13"/>
      <c r="D412" s="13"/>
      <c r="E412" s="6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14"/>
      <c r="C413" s="13"/>
      <c r="D413" s="13"/>
      <c r="E413" s="6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14"/>
      <c r="C414" s="13"/>
      <c r="D414" s="13"/>
      <c r="E414" s="6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14"/>
      <c r="C415" s="13"/>
      <c r="D415" s="13"/>
      <c r="E415" s="6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14"/>
      <c r="C416" s="13"/>
      <c r="D416" s="13"/>
      <c r="E416" s="6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14"/>
      <c r="C417" s="13"/>
      <c r="D417" s="13"/>
      <c r="E417" s="6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14"/>
      <c r="C418" s="13"/>
      <c r="D418" s="13"/>
      <c r="E418" s="6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14"/>
      <c r="C419" s="13"/>
      <c r="D419" s="13"/>
      <c r="E419" s="6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14"/>
      <c r="C420" s="13"/>
      <c r="D420" s="13"/>
      <c r="E420" s="6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14"/>
      <c r="C421" s="13"/>
      <c r="D421" s="13"/>
      <c r="E421" s="6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14"/>
      <c r="C422" s="13"/>
      <c r="D422" s="13"/>
      <c r="E422" s="6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14"/>
      <c r="C423" s="13"/>
      <c r="D423" s="13"/>
      <c r="E423" s="6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14"/>
      <c r="C424" s="13"/>
      <c r="D424" s="13"/>
      <c r="E424" s="6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14"/>
      <c r="C425" s="13"/>
      <c r="D425" s="13"/>
      <c r="E425" s="6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14"/>
      <c r="C426" s="13"/>
      <c r="D426" s="13"/>
      <c r="E426" s="6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14"/>
      <c r="C427" s="13"/>
      <c r="D427" s="13"/>
      <c r="E427" s="6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14"/>
      <c r="C428" s="13"/>
      <c r="D428" s="13"/>
      <c r="E428" s="6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14"/>
      <c r="C429" s="13"/>
      <c r="D429" s="13"/>
      <c r="E429" s="6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14"/>
      <c r="C430" s="13"/>
      <c r="D430" s="13"/>
      <c r="E430" s="6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14"/>
      <c r="C431" s="13"/>
      <c r="D431" s="13"/>
      <c r="E431" s="6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14"/>
      <c r="C432" s="13"/>
      <c r="D432" s="13"/>
      <c r="E432" s="6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14"/>
      <c r="C433" s="13"/>
      <c r="D433" s="13"/>
      <c r="E433" s="6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14"/>
      <c r="C434" s="13"/>
      <c r="D434" s="13"/>
      <c r="E434" s="6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14"/>
      <c r="C435" s="13"/>
      <c r="D435" s="13"/>
      <c r="E435" s="6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14"/>
      <c r="C436" s="13"/>
      <c r="D436" s="13"/>
      <c r="E436" s="6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14"/>
      <c r="C437" s="13"/>
      <c r="D437" s="13"/>
      <c r="E437" s="6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14"/>
      <c r="C438" s="13"/>
      <c r="D438" s="13"/>
      <c r="E438" s="6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14"/>
      <c r="C439" s="13"/>
      <c r="D439" s="13"/>
      <c r="E439" s="6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14"/>
      <c r="C440" s="13"/>
      <c r="D440" s="13"/>
      <c r="E440" s="6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14"/>
      <c r="C441" s="13"/>
      <c r="D441" s="13"/>
      <c r="E441" s="6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14"/>
      <c r="C442" s="13"/>
      <c r="D442" s="13"/>
      <c r="E442" s="6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14"/>
      <c r="C443" s="13"/>
      <c r="D443" s="13"/>
      <c r="E443" s="6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14"/>
      <c r="C444" s="13"/>
      <c r="D444" s="13"/>
      <c r="E444" s="6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14"/>
      <c r="C445" s="13"/>
      <c r="D445" s="13"/>
      <c r="E445" s="6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14"/>
      <c r="C446" s="13"/>
      <c r="D446" s="13"/>
      <c r="E446" s="6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14"/>
      <c r="C447" s="13"/>
      <c r="D447" s="13"/>
      <c r="E447" s="6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14"/>
      <c r="C448" s="13"/>
      <c r="D448" s="13"/>
      <c r="E448" s="6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14"/>
      <c r="C449" s="13"/>
      <c r="D449" s="13"/>
      <c r="E449" s="6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14"/>
      <c r="C450" s="13"/>
      <c r="D450" s="13"/>
      <c r="E450" s="6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14"/>
      <c r="C451" s="13"/>
      <c r="D451" s="13"/>
      <c r="E451" s="6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14"/>
      <c r="C452" s="13"/>
      <c r="D452" s="13"/>
      <c r="E452" s="6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14"/>
      <c r="C453" s="13"/>
      <c r="D453" s="13"/>
      <c r="E453" s="6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14"/>
      <c r="C454" s="13"/>
      <c r="D454" s="13"/>
      <c r="E454" s="6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14"/>
      <c r="C455" s="13"/>
      <c r="D455" s="13"/>
      <c r="E455" s="6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14"/>
      <c r="C456" s="13"/>
      <c r="D456" s="13"/>
      <c r="E456" s="6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14"/>
      <c r="C457" s="13"/>
      <c r="D457" s="13"/>
      <c r="E457" s="6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14"/>
      <c r="C458" s="13"/>
      <c r="D458" s="13"/>
      <c r="E458" s="6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14"/>
      <c r="C459" s="13"/>
      <c r="D459" s="13"/>
      <c r="E459" s="6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14"/>
      <c r="C460" s="13"/>
      <c r="D460" s="13"/>
      <c r="E460" s="6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14"/>
      <c r="C461" s="13"/>
      <c r="D461" s="13"/>
      <c r="E461" s="6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14"/>
      <c r="C462" s="13"/>
      <c r="D462" s="13"/>
      <c r="E462" s="6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14"/>
      <c r="C463" s="13"/>
      <c r="D463" s="13"/>
      <c r="E463" s="6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14"/>
      <c r="C464" s="13"/>
      <c r="D464" s="13"/>
      <c r="E464" s="6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14"/>
      <c r="C465" s="13"/>
      <c r="D465" s="13"/>
      <c r="E465" s="6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14"/>
      <c r="C466" s="13"/>
      <c r="D466" s="13"/>
      <c r="E466" s="6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14"/>
      <c r="C467" s="13"/>
      <c r="D467" s="13"/>
      <c r="E467" s="6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14"/>
      <c r="C468" s="13"/>
      <c r="D468" s="13"/>
      <c r="E468" s="6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14"/>
      <c r="C469" s="13"/>
      <c r="D469" s="13"/>
      <c r="E469" s="6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14"/>
      <c r="C470" s="13"/>
      <c r="D470" s="13"/>
      <c r="E470" s="6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14"/>
      <c r="C471" s="13"/>
      <c r="D471" s="13"/>
      <c r="E471" s="6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14"/>
      <c r="C472" s="13"/>
      <c r="D472" s="13"/>
      <c r="E472" s="6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14"/>
      <c r="C473" s="13"/>
      <c r="D473" s="13"/>
      <c r="E473" s="6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14"/>
      <c r="C474" s="13"/>
      <c r="D474" s="13"/>
      <c r="E474" s="6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14"/>
      <c r="C475" s="13"/>
      <c r="D475" s="13"/>
      <c r="E475" s="6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14"/>
      <c r="C476" s="13"/>
      <c r="D476" s="13"/>
      <c r="E476" s="6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14"/>
      <c r="C477" s="13"/>
      <c r="D477" s="13"/>
      <c r="E477" s="6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14"/>
      <c r="C478" s="13"/>
      <c r="D478" s="13"/>
      <c r="E478" s="6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14"/>
      <c r="C479" s="13"/>
      <c r="D479" s="13"/>
      <c r="E479" s="6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14"/>
      <c r="C480" s="13"/>
      <c r="D480" s="13"/>
      <c r="E480" s="6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14"/>
      <c r="C481" s="13"/>
      <c r="D481" s="13"/>
      <c r="E481" s="6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14"/>
      <c r="C482" s="13"/>
      <c r="D482" s="13"/>
      <c r="E482" s="6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14"/>
      <c r="C483" s="13"/>
      <c r="D483" s="13"/>
      <c r="E483" s="6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14"/>
      <c r="C484" s="13"/>
      <c r="D484" s="13"/>
      <c r="E484" s="6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14"/>
      <c r="C485" s="13"/>
      <c r="D485" s="13"/>
      <c r="E485" s="6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14"/>
      <c r="C486" s="13"/>
      <c r="D486" s="13"/>
      <c r="E486" s="6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14"/>
      <c r="C487" s="13"/>
      <c r="D487" s="13"/>
      <c r="E487" s="6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14"/>
      <c r="C488" s="13"/>
      <c r="D488" s="13"/>
      <c r="E488" s="6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14"/>
      <c r="C489" s="13"/>
      <c r="D489" s="13"/>
      <c r="E489" s="6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14"/>
      <c r="C490" s="13"/>
      <c r="D490" s="13"/>
      <c r="E490" s="6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14"/>
      <c r="C491" s="13"/>
      <c r="D491" s="13"/>
      <c r="E491" s="6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14"/>
      <c r="C492" s="13"/>
      <c r="D492" s="13"/>
      <c r="E492" s="6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14"/>
      <c r="C493" s="13"/>
      <c r="D493" s="13"/>
      <c r="E493" s="6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14"/>
      <c r="C494" s="13"/>
      <c r="D494" s="13"/>
      <c r="E494" s="6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14"/>
      <c r="C495" s="13"/>
      <c r="D495" s="13"/>
      <c r="E495" s="6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14"/>
      <c r="C496" s="13"/>
      <c r="D496" s="13"/>
      <c r="E496" s="6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14"/>
      <c r="C497" s="13"/>
      <c r="D497" s="13"/>
      <c r="E497" s="6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14"/>
      <c r="C498" s="13"/>
      <c r="D498" s="13"/>
      <c r="E498" s="6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14"/>
      <c r="C499" s="13"/>
      <c r="D499" s="13"/>
      <c r="E499" s="6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14"/>
      <c r="C500" s="13"/>
      <c r="D500" s="13"/>
      <c r="E500" s="6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14"/>
      <c r="C501" s="13"/>
      <c r="D501" s="13"/>
      <c r="E501" s="6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14"/>
      <c r="C502" s="13"/>
      <c r="D502" s="13"/>
      <c r="E502" s="6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14"/>
      <c r="C503" s="13"/>
      <c r="D503" s="13"/>
      <c r="E503" s="6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14"/>
      <c r="C504" s="13"/>
      <c r="D504" s="13"/>
      <c r="E504" s="6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14"/>
      <c r="C505" s="13"/>
      <c r="D505" s="13"/>
      <c r="E505" s="6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14"/>
      <c r="C506" s="13"/>
      <c r="D506" s="13"/>
      <c r="E506" s="6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14"/>
      <c r="C507" s="13"/>
      <c r="D507" s="13"/>
      <c r="E507" s="6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14"/>
      <c r="C508" s="13"/>
      <c r="D508" s="13"/>
      <c r="E508" s="6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14"/>
      <c r="C509" s="13"/>
      <c r="D509" s="13"/>
      <c r="E509" s="6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14"/>
      <c r="C510" s="13"/>
      <c r="D510" s="13"/>
      <c r="E510" s="6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14"/>
      <c r="C511" s="13"/>
      <c r="D511" s="13"/>
      <c r="E511" s="6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14"/>
      <c r="C512" s="13"/>
      <c r="D512" s="13"/>
      <c r="E512" s="6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14"/>
      <c r="C513" s="13"/>
      <c r="D513" s="13"/>
      <c r="E513" s="6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14"/>
      <c r="C514" s="13"/>
      <c r="D514" s="13"/>
      <c r="E514" s="6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14"/>
      <c r="C515" s="13"/>
      <c r="D515" s="13"/>
      <c r="E515" s="6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14"/>
      <c r="C516" s="13"/>
      <c r="D516" s="13"/>
      <c r="E516" s="6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14"/>
      <c r="C517" s="13"/>
      <c r="D517" s="13"/>
      <c r="E517" s="6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14"/>
      <c r="C518" s="13"/>
      <c r="D518" s="13"/>
      <c r="E518" s="6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14"/>
      <c r="C519" s="13"/>
      <c r="D519" s="13"/>
      <c r="E519" s="6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14"/>
      <c r="C520" s="13"/>
      <c r="D520" s="13"/>
      <c r="E520" s="6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14"/>
      <c r="C521" s="13"/>
      <c r="D521" s="13"/>
      <c r="E521" s="6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14"/>
      <c r="C522" s="13"/>
      <c r="D522" s="13"/>
      <c r="E522" s="6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14"/>
      <c r="C523" s="13"/>
      <c r="D523" s="13"/>
      <c r="E523" s="6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14"/>
      <c r="C524" s="13"/>
      <c r="D524" s="13"/>
      <c r="E524" s="6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14"/>
      <c r="C525" s="13"/>
      <c r="D525" s="13"/>
      <c r="E525" s="6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14"/>
      <c r="C526" s="13"/>
      <c r="D526" s="13"/>
      <c r="E526" s="6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14"/>
      <c r="C527" s="13"/>
      <c r="D527" s="13"/>
      <c r="E527" s="6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14"/>
      <c r="C528" s="13"/>
      <c r="D528" s="13"/>
      <c r="E528" s="6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14"/>
      <c r="C529" s="13"/>
      <c r="D529" s="13"/>
      <c r="E529" s="6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14"/>
      <c r="C530" s="13"/>
      <c r="D530" s="13"/>
      <c r="E530" s="6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14"/>
      <c r="C531" s="13"/>
      <c r="D531" s="13"/>
      <c r="E531" s="6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14"/>
      <c r="C532" s="13"/>
      <c r="D532" s="13"/>
      <c r="E532" s="6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14"/>
      <c r="C533" s="13"/>
      <c r="D533" s="13"/>
      <c r="E533" s="6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14"/>
      <c r="C534" s="13"/>
      <c r="D534" s="13"/>
      <c r="E534" s="6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14"/>
      <c r="C535" s="13"/>
      <c r="D535" s="13"/>
      <c r="E535" s="6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14"/>
      <c r="C536" s="13"/>
      <c r="D536" s="13"/>
      <c r="E536" s="6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14"/>
      <c r="C537" s="13"/>
      <c r="D537" s="13"/>
      <c r="E537" s="6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14"/>
      <c r="C538" s="13"/>
      <c r="D538" s="13"/>
      <c r="E538" s="6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14"/>
      <c r="C539" s="13"/>
      <c r="D539" s="13"/>
      <c r="E539" s="6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14"/>
      <c r="C540" s="13"/>
      <c r="D540" s="13"/>
      <c r="E540" s="6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14"/>
      <c r="C541" s="13"/>
      <c r="D541" s="13"/>
      <c r="E541" s="6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14"/>
      <c r="C542" s="13"/>
      <c r="D542" s="13"/>
      <c r="E542" s="6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14"/>
      <c r="C543" s="13"/>
      <c r="D543" s="13"/>
      <c r="E543" s="6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14"/>
      <c r="C544" s="13"/>
      <c r="D544" s="13"/>
      <c r="E544" s="6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14"/>
      <c r="C545" s="13"/>
      <c r="D545" s="13"/>
      <c r="E545" s="6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14"/>
      <c r="C546" s="13"/>
      <c r="D546" s="13"/>
      <c r="E546" s="6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14"/>
      <c r="C547" s="13"/>
      <c r="D547" s="13"/>
      <c r="E547" s="6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14"/>
      <c r="C548" s="13"/>
      <c r="D548" s="13"/>
      <c r="E548" s="6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14"/>
      <c r="C549" s="13"/>
      <c r="D549" s="13"/>
      <c r="E549" s="6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14"/>
      <c r="C550" s="13"/>
      <c r="D550" s="13"/>
      <c r="E550" s="6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14"/>
      <c r="C551" s="13"/>
      <c r="D551" s="13"/>
      <c r="E551" s="6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14"/>
      <c r="C552" s="13"/>
      <c r="D552" s="13"/>
      <c r="E552" s="6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14"/>
      <c r="C553" s="13"/>
      <c r="D553" s="13"/>
      <c r="E553" s="6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14"/>
      <c r="C554" s="13"/>
      <c r="D554" s="13"/>
      <c r="E554" s="6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14"/>
      <c r="C555" s="13"/>
      <c r="D555" s="13"/>
      <c r="E555" s="6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14"/>
      <c r="C556" s="13"/>
      <c r="D556" s="13"/>
      <c r="E556" s="6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14"/>
      <c r="C557" s="13"/>
      <c r="D557" s="13"/>
      <c r="E557" s="6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14"/>
      <c r="C558" s="13"/>
      <c r="D558" s="13"/>
      <c r="E558" s="6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14"/>
      <c r="C559" s="13"/>
      <c r="D559" s="13"/>
      <c r="E559" s="6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14"/>
      <c r="C560" s="13"/>
      <c r="D560" s="13"/>
      <c r="E560" s="6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14"/>
      <c r="C561" s="13"/>
      <c r="D561" s="13"/>
      <c r="E561" s="6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14"/>
      <c r="C562" s="13"/>
      <c r="D562" s="13"/>
      <c r="E562" s="6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14"/>
      <c r="C563" s="13"/>
      <c r="D563" s="13"/>
      <c r="E563" s="6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14"/>
      <c r="C564" s="13"/>
      <c r="D564" s="13"/>
      <c r="E564" s="6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14"/>
      <c r="C565" s="13"/>
      <c r="D565" s="13"/>
      <c r="E565" s="6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14"/>
      <c r="C566" s="13"/>
      <c r="D566" s="13"/>
      <c r="E566" s="6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14"/>
      <c r="C567" s="13"/>
      <c r="D567" s="13"/>
      <c r="E567" s="6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14"/>
      <c r="C568" s="13"/>
      <c r="D568" s="13"/>
      <c r="E568" s="6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14"/>
      <c r="C569" s="13"/>
      <c r="D569" s="13"/>
      <c r="E569" s="6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14"/>
      <c r="C570" s="13"/>
      <c r="D570" s="13"/>
      <c r="E570" s="6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14"/>
      <c r="C571" s="13"/>
      <c r="D571" s="13"/>
      <c r="E571" s="6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14"/>
      <c r="C572" s="13"/>
      <c r="D572" s="13"/>
      <c r="E572" s="6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14"/>
      <c r="C573" s="13"/>
      <c r="D573" s="13"/>
      <c r="E573" s="6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14"/>
      <c r="C574" s="13"/>
      <c r="D574" s="13"/>
      <c r="E574" s="6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14"/>
      <c r="C575" s="13"/>
      <c r="D575" s="13"/>
      <c r="E575" s="6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14"/>
      <c r="C576" s="13"/>
      <c r="D576" s="13"/>
      <c r="E576" s="6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14"/>
      <c r="C577" s="13"/>
      <c r="D577" s="13"/>
      <c r="E577" s="6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14"/>
      <c r="C578" s="13"/>
      <c r="D578" s="13"/>
      <c r="E578" s="6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14"/>
      <c r="C579" s="13"/>
      <c r="D579" s="13"/>
      <c r="E579" s="6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14"/>
      <c r="C580" s="13"/>
      <c r="D580" s="13"/>
      <c r="E580" s="6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14"/>
      <c r="C581" s="13"/>
      <c r="D581" s="13"/>
      <c r="E581" s="6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14"/>
      <c r="C582" s="13"/>
      <c r="D582" s="13"/>
      <c r="E582" s="6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14"/>
      <c r="C583" s="13"/>
      <c r="D583" s="13"/>
      <c r="E583" s="6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14"/>
      <c r="C584" s="13"/>
      <c r="D584" s="13"/>
      <c r="E584" s="6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14"/>
      <c r="C585" s="13"/>
      <c r="D585" s="13"/>
      <c r="E585" s="6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14"/>
      <c r="C586" s="13"/>
      <c r="D586" s="13"/>
      <c r="E586" s="6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14"/>
      <c r="C587" s="13"/>
      <c r="D587" s="13"/>
      <c r="E587" s="6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14"/>
      <c r="C588" s="13"/>
      <c r="D588" s="13"/>
      <c r="E588" s="6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14"/>
      <c r="C589" s="13"/>
      <c r="D589" s="13"/>
      <c r="E589" s="6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14"/>
      <c r="C590" s="13"/>
      <c r="D590" s="13"/>
      <c r="E590" s="6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14"/>
      <c r="C591" s="13"/>
      <c r="D591" s="13"/>
      <c r="E591" s="6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14"/>
      <c r="C592" s="13"/>
      <c r="D592" s="13"/>
      <c r="E592" s="6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14"/>
      <c r="C593" s="13"/>
      <c r="D593" s="13"/>
      <c r="E593" s="6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14"/>
      <c r="C594" s="13"/>
      <c r="D594" s="13"/>
      <c r="E594" s="6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14"/>
      <c r="C595" s="13"/>
      <c r="D595" s="13"/>
      <c r="E595" s="6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14"/>
      <c r="C596" s="13"/>
      <c r="D596" s="13"/>
      <c r="E596" s="6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14"/>
      <c r="C597" s="13"/>
      <c r="D597" s="13"/>
      <c r="E597" s="6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14"/>
      <c r="C598" s="13"/>
      <c r="D598" s="13"/>
      <c r="E598" s="6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14"/>
      <c r="C599" s="13"/>
      <c r="D599" s="13"/>
      <c r="E599" s="6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14"/>
      <c r="C600" s="13"/>
      <c r="D600" s="13"/>
      <c r="E600" s="6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14"/>
      <c r="C601" s="13"/>
      <c r="D601" s="13"/>
      <c r="E601" s="6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14"/>
      <c r="C602" s="13"/>
      <c r="D602" s="13"/>
      <c r="E602" s="6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14"/>
      <c r="C603" s="13"/>
      <c r="D603" s="13"/>
      <c r="E603" s="6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14"/>
      <c r="C604" s="13"/>
      <c r="D604" s="13"/>
      <c r="E604" s="6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14"/>
      <c r="C605" s="13"/>
      <c r="D605" s="13"/>
      <c r="E605" s="6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14"/>
      <c r="C606" s="13"/>
      <c r="D606" s="13"/>
      <c r="E606" s="6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14"/>
      <c r="C607" s="13"/>
      <c r="D607" s="13"/>
      <c r="E607" s="6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14"/>
      <c r="C608" s="13"/>
      <c r="D608" s="13"/>
      <c r="E608" s="6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14"/>
      <c r="C609" s="13"/>
      <c r="D609" s="13"/>
      <c r="E609" s="6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14"/>
      <c r="C610" s="13"/>
      <c r="D610" s="13"/>
      <c r="E610" s="6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14"/>
      <c r="C611" s="13"/>
      <c r="D611" s="13"/>
      <c r="E611" s="6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14"/>
      <c r="C612" s="13"/>
      <c r="D612" s="13"/>
      <c r="E612" s="6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14"/>
      <c r="C613" s="13"/>
      <c r="D613" s="13"/>
      <c r="E613" s="6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14"/>
      <c r="C614" s="13"/>
      <c r="D614" s="13"/>
      <c r="E614" s="6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14"/>
      <c r="C615" s="13"/>
      <c r="D615" s="13"/>
      <c r="E615" s="6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14"/>
      <c r="C616" s="13"/>
      <c r="D616" s="13"/>
      <c r="E616" s="6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14"/>
      <c r="C617" s="13"/>
      <c r="D617" s="13"/>
      <c r="E617" s="6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14"/>
      <c r="C618" s="13"/>
      <c r="D618" s="13"/>
      <c r="E618" s="6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14"/>
      <c r="C619" s="13"/>
      <c r="D619" s="13"/>
      <c r="E619" s="6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14"/>
      <c r="C620" s="13"/>
      <c r="D620" s="13"/>
      <c r="E620" s="6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14"/>
      <c r="C621" s="13"/>
      <c r="D621" s="13"/>
      <c r="E621" s="6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14"/>
      <c r="C622" s="13"/>
      <c r="D622" s="13"/>
      <c r="E622" s="6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14"/>
      <c r="C623" s="13"/>
      <c r="D623" s="13"/>
      <c r="E623" s="6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14"/>
      <c r="C624" s="13"/>
      <c r="D624" s="13"/>
      <c r="E624" s="6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14"/>
      <c r="C625" s="13"/>
      <c r="D625" s="13"/>
      <c r="E625" s="6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14"/>
      <c r="C626" s="13"/>
      <c r="D626" s="13"/>
      <c r="E626" s="6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14"/>
      <c r="C627" s="13"/>
      <c r="D627" s="13"/>
      <c r="E627" s="6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14"/>
      <c r="C628" s="13"/>
      <c r="D628" s="13"/>
      <c r="E628" s="6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14"/>
      <c r="C629" s="13"/>
      <c r="D629" s="13"/>
      <c r="E629" s="6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14"/>
      <c r="C630" s="13"/>
      <c r="D630" s="13"/>
      <c r="E630" s="6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14"/>
      <c r="C631" s="13"/>
      <c r="D631" s="13"/>
      <c r="E631" s="6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14"/>
      <c r="C632" s="13"/>
      <c r="D632" s="13"/>
      <c r="E632" s="6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14"/>
      <c r="C633" s="13"/>
      <c r="D633" s="13"/>
      <c r="E633" s="6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14"/>
      <c r="C634" s="13"/>
      <c r="D634" s="13"/>
      <c r="E634" s="6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14"/>
      <c r="C635" s="13"/>
      <c r="D635" s="13"/>
      <c r="E635" s="6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14"/>
      <c r="C636" s="13"/>
      <c r="D636" s="13"/>
      <c r="E636" s="6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14"/>
      <c r="C637" s="13"/>
      <c r="D637" s="13"/>
      <c r="E637" s="6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14"/>
      <c r="C638" s="13"/>
      <c r="D638" s="13"/>
      <c r="E638" s="6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14"/>
      <c r="C639" s="13"/>
      <c r="D639" s="13"/>
      <c r="E639" s="6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14"/>
      <c r="C640" s="13"/>
      <c r="D640" s="13"/>
      <c r="E640" s="6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14"/>
      <c r="C641" s="13"/>
      <c r="D641" s="13"/>
      <c r="E641" s="6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14"/>
      <c r="C642" s="13"/>
      <c r="D642" s="13"/>
      <c r="E642" s="6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14"/>
      <c r="C643" s="13"/>
      <c r="D643" s="13"/>
      <c r="E643" s="6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14"/>
      <c r="C644" s="13"/>
      <c r="D644" s="13"/>
      <c r="E644" s="6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14"/>
      <c r="C645" s="13"/>
      <c r="D645" s="13"/>
      <c r="E645" s="6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14"/>
      <c r="C646" s="13"/>
      <c r="D646" s="13"/>
      <c r="E646" s="6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14"/>
      <c r="C647" s="13"/>
      <c r="D647" s="13"/>
      <c r="E647" s="6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14"/>
      <c r="C648" s="13"/>
      <c r="D648" s="13"/>
      <c r="E648" s="6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14"/>
      <c r="C649" s="13"/>
      <c r="D649" s="13"/>
      <c r="E649" s="6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14"/>
      <c r="C650" s="13"/>
      <c r="D650" s="13"/>
      <c r="E650" s="6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14"/>
      <c r="C651" s="13"/>
      <c r="D651" s="13"/>
      <c r="E651" s="6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14"/>
      <c r="C652" s="13"/>
      <c r="D652" s="13"/>
      <c r="E652" s="6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14"/>
      <c r="C653" s="13"/>
      <c r="D653" s="13"/>
      <c r="E653" s="6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14"/>
      <c r="C654" s="13"/>
      <c r="D654" s="13"/>
      <c r="E654" s="6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14"/>
      <c r="C655" s="13"/>
      <c r="D655" s="13"/>
      <c r="E655" s="6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14"/>
      <c r="C656" s="13"/>
      <c r="D656" s="13"/>
      <c r="E656" s="6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14"/>
      <c r="C657" s="13"/>
      <c r="D657" s="13"/>
      <c r="E657" s="6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14"/>
      <c r="C658" s="13"/>
      <c r="D658" s="13"/>
      <c r="E658" s="6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14"/>
      <c r="C659" s="13"/>
      <c r="D659" s="13"/>
      <c r="E659" s="6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14"/>
      <c r="C660" s="13"/>
      <c r="D660" s="13"/>
      <c r="E660" s="6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14"/>
      <c r="C661" s="13"/>
      <c r="D661" s="13"/>
      <c r="E661" s="6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14"/>
      <c r="C662" s="13"/>
      <c r="D662" s="13"/>
      <c r="E662" s="6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14"/>
      <c r="C663" s="13"/>
      <c r="D663" s="13"/>
      <c r="E663" s="6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14"/>
      <c r="C664" s="13"/>
      <c r="D664" s="13"/>
      <c r="E664" s="6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14"/>
      <c r="C665" s="13"/>
      <c r="D665" s="13"/>
      <c r="E665" s="6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14"/>
      <c r="C666" s="13"/>
      <c r="D666" s="13"/>
      <c r="E666" s="6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14"/>
      <c r="C667" s="13"/>
      <c r="D667" s="13"/>
      <c r="E667" s="6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14"/>
      <c r="C668" s="13"/>
      <c r="D668" s="13"/>
      <c r="E668" s="6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14"/>
      <c r="C669" s="13"/>
      <c r="D669" s="13"/>
      <c r="E669" s="6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14"/>
      <c r="C670" s="13"/>
      <c r="D670" s="13"/>
      <c r="E670" s="6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14"/>
      <c r="C671" s="13"/>
      <c r="D671" s="13"/>
      <c r="E671" s="6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14"/>
      <c r="C672" s="13"/>
      <c r="D672" s="13"/>
      <c r="E672" s="6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14"/>
      <c r="C673" s="13"/>
      <c r="D673" s="13"/>
      <c r="E673" s="6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14"/>
      <c r="C674" s="13"/>
      <c r="D674" s="13"/>
      <c r="E674" s="6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14"/>
      <c r="C675" s="13"/>
      <c r="D675" s="13"/>
      <c r="E675" s="6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14"/>
      <c r="C676" s="13"/>
      <c r="D676" s="13"/>
      <c r="E676" s="6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14"/>
      <c r="C677" s="13"/>
      <c r="D677" s="13"/>
      <c r="E677" s="6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14"/>
      <c r="C678" s="13"/>
      <c r="D678" s="13"/>
      <c r="E678" s="6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14"/>
      <c r="C679" s="13"/>
      <c r="D679" s="13"/>
      <c r="E679" s="6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14"/>
      <c r="C680" s="13"/>
      <c r="D680" s="13"/>
      <c r="E680" s="6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14"/>
      <c r="C681" s="13"/>
      <c r="D681" s="13"/>
      <c r="E681" s="6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14"/>
      <c r="C682" s="13"/>
      <c r="D682" s="13"/>
      <c r="E682" s="6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14"/>
      <c r="C683" s="13"/>
      <c r="D683" s="13"/>
      <c r="E683" s="6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14"/>
      <c r="C684" s="13"/>
      <c r="D684" s="13"/>
      <c r="E684" s="6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14"/>
      <c r="C685" s="13"/>
      <c r="D685" s="13"/>
      <c r="E685" s="6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14"/>
      <c r="C686" s="13"/>
      <c r="D686" s="13"/>
      <c r="E686" s="6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14"/>
      <c r="C687" s="13"/>
      <c r="D687" s="13"/>
      <c r="E687" s="6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14"/>
      <c r="C688" s="13"/>
      <c r="D688" s="13"/>
      <c r="E688" s="6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14"/>
      <c r="C689" s="13"/>
      <c r="D689" s="13"/>
      <c r="E689" s="6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14"/>
      <c r="C690" s="13"/>
      <c r="D690" s="13"/>
      <c r="E690" s="6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14"/>
      <c r="C691" s="13"/>
      <c r="D691" s="13"/>
      <c r="E691" s="6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14"/>
      <c r="C692" s="13"/>
      <c r="D692" s="13"/>
      <c r="E692" s="6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14"/>
      <c r="C693" s="13"/>
      <c r="D693" s="13"/>
      <c r="E693" s="6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14"/>
      <c r="C694" s="13"/>
      <c r="D694" s="13"/>
      <c r="E694" s="6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14"/>
      <c r="C695" s="13"/>
      <c r="D695" s="13"/>
      <c r="E695" s="6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14"/>
      <c r="C696" s="13"/>
      <c r="D696" s="13"/>
      <c r="E696" s="6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14"/>
      <c r="C697" s="13"/>
      <c r="D697" s="13"/>
      <c r="E697" s="6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14"/>
      <c r="C698" s="13"/>
      <c r="D698" s="13"/>
      <c r="E698" s="6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14"/>
      <c r="C699" s="13"/>
      <c r="D699" s="13"/>
      <c r="E699" s="6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14"/>
      <c r="C700" s="13"/>
      <c r="D700" s="13"/>
      <c r="E700" s="6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14"/>
      <c r="C701" s="13"/>
      <c r="D701" s="13"/>
      <c r="E701" s="6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14"/>
      <c r="C702" s="13"/>
      <c r="D702" s="13"/>
      <c r="E702" s="6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14"/>
      <c r="C703" s="13"/>
      <c r="D703" s="13"/>
      <c r="E703" s="6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14"/>
      <c r="C704" s="13"/>
      <c r="D704" s="13"/>
      <c r="E704" s="6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14"/>
      <c r="C705" s="13"/>
      <c r="D705" s="13"/>
      <c r="E705" s="6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14"/>
      <c r="C706" s="13"/>
      <c r="D706" s="13"/>
      <c r="E706" s="6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14"/>
      <c r="C707" s="13"/>
      <c r="D707" s="13"/>
      <c r="E707" s="6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14"/>
      <c r="C708" s="13"/>
      <c r="D708" s="13"/>
      <c r="E708" s="6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14"/>
      <c r="C709" s="13"/>
      <c r="D709" s="13"/>
      <c r="E709" s="6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14"/>
      <c r="C710" s="13"/>
      <c r="D710" s="13"/>
      <c r="E710" s="6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14"/>
      <c r="C711" s="13"/>
      <c r="D711" s="13"/>
      <c r="E711" s="6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14"/>
      <c r="C712" s="13"/>
      <c r="D712" s="13"/>
      <c r="E712" s="6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14"/>
      <c r="C713" s="13"/>
      <c r="D713" s="13"/>
      <c r="E713" s="6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14"/>
      <c r="C714" s="13"/>
      <c r="D714" s="13"/>
      <c r="E714" s="6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14"/>
      <c r="C715" s="13"/>
      <c r="D715" s="13"/>
      <c r="E715" s="6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14"/>
      <c r="C716" s="13"/>
      <c r="D716" s="13"/>
      <c r="E716" s="6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14"/>
      <c r="C717" s="13"/>
      <c r="D717" s="13"/>
      <c r="E717" s="6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14"/>
      <c r="C718" s="13"/>
      <c r="D718" s="13"/>
      <c r="E718" s="6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14"/>
      <c r="C719" s="13"/>
      <c r="D719" s="13"/>
      <c r="E719" s="6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14"/>
      <c r="C720" s="13"/>
      <c r="D720" s="13"/>
      <c r="E720" s="6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14"/>
      <c r="C721" s="13"/>
      <c r="D721" s="13"/>
      <c r="E721" s="6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14"/>
      <c r="C722" s="13"/>
      <c r="D722" s="13"/>
      <c r="E722" s="6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14"/>
      <c r="C723" s="13"/>
      <c r="D723" s="13"/>
      <c r="E723" s="6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14"/>
      <c r="C724" s="13"/>
      <c r="D724" s="13"/>
      <c r="E724" s="6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14"/>
      <c r="C725" s="13"/>
      <c r="D725" s="13"/>
      <c r="E725" s="6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14"/>
      <c r="C726" s="13"/>
      <c r="D726" s="13"/>
      <c r="E726" s="6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14"/>
      <c r="C727" s="13"/>
      <c r="D727" s="13"/>
      <c r="E727" s="6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14"/>
      <c r="C728" s="13"/>
      <c r="D728" s="13"/>
      <c r="E728" s="6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14"/>
      <c r="C729" s="13"/>
      <c r="D729" s="13"/>
      <c r="E729" s="6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14"/>
      <c r="C730" s="13"/>
      <c r="D730" s="13"/>
      <c r="E730" s="6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14"/>
      <c r="C731" s="13"/>
      <c r="D731" s="13"/>
      <c r="E731" s="6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14"/>
      <c r="C732" s="13"/>
      <c r="D732" s="13"/>
      <c r="E732" s="6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14"/>
      <c r="C733" s="13"/>
      <c r="D733" s="13"/>
      <c r="E733" s="6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14"/>
      <c r="C734" s="13"/>
      <c r="D734" s="13"/>
      <c r="E734" s="6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14"/>
      <c r="C735" s="13"/>
      <c r="D735" s="13"/>
      <c r="E735" s="6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14"/>
      <c r="C736" s="13"/>
      <c r="D736" s="13"/>
      <c r="E736" s="6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14"/>
      <c r="C737" s="13"/>
      <c r="D737" s="13"/>
      <c r="E737" s="6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14"/>
      <c r="C738" s="13"/>
      <c r="D738" s="13"/>
      <c r="E738" s="6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14"/>
      <c r="C739" s="13"/>
      <c r="D739" s="13"/>
      <c r="E739" s="6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14"/>
      <c r="C740" s="13"/>
      <c r="D740" s="13"/>
      <c r="E740" s="6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14"/>
      <c r="C741" s="13"/>
      <c r="D741" s="13"/>
      <c r="E741" s="6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14"/>
      <c r="C742" s="13"/>
      <c r="D742" s="13"/>
      <c r="E742" s="6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14"/>
      <c r="C743" s="13"/>
      <c r="D743" s="13"/>
      <c r="E743" s="6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14"/>
      <c r="C744" s="13"/>
      <c r="D744" s="13"/>
      <c r="E744" s="6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14"/>
      <c r="C745" s="13"/>
      <c r="D745" s="13"/>
      <c r="E745" s="6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14"/>
      <c r="C746" s="13"/>
      <c r="D746" s="13"/>
      <c r="E746" s="6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14"/>
      <c r="C747" s="13"/>
      <c r="D747" s="13"/>
      <c r="E747" s="6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14"/>
      <c r="C748" s="13"/>
      <c r="D748" s="13"/>
      <c r="E748" s="6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14"/>
      <c r="C749" s="13"/>
      <c r="D749" s="13"/>
      <c r="E749" s="6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14"/>
      <c r="C750" s="13"/>
      <c r="D750" s="13"/>
      <c r="E750" s="6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14"/>
      <c r="C751" s="13"/>
      <c r="D751" s="13"/>
      <c r="E751" s="6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14"/>
      <c r="C752" s="13"/>
      <c r="D752" s="13"/>
      <c r="E752" s="6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14"/>
      <c r="C753" s="13"/>
      <c r="D753" s="13"/>
      <c r="E753" s="6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14"/>
      <c r="C754" s="13"/>
      <c r="D754" s="13"/>
      <c r="E754" s="6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14"/>
      <c r="C755" s="13"/>
      <c r="D755" s="13"/>
      <c r="E755" s="6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14"/>
      <c r="C756" s="13"/>
      <c r="D756" s="13"/>
      <c r="E756" s="6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14"/>
      <c r="C757" s="13"/>
      <c r="D757" s="13"/>
      <c r="E757" s="6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14"/>
      <c r="C758" s="13"/>
      <c r="D758" s="13"/>
      <c r="E758" s="6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14"/>
      <c r="C759" s="13"/>
      <c r="D759" s="13"/>
      <c r="E759" s="6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14"/>
      <c r="C760" s="13"/>
      <c r="D760" s="13"/>
      <c r="E760" s="6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14"/>
      <c r="C761" s="13"/>
      <c r="D761" s="13"/>
      <c r="E761" s="6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14"/>
      <c r="C762" s="13"/>
      <c r="D762" s="13"/>
      <c r="E762" s="6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14"/>
      <c r="C763" s="13"/>
      <c r="D763" s="13"/>
      <c r="E763" s="6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14"/>
      <c r="C764" s="13"/>
      <c r="D764" s="13"/>
      <c r="E764" s="6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14"/>
      <c r="C765" s="13"/>
      <c r="D765" s="13"/>
      <c r="E765" s="6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14"/>
      <c r="C766" s="13"/>
      <c r="D766" s="13"/>
      <c r="E766" s="6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14"/>
      <c r="C767" s="13"/>
      <c r="D767" s="13"/>
      <c r="E767" s="6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14"/>
      <c r="C768" s="13"/>
      <c r="D768" s="13"/>
      <c r="E768" s="6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14"/>
      <c r="C769" s="13"/>
      <c r="D769" s="13"/>
      <c r="E769" s="6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14"/>
      <c r="C770" s="13"/>
      <c r="D770" s="13"/>
      <c r="E770" s="6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14"/>
      <c r="C771" s="13"/>
      <c r="D771" s="13"/>
      <c r="E771" s="6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14"/>
      <c r="C772" s="13"/>
      <c r="D772" s="13"/>
      <c r="E772" s="6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14"/>
      <c r="C773" s="13"/>
      <c r="D773" s="13"/>
      <c r="E773" s="6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14"/>
      <c r="C774" s="13"/>
      <c r="D774" s="13"/>
      <c r="E774" s="6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14"/>
      <c r="C775" s="13"/>
      <c r="D775" s="13"/>
      <c r="E775" s="6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14"/>
      <c r="C776" s="13"/>
      <c r="D776" s="13"/>
      <c r="E776" s="6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14"/>
      <c r="C777" s="13"/>
      <c r="D777" s="13"/>
      <c r="E777" s="6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14"/>
      <c r="C778" s="13"/>
      <c r="D778" s="13"/>
      <c r="E778" s="6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14"/>
      <c r="C779" s="13"/>
      <c r="D779" s="13"/>
      <c r="E779" s="6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14"/>
      <c r="C780" s="13"/>
      <c r="D780" s="13"/>
      <c r="E780" s="6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14"/>
      <c r="C781" s="13"/>
      <c r="D781" s="13"/>
      <c r="E781" s="6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14"/>
      <c r="C782" s="13"/>
      <c r="D782" s="13"/>
      <c r="E782" s="6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14"/>
      <c r="C783" s="13"/>
      <c r="D783" s="13"/>
      <c r="E783" s="6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14"/>
      <c r="C784" s="13"/>
      <c r="D784" s="13"/>
      <c r="E784" s="6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14"/>
      <c r="C785" s="13"/>
      <c r="D785" s="13"/>
      <c r="E785" s="6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14"/>
      <c r="C786" s="13"/>
      <c r="D786" s="13"/>
      <c r="E786" s="6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14"/>
      <c r="C787" s="13"/>
      <c r="D787" s="13"/>
      <c r="E787" s="6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14"/>
      <c r="C788" s="13"/>
      <c r="D788" s="13"/>
      <c r="E788" s="6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14"/>
      <c r="C789" s="13"/>
      <c r="D789" s="13"/>
      <c r="E789" s="6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14"/>
      <c r="C790" s="13"/>
      <c r="D790" s="13"/>
      <c r="E790" s="6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14"/>
      <c r="C791" s="13"/>
      <c r="D791" s="13"/>
      <c r="E791" s="6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14"/>
      <c r="C792" s="13"/>
      <c r="D792" s="13"/>
      <c r="E792" s="6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14"/>
      <c r="C793" s="13"/>
      <c r="D793" s="13"/>
      <c r="E793" s="6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14"/>
      <c r="C794" s="13"/>
      <c r="D794" s="13"/>
      <c r="E794" s="6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14"/>
      <c r="C795" s="13"/>
      <c r="D795" s="13"/>
      <c r="E795" s="6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14"/>
      <c r="C796" s="13"/>
      <c r="D796" s="13"/>
      <c r="E796" s="6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14"/>
      <c r="C797" s="13"/>
      <c r="D797" s="13"/>
      <c r="E797" s="6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14"/>
      <c r="C798" s="13"/>
      <c r="D798" s="13"/>
      <c r="E798" s="6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14"/>
      <c r="C799" s="13"/>
      <c r="D799" s="13"/>
      <c r="E799" s="6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14"/>
      <c r="C800" s="13"/>
      <c r="D800" s="13"/>
      <c r="E800" s="6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14"/>
      <c r="C801" s="13"/>
      <c r="D801" s="13"/>
      <c r="E801" s="6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14"/>
      <c r="C802" s="13"/>
      <c r="D802" s="13"/>
      <c r="E802" s="6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14"/>
      <c r="C803" s="13"/>
      <c r="D803" s="13"/>
      <c r="E803" s="6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14"/>
      <c r="C804" s="13"/>
      <c r="D804" s="13"/>
      <c r="E804" s="6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14"/>
      <c r="C805" s="13"/>
      <c r="D805" s="13"/>
      <c r="E805" s="6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14"/>
      <c r="C806" s="13"/>
      <c r="D806" s="13"/>
      <c r="E806" s="6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14"/>
      <c r="C807" s="13"/>
      <c r="D807" s="13"/>
      <c r="E807" s="6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14"/>
      <c r="C808" s="13"/>
      <c r="D808" s="13"/>
      <c r="E808" s="6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14"/>
      <c r="C809" s="13"/>
      <c r="D809" s="13"/>
      <c r="E809" s="6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14"/>
      <c r="C810" s="13"/>
      <c r="D810" s="13"/>
      <c r="E810" s="6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14"/>
      <c r="C811" s="13"/>
      <c r="D811" s="13"/>
      <c r="E811" s="6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14"/>
      <c r="C812" s="13"/>
      <c r="D812" s="13"/>
      <c r="E812" s="6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14"/>
      <c r="C813" s="13"/>
      <c r="D813" s="13"/>
      <c r="E813" s="6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14"/>
      <c r="C814" s="13"/>
      <c r="D814" s="13"/>
      <c r="E814" s="6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14"/>
      <c r="C815" s="13"/>
      <c r="D815" s="13"/>
      <c r="E815" s="6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14"/>
      <c r="C816" s="13"/>
      <c r="D816" s="13"/>
      <c r="E816" s="6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14"/>
      <c r="C817" s="13"/>
      <c r="D817" s="13"/>
      <c r="E817" s="6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14"/>
      <c r="C818" s="13"/>
      <c r="D818" s="13"/>
      <c r="E818" s="6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14"/>
      <c r="C819" s="13"/>
      <c r="D819" s="13"/>
      <c r="E819" s="6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14"/>
      <c r="C820" s="13"/>
      <c r="D820" s="13"/>
      <c r="E820" s="6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14"/>
      <c r="C821" s="13"/>
      <c r="D821" s="13"/>
      <c r="E821" s="6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14"/>
      <c r="C822" s="13"/>
      <c r="D822" s="13"/>
      <c r="E822" s="6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14"/>
      <c r="C823" s="13"/>
      <c r="D823" s="13"/>
      <c r="E823" s="6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14"/>
      <c r="C824" s="13"/>
      <c r="D824" s="13"/>
      <c r="E824" s="6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14"/>
      <c r="C825" s="13"/>
      <c r="D825" s="13"/>
      <c r="E825" s="6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14"/>
      <c r="C826" s="13"/>
      <c r="D826" s="13"/>
      <c r="E826" s="6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14"/>
      <c r="C827" s="13"/>
      <c r="D827" s="13"/>
      <c r="E827" s="6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14"/>
      <c r="C828" s="13"/>
      <c r="D828" s="13"/>
      <c r="E828" s="6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14"/>
      <c r="C829" s="13"/>
      <c r="D829" s="13"/>
      <c r="E829" s="6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14"/>
      <c r="C830" s="13"/>
      <c r="D830" s="13"/>
      <c r="E830" s="6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14"/>
      <c r="C831" s="13"/>
      <c r="D831" s="13"/>
      <c r="E831" s="6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14"/>
      <c r="C832" s="13"/>
      <c r="D832" s="13"/>
      <c r="E832" s="6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14"/>
      <c r="C833" s="13"/>
      <c r="D833" s="13"/>
      <c r="E833" s="6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14"/>
      <c r="C834" s="13"/>
      <c r="D834" s="13"/>
      <c r="E834" s="6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14"/>
      <c r="C835" s="13"/>
      <c r="D835" s="13"/>
      <c r="E835" s="6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14"/>
      <c r="C836" s="13"/>
      <c r="D836" s="13"/>
      <c r="E836" s="6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14"/>
      <c r="C837" s="13"/>
      <c r="D837" s="13"/>
      <c r="E837" s="6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14"/>
      <c r="C838" s="13"/>
      <c r="D838" s="13"/>
      <c r="E838" s="6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14"/>
      <c r="C839" s="13"/>
      <c r="D839" s="13"/>
      <c r="E839" s="6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14"/>
      <c r="C840" s="13"/>
      <c r="D840" s="13"/>
      <c r="E840" s="6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14"/>
      <c r="C841" s="13"/>
      <c r="D841" s="13"/>
      <c r="E841" s="6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14"/>
      <c r="C842" s="13"/>
      <c r="D842" s="13"/>
      <c r="E842" s="6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14"/>
      <c r="C843" s="13"/>
      <c r="D843" s="13"/>
      <c r="E843" s="6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14"/>
      <c r="C844" s="13"/>
      <c r="D844" s="13"/>
      <c r="E844" s="6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14"/>
      <c r="C845" s="13"/>
      <c r="D845" s="13"/>
      <c r="E845" s="6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14"/>
      <c r="C846" s="13"/>
      <c r="D846" s="13"/>
      <c r="E846" s="6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14"/>
      <c r="C847" s="13"/>
      <c r="D847" s="13"/>
      <c r="E847" s="6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14"/>
      <c r="C848" s="13"/>
      <c r="D848" s="13"/>
      <c r="E848" s="6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14"/>
      <c r="C849" s="13"/>
      <c r="D849" s="13"/>
      <c r="E849" s="6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14"/>
      <c r="C850" s="13"/>
      <c r="D850" s="13"/>
      <c r="E850" s="6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14"/>
      <c r="C851" s="13"/>
      <c r="D851" s="13"/>
      <c r="E851" s="6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14"/>
      <c r="C852" s="13"/>
      <c r="D852" s="13"/>
      <c r="E852" s="6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14"/>
      <c r="C853" s="13"/>
      <c r="D853" s="13"/>
      <c r="E853" s="6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14"/>
      <c r="C854" s="13"/>
      <c r="D854" s="13"/>
      <c r="E854" s="6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14"/>
      <c r="C855" s="13"/>
      <c r="D855" s="13"/>
      <c r="E855" s="6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14"/>
      <c r="C856" s="13"/>
      <c r="D856" s="13"/>
      <c r="E856" s="6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14"/>
      <c r="C857" s="13"/>
      <c r="D857" s="13"/>
      <c r="E857" s="6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14"/>
      <c r="C858" s="13"/>
      <c r="D858" s="13"/>
      <c r="E858" s="6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14"/>
      <c r="C859" s="13"/>
      <c r="D859" s="13"/>
      <c r="E859" s="6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14"/>
      <c r="C860" s="13"/>
      <c r="D860" s="13"/>
      <c r="E860" s="6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14"/>
      <c r="C861" s="13"/>
      <c r="D861" s="13"/>
      <c r="E861" s="6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14"/>
      <c r="C862" s="13"/>
      <c r="D862" s="13"/>
      <c r="E862" s="6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14"/>
      <c r="C863" s="13"/>
      <c r="D863" s="13"/>
      <c r="E863" s="6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14"/>
      <c r="C864" s="13"/>
      <c r="D864" s="13"/>
      <c r="E864" s="6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14"/>
      <c r="C865" s="13"/>
      <c r="D865" s="13"/>
      <c r="E865" s="6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14"/>
      <c r="C866" s="13"/>
      <c r="D866" s="13"/>
      <c r="E866" s="6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14"/>
      <c r="C867" s="13"/>
      <c r="D867" s="13"/>
      <c r="E867" s="6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14"/>
      <c r="C868" s="13"/>
      <c r="D868" s="13"/>
      <c r="E868" s="6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14"/>
      <c r="C869" s="13"/>
      <c r="D869" s="13"/>
      <c r="E869" s="6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14"/>
      <c r="C870" s="13"/>
      <c r="D870" s="13"/>
      <c r="E870" s="6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14"/>
      <c r="C871" s="13"/>
      <c r="D871" s="13"/>
      <c r="E871" s="6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14"/>
      <c r="C872" s="13"/>
      <c r="D872" s="13"/>
      <c r="E872" s="6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14"/>
      <c r="C873" s="13"/>
      <c r="D873" s="13"/>
      <c r="E873" s="6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14"/>
      <c r="C874" s="13"/>
      <c r="D874" s="13"/>
      <c r="E874" s="6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14"/>
      <c r="C875" s="13"/>
      <c r="D875" s="13"/>
      <c r="E875" s="6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14"/>
      <c r="C876" s="13"/>
      <c r="D876" s="13"/>
      <c r="E876" s="6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14"/>
      <c r="C877" s="13"/>
      <c r="D877" s="13"/>
      <c r="E877" s="6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14"/>
      <c r="C878" s="13"/>
      <c r="D878" s="13"/>
      <c r="E878" s="6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14"/>
      <c r="C879" s="13"/>
      <c r="D879" s="13"/>
      <c r="E879" s="6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14"/>
      <c r="C880" s="13"/>
      <c r="D880" s="13"/>
      <c r="E880" s="6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14"/>
      <c r="C881" s="13"/>
      <c r="D881" s="13"/>
      <c r="E881" s="6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14"/>
      <c r="C882" s="13"/>
      <c r="D882" s="13"/>
      <c r="E882" s="6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14"/>
      <c r="C883" s="13"/>
      <c r="D883" s="13"/>
      <c r="E883" s="6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14"/>
      <c r="C884" s="13"/>
      <c r="D884" s="13"/>
      <c r="E884" s="6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14"/>
      <c r="C885" s="13"/>
      <c r="D885" s="13"/>
      <c r="E885" s="6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14"/>
      <c r="C886" s="13"/>
      <c r="D886" s="13"/>
      <c r="E886" s="6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14"/>
      <c r="C887" s="13"/>
      <c r="D887" s="13"/>
      <c r="E887" s="6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14"/>
      <c r="C888" s="13"/>
      <c r="D888" s="13"/>
      <c r="E888" s="6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14"/>
      <c r="C889" s="13"/>
      <c r="D889" s="13"/>
      <c r="E889" s="6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14"/>
      <c r="C890" s="13"/>
      <c r="D890" s="13"/>
      <c r="E890" s="6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14"/>
      <c r="C891" s="13"/>
      <c r="D891" s="13"/>
      <c r="E891" s="6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14"/>
      <c r="C892" s="13"/>
      <c r="D892" s="13"/>
      <c r="E892" s="6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14"/>
      <c r="C893" s="13"/>
      <c r="D893" s="13"/>
      <c r="E893" s="6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14"/>
      <c r="C894" s="13"/>
      <c r="D894" s="13"/>
      <c r="E894" s="6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14"/>
      <c r="C895" s="13"/>
      <c r="D895" s="13"/>
      <c r="E895" s="6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14"/>
      <c r="C896" s="13"/>
      <c r="D896" s="13"/>
      <c r="E896" s="6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14"/>
      <c r="C897" s="13"/>
      <c r="D897" s="13"/>
      <c r="E897" s="6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14"/>
      <c r="C898" s="13"/>
      <c r="D898" s="13"/>
      <c r="E898" s="6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14"/>
      <c r="C899" s="13"/>
      <c r="D899" s="13"/>
      <c r="E899" s="6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14"/>
      <c r="C900" s="13"/>
      <c r="D900" s="13"/>
      <c r="E900" s="6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14"/>
      <c r="C901" s="13"/>
      <c r="D901" s="13"/>
      <c r="E901" s="6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14"/>
      <c r="C902" s="13"/>
      <c r="D902" s="13"/>
      <c r="E902" s="6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14"/>
      <c r="C903" s="13"/>
      <c r="D903" s="13"/>
      <c r="E903" s="6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14"/>
      <c r="C904" s="13"/>
      <c r="D904" s="13"/>
      <c r="E904" s="6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14"/>
      <c r="C905" s="13"/>
      <c r="D905" s="13"/>
      <c r="E905" s="6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14"/>
      <c r="C906" s="13"/>
      <c r="D906" s="13"/>
      <c r="E906" s="6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14"/>
      <c r="C907" s="13"/>
      <c r="D907" s="13"/>
      <c r="E907" s="6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14"/>
      <c r="C908" s="13"/>
      <c r="D908" s="13"/>
      <c r="E908" s="6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14"/>
      <c r="C909" s="13"/>
      <c r="D909" s="13"/>
      <c r="E909" s="6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14"/>
      <c r="C910" s="13"/>
      <c r="D910" s="13"/>
      <c r="E910" s="6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14"/>
      <c r="C911" s="13"/>
      <c r="D911" s="13"/>
      <c r="E911" s="6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14"/>
      <c r="C912" s="13"/>
      <c r="D912" s="13"/>
      <c r="E912" s="6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14"/>
      <c r="C913" s="13"/>
      <c r="D913" s="13"/>
      <c r="E913" s="6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14"/>
      <c r="C914" s="13"/>
      <c r="D914" s="13"/>
      <c r="E914" s="6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14"/>
      <c r="C915" s="13"/>
      <c r="D915" s="13"/>
      <c r="E915" s="6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14"/>
      <c r="C916" s="13"/>
      <c r="D916" s="13"/>
      <c r="E916" s="6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14"/>
      <c r="C917" s="13"/>
      <c r="D917" s="13"/>
      <c r="E917" s="6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14"/>
      <c r="C918" s="13"/>
      <c r="D918" s="13"/>
      <c r="E918" s="6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14"/>
      <c r="C919" s="13"/>
      <c r="D919" s="13"/>
      <c r="E919" s="6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14"/>
      <c r="C920" s="13"/>
      <c r="D920" s="13"/>
      <c r="E920" s="6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14"/>
      <c r="C921" s="13"/>
      <c r="D921" s="13"/>
      <c r="E921" s="6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14"/>
      <c r="C922" s="13"/>
      <c r="D922" s="13"/>
      <c r="E922" s="6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14"/>
      <c r="C923" s="13"/>
      <c r="D923" s="13"/>
      <c r="E923" s="6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14"/>
      <c r="C924" s="13"/>
      <c r="D924" s="13"/>
      <c r="E924" s="6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14"/>
      <c r="C925" s="13"/>
      <c r="D925" s="13"/>
      <c r="E925" s="6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14"/>
      <c r="C926" s="13"/>
      <c r="D926" s="13"/>
      <c r="E926" s="6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14"/>
      <c r="C927" s="13"/>
      <c r="D927" s="13"/>
      <c r="E927" s="6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14"/>
      <c r="C928" s="13"/>
      <c r="D928" s="13"/>
      <c r="E928" s="6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14"/>
      <c r="C929" s="13"/>
      <c r="D929" s="13"/>
      <c r="E929" s="6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14"/>
      <c r="C930" s="13"/>
      <c r="D930" s="13"/>
      <c r="E930" s="6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14"/>
      <c r="C931" s="13"/>
      <c r="D931" s="13"/>
      <c r="E931" s="6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14"/>
      <c r="C932" s="13"/>
      <c r="D932" s="13"/>
      <c r="E932" s="6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14"/>
      <c r="C933" s="13"/>
      <c r="D933" s="13"/>
      <c r="E933" s="6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14"/>
      <c r="C934" s="13"/>
      <c r="D934" s="13"/>
      <c r="E934" s="6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14"/>
      <c r="C935" s="13"/>
      <c r="D935" s="13"/>
      <c r="E935" s="6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14"/>
      <c r="C936" s="13"/>
      <c r="D936" s="13"/>
      <c r="E936" s="6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14"/>
      <c r="C937" s="13"/>
      <c r="D937" s="13"/>
      <c r="E937" s="6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14"/>
      <c r="C938" s="13"/>
      <c r="D938" s="13"/>
      <c r="E938" s="6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14"/>
      <c r="C939" s="13"/>
      <c r="D939" s="13"/>
      <c r="E939" s="6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14"/>
      <c r="C940" s="13"/>
      <c r="D940" s="13"/>
      <c r="E940" s="6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14"/>
      <c r="C941" s="13"/>
      <c r="D941" s="13"/>
      <c r="E941" s="6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14"/>
      <c r="C942" s="13"/>
      <c r="D942" s="13"/>
      <c r="E942" s="6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14"/>
      <c r="C943" s="13"/>
      <c r="D943" s="13"/>
      <c r="E943" s="6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14"/>
      <c r="C944" s="13"/>
      <c r="D944" s="13"/>
      <c r="E944" s="6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14"/>
      <c r="C945" s="13"/>
      <c r="D945" s="13"/>
      <c r="E945" s="6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14"/>
      <c r="C946" s="13"/>
      <c r="D946" s="13"/>
      <c r="E946" s="6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14"/>
      <c r="C947" s="13"/>
      <c r="D947" s="13"/>
      <c r="E947" s="6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14"/>
      <c r="C948" s="13"/>
      <c r="D948" s="13"/>
      <c r="E948" s="6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14"/>
      <c r="C949" s="13"/>
      <c r="D949" s="13"/>
      <c r="E949" s="6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14"/>
      <c r="C950" s="13"/>
      <c r="D950" s="13"/>
      <c r="E950" s="6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14"/>
      <c r="C951" s="13"/>
      <c r="D951" s="13"/>
      <c r="E951" s="6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14"/>
      <c r="C952" s="13"/>
      <c r="D952" s="13"/>
      <c r="E952" s="6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14"/>
      <c r="C953" s="13"/>
      <c r="D953" s="13"/>
      <c r="E953" s="6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14"/>
      <c r="C954" s="13"/>
      <c r="D954" s="13"/>
      <c r="E954" s="6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14"/>
      <c r="C955" s="13"/>
      <c r="D955" s="13"/>
      <c r="E955" s="6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14"/>
      <c r="C956" s="13"/>
      <c r="D956" s="13"/>
      <c r="E956" s="6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14"/>
      <c r="C957" s="13"/>
      <c r="D957" s="13"/>
      <c r="E957" s="6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14"/>
      <c r="C958" s="13"/>
      <c r="D958" s="13"/>
      <c r="E958" s="6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14"/>
      <c r="C959" s="13"/>
      <c r="D959" s="13"/>
      <c r="E959" s="6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14"/>
      <c r="C960" s="13"/>
      <c r="D960" s="13"/>
      <c r="E960" s="6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14"/>
      <c r="C961" s="13"/>
      <c r="D961" s="13"/>
      <c r="E961" s="6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14"/>
      <c r="C962" s="13"/>
      <c r="D962" s="13"/>
      <c r="E962" s="6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14"/>
      <c r="C963" s="13"/>
      <c r="D963" s="13"/>
      <c r="E963" s="6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14"/>
      <c r="C964" s="13"/>
      <c r="D964" s="13"/>
      <c r="E964" s="6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14"/>
      <c r="C965" s="13"/>
      <c r="D965" s="13"/>
      <c r="E965" s="6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14"/>
      <c r="C966" s="13"/>
      <c r="D966" s="13"/>
      <c r="E966" s="6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14"/>
      <c r="C967" s="13"/>
      <c r="D967" s="13"/>
      <c r="E967" s="6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14"/>
      <c r="C968" s="13"/>
      <c r="D968" s="13"/>
      <c r="E968" s="6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14"/>
      <c r="C969" s="13"/>
      <c r="D969" s="13"/>
      <c r="E969" s="6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14"/>
      <c r="C970" s="13"/>
      <c r="D970" s="13"/>
      <c r="E970" s="6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14"/>
      <c r="C971" s="13"/>
      <c r="D971" s="13"/>
      <c r="E971" s="6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14"/>
      <c r="C972" s="13"/>
      <c r="D972" s="13"/>
      <c r="E972" s="6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14"/>
      <c r="C973" s="13"/>
      <c r="D973" s="13"/>
      <c r="E973" s="6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14"/>
      <c r="C974" s="13"/>
      <c r="D974" s="13"/>
      <c r="E974" s="6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14"/>
      <c r="C975" s="13"/>
      <c r="D975" s="13"/>
      <c r="E975" s="6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14"/>
      <c r="C976" s="13"/>
      <c r="D976" s="13"/>
      <c r="E976" s="6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14"/>
      <c r="C977" s="13"/>
      <c r="D977" s="13"/>
      <c r="E977" s="6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14"/>
      <c r="C978" s="13"/>
      <c r="D978" s="13"/>
      <c r="E978" s="6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14"/>
      <c r="C979" s="13"/>
      <c r="D979" s="13"/>
      <c r="E979" s="6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14"/>
      <c r="C980" s="13"/>
      <c r="D980" s="13"/>
      <c r="E980" s="6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14"/>
      <c r="C981" s="13"/>
      <c r="D981" s="13"/>
      <c r="E981" s="6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14"/>
      <c r="C982" s="13"/>
      <c r="D982" s="13"/>
      <c r="E982" s="6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14"/>
      <c r="C983" s="13"/>
      <c r="D983" s="13"/>
      <c r="E983" s="6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14"/>
      <c r="C984" s="13"/>
      <c r="D984" s="13"/>
      <c r="E984" s="6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14"/>
      <c r="C985" s="13"/>
      <c r="D985" s="13"/>
      <c r="E985" s="6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14"/>
      <c r="C986" s="13"/>
      <c r="D986" s="13"/>
      <c r="E986" s="6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14"/>
      <c r="C987" s="13"/>
      <c r="D987" s="13"/>
      <c r="E987" s="6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14"/>
      <c r="C988" s="13"/>
      <c r="D988" s="13"/>
      <c r="E988" s="6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14"/>
      <c r="C989" s="13"/>
      <c r="D989" s="13"/>
      <c r="E989" s="6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14"/>
      <c r="C990" s="13"/>
      <c r="D990" s="13"/>
      <c r="E990" s="6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14"/>
      <c r="C991" s="13"/>
      <c r="D991" s="13"/>
      <c r="E991" s="6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14"/>
      <c r="C992" s="13"/>
      <c r="D992" s="13"/>
      <c r="E992" s="6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14"/>
      <c r="C993" s="13"/>
      <c r="D993" s="13"/>
      <c r="E993" s="6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14"/>
      <c r="C994" s="13"/>
      <c r="D994" s="13"/>
      <c r="E994" s="6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14"/>
      <c r="C995" s="13"/>
      <c r="D995" s="13"/>
      <c r="E995" s="6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14"/>
      <c r="C996" s="13"/>
      <c r="D996" s="13"/>
      <c r="E996" s="6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14"/>
      <c r="C997" s="13"/>
      <c r="D997" s="13"/>
      <c r="E997" s="6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14"/>
      <c r="C998" s="13"/>
      <c r="D998" s="13"/>
      <c r="E998" s="6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14"/>
      <c r="C999" s="13"/>
      <c r="D999" s="13"/>
      <c r="E999" s="6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14"/>
      <c r="C1000" s="13"/>
      <c r="D1000" s="13"/>
      <c r="E1000" s="6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J9" sqref="J9"/>
    </sheetView>
  </sheetViews>
  <sheetFormatPr defaultColWidth="14.42578125" defaultRowHeight="15"/>
  <cols>
    <col min="1" max="1" width="7.140625" customWidth="1"/>
    <col min="3" max="3" width="16.140625" customWidth="1"/>
    <col min="4" max="4" width="30.28515625" customWidth="1"/>
    <col min="5" max="5" width="39.7109375" bestFit="1" customWidth="1"/>
    <col min="6" max="6" width="47.140625" bestFit="1" customWidth="1"/>
    <col min="7" max="7" width="22.7109375" bestFit="1" customWidth="1"/>
    <col min="8" max="26" width="8.7109375" customWidth="1"/>
  </cols>
  <sheetData>
    <row r="1" spans="1:26" ht="16.5">
      <c r="A1" s="4" t="s">
        <v>1709</v>
      </c>
      <c r="B1" s="4" t="s">
        <v>2</v>
      </c>
      <c r="C1" s="4" t="s">
        <v>1714</v>
      </c>
      <c r="D1" s="4" t="s">
        <v>3</v>
      </c>
      <c r="E1" s="4" t="s">
        <v>4</v>
      </c>
      <c r="F1" s="7" t="s">
        <v>6</v>
      </c>
      <c r="G1" s="3" t="s">
        <v>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>
      <c r="A2" s="4" t="s">
        <v>11</v>
      </c>
      <c r="B2" s="4" t="s">
        <v>11</v>
      </c>
      <c r="C2" s="4" t="s">
        <v>11</v>
      </c>
      <c r="D2" s="4" t="s">
        <v>11</v>
      </c>
      <c r="E2" s="4" t="s">
        <v>11</v>
      </c>
      <c r="F2" s="7" t="s">
        <v>11</v>
      </c>
      <c r="G2" s="3" t="s">
        <v>11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>
      <c r="A3" s="11"/>
      <c r="B3" s="10"/>
      <c r="C3" s="11"/>
      <c r="D3" s="11" t="s">
        <v>2952</v>
      </c>
      <c r="E3" s="21" t="s">
        <v>2953</v>
      </c>
      <c r="F3" s="11" t="s">
        <v>3606</v>
      </c>
      <c r="G3" s="8" t="s">
        <v>2954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>
      <c r="A4" s="11"/>
      <c r="B4" s="11"/>
      <c r="C4" s="11"/>
      <c r="D4" s="11" t="s">
        <v>2955</v>
      </c>
      <c r="E4" s="21" t="s">
        <v>2956</v>
      </c>
      <c r="F4" s="11" t="s">
        <v>2957</v>
      </c>
      <c r="G4" s="8" t="s">
        <v>2958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>
      <c r="A5" s="11"/>
      <c r="B5" s="11"/>
      <c r="C5" s="11"/>
      <c r="D5" s="11" t="s">
        <v>2959</v>
      </c>
      <c r="E5" s="21" t="s">
        <v>2960</v>
      </c>
      <c r="F5" s="11" t="s">
        <v>2961</v>
      </c>
      <c r="G5" s="8" t="s">
        <v>2962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>
      <c r="A6" s="11"/>
      <c r="B6" s="11"/>
      <c r="C6" s="15" t="s">
        <v>2963</v>
      </c>
      <c r="D6" s="11" t="str">
        <f t="shared" ref="D6:D18" si="0">UPPER(C6)&amp;"_NAME"</f>
        <v>LOGIN_NAME</v>
      </c>
      <c r="E6" s="10" t="s">
        <v>2964</v>
      </c>
      <c r="F6" s="11" t="s">
        <v>2965</v>
      </c>
      <c r="G6" s="8" t="s">
        <v>2966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>
      <c r="A7" s="11"/>
      <c r="B7" s="11"/>
      <c r="C7" s="15" t="s">
        <v>2967</v>
      </c>
      <c r="D7" s="11" t="str">
        <f t="shared" si="0"/>
        <v>ENEMY_KILL_NAME</v>
      </c>
      <c r="E7" s="10" t="s">
        <v>2485</v>
      </c>
      <c r="F7" s="11" t="s">
        <v>2486</v>
      </c>
      <c r="G7" s="8" t="s">
        <v>2487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>
      <c r="A8" s="11"/>
      <c r="B8" s="11"/>
      <c r="C8" s="15" t="s">
        <v>2968</v>
      </c>
      <c r="D8" s="11" t="str">
        <f t="shared" si="0"/>
        <v>TOURNAMENT_PLAY_NAME</v>
      </c>
      <c r="E8" s="21" t="s">
        <v>1120</v>
      </c>
      <c r="F8" s="11" t="s">
        <v>1121</v>
      </c>
      <c r="G8" s="8" t="s">
        <v>1122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>
      <c r="A9" s="11"/>
      <c r="B9" s="11"/>
      <c r="C9" s="15" t="s">
        <v>2969</v>
      </c>
      <c r="D9" s="11" t="str">
        <f t="shared" si="0"/>
        <v>RAID_PLAY_NAME</v>
      </c>
      <c r="E9" s="21" t="s">
        <v>2970</v>
      </c>
      <c r="F9" s="11" t="s">
        <v>2971</v>
      </c>
      <c r="G9" s="8" t="s">
        <v>2972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>
      <c r="A10" s="11"/>
      <c r="B10" s="11"/>
      <c r="C10" s="15" t="s">
        <v>2973</v>
      </c>
      <c r="D10" s="11" t="str">
        <f t="shared" si="0"/>
        <v>GACHA_PROCEED_NAME</v>
      </c>
      <c r="E10" s="21" t="s">
        <v>562</v>
      </c>
      <c r="F10" s="11" t="s">
        <v>564</v>
      </c>
      <c r="G10" s="8" t="s">
        <v>566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>
      <c r="A11" s="11"/>
      <c r="B11" s="10"/>
      <c r="C11" s="15" t="s">
        <v>2974</v>
      </c>
      <c r="D11" s="11" t="str">
        <f t="shared" si="0"/>
        <v>RICE_CLAIM_NAME</v>
      </c>
      <c r="E11" s="10" t="s">
        <v>2975</v>
      </c>
      <c r="F11" s="11" t="s">
        <v>2507</v>
      </c>
      <c r="G11" s="8" t="s">
        <v>2508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>
      <c r="A12" s="11"/>
      <c r="B12" s="10"/>
      <c r="C12" s="15" t="s">
        <v>2976</v>
      </c>
      <c r="D12" s="11" t="str">
        <f t="shared" si="0"/>
        <v>GOLD_CLAIM_NAME</v>
      </c>
      <c r="E12" s="10" t="s">
        <v>2977</v>
      </c>
      <c r="F12" s="11" t="s">
        <v>2513</v>
      </c>
      <c r="G12" s="8" t="s">
        <v>2514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>
      <c r="A13" s="11"/>
      <c r="B13" s="10"/>
      <c r="C13" s="15" t="s">
        <v>2978</v>
      </c>
      <c r="D13" s="11" t="str">
        <f t="shared" si="0"/>
        <v>OFFICE_DISPATCH_NAME</v>
      </c>
      <c r="E13" s="10" t="s">
        <v>2979</v>
      </c>
      <c r="F13" s="11" t="s">
        <v>2980</v>
      </c>
      <c r="G13" s="8" t="s">
        <v>2981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5.5">
      <c r="A14" s="11"/>
      <c r="B14" s="10"/>
      <c r="C14" s="15" t="s">
        <v>2982</v>
      </c>
      <c r="D14" s="11" t="str">
        <f t="shared" si="0"/>
        <v>DAILY_DUNGEON_PLAY_NAME</v>
      </c>
      <c r="E14" s="10" t="s">
        <v>2983</v>
      </c>
      <c r="F14" s="11" t="s">
        <v>2984</v>
      </c>
      <c r="G14" s="8" t="s">
        <v>2985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>
      <c r="A15" s="11"/>
      <c r="B15" s="10"/>
      <c r="C15" s="15" t="s">
        <v>2986</v>
      </c>
      <c r="D15" s="11" t="str">
        <f t="shared" si="0"/>
        <v>STAGE_BOSS_KILL_NAME</v>
      </c>
      <c r="E15" s="10" t="s">
        <v>2987</v>
      </c>
      <c r="F15" s="11" t="s">
        <v>2526</v>
      </c>
      <c r="G15" s="8" t="s">
        <v>2527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>
      <c r="A16" s="11"/>
      <c r="B16" s="10"/>
      <c r="C16" s="15" t="s">
        <v>2989</v>
      </c>
      <c r="D16" s="11" t="str">
        <f t="shared" si="0"/>
        <v>ADS_WATCH_NAME</v>
      </c>
      <c r="E16" s="10" t="s">
        <v>2990</v>
      </c>
      <c r="F16" s="11" t="s">
        <v>2991</v>
      </c>
      <c r="G16" s="8" t="s">
        <v>1379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>
      <c r="A17" s="11"/>
      <c r="B17" s="10"/>
      <c r="C17" s="15" t="s">
        <v>2992</v>
      </c>
      <c r="D17" s="11" t="str">
        <f t="shared" si="0"/>
        <v>ITEM_BUY_NAME</v>
      </c>
      <c r="E17" s="10" t="s">
        <v>2993</v>
      </c>
      <c r="F17" s="11" t="s">
        <v>2994</v>
      </c>
      <c r="G17" s="8" t="s">
        <v>2995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>
      <c r="A18" s="11"/>
      <c r="B18" s="10"/>
      <c r="C18" s="15" t="s">
        <v>2996</v>
      </c>
      <c r="D18" s="11" t="str">
        <f t="shared" si="0"/>
        <v>ITEM_USE_NAME</v>
      </c>
      <c r="E18" s="10" t="s">
        <v>2998</v>
      </c>
      <c r="F18" s="11" t="s">
        <v>2999</v>
      </c>
      <c r="G18" s="8" t="s">
        <v>3000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>
      <c r="A19" s="11"/>
      <c r="B19" s="10"/>
      <c r="C19" s="11"/>
      <c r="D19" s="11" t="s">
        <v>3001</v>
      </c>
      <c r="E19" s="10" t="s">
        <v>169</v>
      </c>
      <c r="F19" s="11" t="s">
        <v>171</v>
      </c>
      <c r="G19" s="8" t="s">
        <v>3003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>
      <c r="A20" s="11"/>
      <c r="B20" s="10"/>
      <c r="C20" s="15" t="s">
        <v>2963</v>
      </c>
      <c r="D20" s="11" t="str">
        <f t="shared" ref="D20:D32" si="1">UPPER(C20)&amp;"_DESC"</f>
        <v>LOGIN_DESC</v>
      </c>
      <c r="E20" s="11" t="s">
        <v>3007</v>
      </c>
      <c r="F20" s="11" t="s">
        <v>3008</v>
      </c>
      <c r="G20" s="8" t="s">
        <v>3009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6.5">
      <c r="A21" s="11"/>
      <c r="B21" s="10"/>
      <c r="C21" s="15" t="s">
        <v>2967</v>
      </c>
      <c r="D21" s="11" t="str">
        <f t="shared" si="1"/>
        <v>ENEMY_KILL_DESC</v>
      </c>
      <c r="E21" s="11" t="s">
        <v>3365</v>
      </c>
      <c r="F21" s="11" t="s">
        <v>3463</v>
      </c>
      <c r="G21" s="54" t="s">
        <v>3464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6.5">
      <c r="A22" s="11"/>
      <c r="B22" s="10"/>
      <c r="C22" s="15" t="s">
        <v>2968</v>
      </c>
      <c r="D22" s="11" t="str">
        <f t="shared" si="1"/>
        <v>TOURNAMENT_PLAY_DESC</v>
      </c>
      <c r="E22" s="11" t="s">
        <v>3366</v>
      </c>
      <c r="F22" s="11" t="s">
        <v>3462</v>
      </c>
      <c r="G22" s="53" t="s">
        <v>3465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6.5">
      <c r="A23" s="11"/>
      <c r="B23" s="10"/>
      <c r="C23" s="15" t="s">
        <v>2969</v>
      </c>
      <c r="D23" s="11" t="str">
        <f t="shared" si="1"/>
        <v>RAID_PLAY_DESC</v>
      </c>
      <c r="E23" s="11" t="s">
        <v>3367</v>
      </c>
      <c r="F23" s="11" t="s">
        <v>3461</v>
      </c>
      <c r="G23" s="54" t="s">
        <v>3466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6.5">
      <c r="A24" s="11"/>
      <c r="B24" s="10"/>
      <c r="C24" s="15" t="s">
        <v>2973</v>
      </c>
      <c r="D24" s="11" t="str">
        <f t="shared" si="1"/>
        <v>GACHA_PROCEED_DESC</v>
      </c>
      <c r="E24" s="11" t="s">
        <v>3018</v>
      </c>
      <c r="F24" s="11" t="s">
        <v>3019</v>
      </c>
      <c r="G24" s="8" t="s">
        <v>3020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6.5">
      <c r="A25" s="11"/>
      <c r="B25" s="10"/>
      <c r="C25" s="15" t="s">
        <v>2974</v>
      </c>
      <c r="D25" s="11" t="str">
        <f t="shared" si="1"/>
        <v>RICE_CLAIM_DESC</v>
      </c>
      <c r="E25" s="11" t="s">
        <v>3368</v>
      </c>
      <c r="F25" s="11" t="s">
        <v>3473</v>
      </c>
      <c r="G25" s="8" t="s">
        <v>3467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6.5">
      <c r="A26" s="11"/>
      <c r="B26" s="10"/>
      <c r="C26" s="15" t="s">
        <v>2976</v>
      </c>
      <c r="D26" s="11" t="str">
        <f t="shared" si="1"/>
        <v>GOLD_CLAIM_DESC</v>
      </c>
      <c r="E26" s="11" t="s">
        <v>3369</v>
      </c>
      <c r="F26" s="11" t="s">
        <v>3474</v>
      </c>
      <c r="G26" s="8" t="s">
        <v>3468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6.5">
      <c r="A27" s="11"/>
      <c r="B27" s="10"/>
      <c r="C27" s="15" t="s">
        <v>2978</v>
      </c>
      <c r="D27" s="11" t="str">
        <f t="shared" si="1"/>
        <v>OFFICE_DISPATCH_DESC</v>
      </c>
      <c r="E27" s="11" t="s">
        <v>3370</v>
      </c>
      <c r="F27" s="11" t="s">
        <v>3475</v>
      </c>
      <c r="G27" s="8" t="s">
        <v>3469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5.5">
      <c r="A28" s="11"/>
      <c r="B28" s="10"/>
      <c r="C28" s="15" t="s">
        <v>2982</v>
      </c>
      <c r="D28" s="11" t="str">
        <f t="shared" si="1"/>
        <v>DAILY_DUNGEON_PLAY_DESC</v>
      </c>
      <c r="E28" s="11" t="s">
        <v>3371</v>
      </c>
      <c r="F28" s="11" t="s">
        <v>3476</v>
      </c>
      <c r="G28" s="54" t="s">
        <v>3470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6.5">
      <c r="A29" s="11"/>
      <c r="B29" s="10"/>
      <c r="C29" s="15" t="s">
        <v>2986</v>
      </c>
      <c r="D29" s="11" t="str">
        <f t="shared" si="1"/>
        <v>STAGE_BOSS_KILL_DESC</v>
      </c>
      <c r="E29" s="11" t="s">
        <v>3372</v>
      </c>
      <c r="F29" s="11" t="s">
        <v>3477</v>
      </c>
      <c r="G29" s="54" t="s">
        <v>3471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6.5">
      <c r="A30" s="11"/>
      <c r="B30" s="10"/>
      <c r="C30" s="15" t="s">
        <v>2989</v>
      </c>
      <c r="D30" s="11" t="str">
        <f t="shared" si="1"/>
        <v>ADS_WATCH_DESC</v>
      </c>
      <c r="E30" s="11" t="s">
        <v>3031</v>
      </c>
      <c r="F30" s="11" t="s">
        <v>3032</v>
      </c>
      <c r="G30" s="54" t="s">
        <v>3472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6.5">
      <c r="A31" s="11"/>
      <c r="B31" s="10"/>
      <c r="C31" s="15" t="s">
        <v>2992</v>
      </c>
      <c r="D31" s="11" t="str">
        <f t="shared" si="1"/>
        <v>ITEM_BUY_DESC</v>
      </c>
      <c r="E31" s="11" t="s">
        <v>3037</v>
      </c>
      <c r="F31" s="11" t="s">
        <v>3038</v>
      </c>
      <c r="G31" s="8" t="s">
        <v>3040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6.5">
      <c r="A32" s="11"/>
      <c r="B32" s="10"/>
      <c r="C32" s="15" t="s">
        <v>2996</v>
      </c>
      <c r="D32" s="11" t="str">
        <f t="shared" si="1"/>
        <v>ITEM_USE_DESC</v>
      </c>
      <c r="E32" s="11" t="s">
        <v>3044</v>
      </c>
      <c r="F32" s="11" t="s">
        <v>3045</v>
      </c>
      <c r="G32" s="8" t="s">
        <v>3046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6.5">
      <c r="A33" s="14"/>
      <c r="B33" s="35"/>
      <c r="C33" s="36"/>
      <c r="D33" s="11" t="s">
        <v>3607</v>
      </c>
      <c r="E33" s="21" t="s">
        <v>2953</v>
      </c>
      <c r="F33" s="11" t="s">
        <v>3413</v>
      </c>
      <c r="G33" s="9" t="s">
        <v>2954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6.5">
      <c r="A34" s="14"/>
      <c r="B34" s="35"/>
      <c r="C34" s="36"/>
      <c r="D34" s="11" t="s">
        <v>3608</v>
      </c>
      <c r="E34" s="21" t="s">
        <v>2956</v>
      </c>
      <c r="F34" s="11" t="s">
        <v>3609</v>
      </c>
      <c r="G34" s="9" t="s">
        <v>2958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6.5">
      <c r="A35" s="14"/>
      <c r="B35" s="35"/>
      <c r="C35" s="36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6.5">
      <c r="A36" s="14"/>
      <c r="B36" s="35"/>
      <c r="C36" s="36"/>
      <c r="D36" s="13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6.5">
      <c r="A37" s="14"/>
      <c r="B37" s="35"/>
      <c r="C37" s="36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6.5">
      <c r="A38" s="14"/>
      <c r="B38" s="35"/>
      <c r="C38" s="36"/>
      <c r="D38" s="13"/>
      <c r="E38" s="13"/>
      <c r="F38" s="37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6.5">
      <c r="A39" s="14"/>
      <c r="B39" s="35"/>
      <c r="C39" s="36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6.5">
      <c r="A40" s="14"/>
      <c r="B40" s="35"/>
      <c r="C40" s="36"/>
      <c r="D40" s="13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6.5">
      <c r="A41" s="14"/>
      <c r="B41" s="35"/>
      <c r="C41" s="36"/>
      <c r="D41" s="13"/>
      <c r="E41" s="2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6.5">
      <c r="A42" s="14"/>
      <c r="B42" s="35"/>
      <c r="C42" s="36"/>
      <c r="D42" s="13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6.5">
      <c r="A43" s="14"/>
      <c r="B43" s="35"/>
      <c r="C43" s="36"/>
      <c r="D43" s="13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6.5">
      <c r="A44" s="14"/>
      <c r="B44" s="35"/>
      <c r="C44" s="36"/>
      <c r="D44" s="13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6.5">
      <c r="A45" s="14"/>
      <c r="B45" s="35"/>
      <c r="C45" s="36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6.5">
      <c r="A46" s="14"/>
      <c r="B46" s="35"/>
      <c r="C46" s="36"/>
      <c r="D46" s="13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6.5">
      <c r="A47" s="14"/>
      <c r="B47" s="35"/>
      <c r="C47" s="36"/>
      <c r="D47" s="13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6.5">
      <c r="A48" s="14"/>
      <c r="B48" s="35"/>
      <c r="C48" s="36"/>
      <c r="D48" s="13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6.5">
      <c r="A49" s="14"/>
      <c r="B49" s="35"/>
      <c r="C49" s="36"/>
      <c r="D49" s="13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6.5">
      <c r="A50" s="14"/>
      <c r="B50" s="35"/>
      <c r="C50" s="36"/>
      <c r="D50" s="13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6.5">
      <c r="A51" s="14"/>
      <c r="B51" s="35"/>
      <c r="C51" s="36"/>
      <c r="D51" s="13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6.5">
      <c r="A52" s="14"/>
      <c r="B52" s="35"/>
      <c r="C52" s="36"/>
      <c r="D52" s="13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6.5">
      <c r="A53" s="14"/>
      <c r="B53" s="35"/>
      <c r="C53" s="36"/>
      <c r="D53" s="13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6.5">
      <c r="A54" s="14"/>
      <c r="B54" s="35"/>
      <c r="C54" s="36"/>
      <c r="D54" s="13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6.5">
      <c r="A55" s="14"/>
      <c r="B55" s="35"/>
      <c r="C55" s="36"/>
      <c r="D55" s="13"/>
      <c r="E55" s="13"/>
      <c r="F55" s="14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6.5">
      <c r="A56" s="14"/>
      <c r="B56" s="35"/>
      <c r="C56" s="36"/>
      <c r="D56" s="13"/>
      <c r="E56" s="13"/>
      <c r="F56" s="14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6.5">
      <c r="A57" s="14"/>
      <c r="B57" s="35"/>
      <c r="C57" s="36"/>
      <c r="D57" s="13"/>
      <c r="E57" s="13"/>
      <c r="F57" s="14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6.5">
      <c r="A58" s="14"/>
      <c r="B58" s="35"/>
      <c r="C58" s="36"/>
      <c r="D58" s="13"/>
      <c r="E58" s="13"/>
      <c r="F58" s="14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6.5">
      <c r="A59" s="14"/>
      <c r="B59" s="35"/>
      <c r="C59" s="36"/>
      <c r="D59" s="13"/>
      <c r="E59" s="13"/>
      <c r="F59" s="14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6.5">
      <c r="A60" s="14"/>
      <c r="B60" s="35"/>
      <c r="C60" s="36"/>
      <c r="D60" s="13"/>
      <c r="E60" s="13"/>
      <c r="F60" s="14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6.5">
      <c r="A61" s="14"/>
      <c r="B61" s="35"/>
      <c r="C61" s="36"/>
      <c r="D61" s="13"/>
      <c r="E61" s="13"/>
      <c r="F61" s="14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6.5">
      <c r="A62" s="14"/>
      <c r="B62" s="35"/>
      <c r="C62" s="36"/>
      <c r="D62" s="13"/>
      <c r="E62" s="13"/>
      <c r="F62" s="14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6.5">
      <c r="A63" s="14"/>
      <c r="B63" s="35"/>
      <c r="C63" s="36"/>
      <c r="D63" s="13"/>
      <c r="E63" s="13"/>
      <c r="F63" s="14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6.5">
      <c r="A64" s="14"/>
      <c r="B64" s="35"/>
      <c r="C64" s="36"/>
      <c r="D64" s="13"/>
      <c r="E64" s="13"/>
      <c r="F64" s="14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6.5">
      <c r="A65" s="14"/>
      <c r="B65" s="35"/>
      <c r="C65" s="36"/>
      <c r="D65" s="13"/>
      <c r="E65" s="13"/>
      <c r="F65" s="14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6.5">
      <c r="A66" s="14"/>
      <c r="B66" s="35"/>
      <c r="C66" s="36"/>
      <c r="D66" s="13"/>
      <c r="E66" s="13"/>
      <c r="F66" s="14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6.5">
      <c r="A67" s="14"/>
      <c r="B67" s="35"/>
      <c r="C67" s="36"/>
      <c r="D67" s="13"/>
      <c r="E67" s="13"/>
      <c r="F67" s="14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6.5">
      <c r="A68" s="14"/>
      <c r="B68" s="35"/>
      <c r="C68" s="36"/>
      <c r="D68" s="13"/>
      <c r="E68" s="13"/>
      <c r="F68" s="14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6.5">
      <c r="A69" s="14"/>
      <c r="B69" s="35"/>
      <c r="C69" s="36"/>
      <c r="D69" s="13"/>
      <c r="E69" s="13"/>
      <c r="F69" s="14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6.5">
      <c r="A70" s="14"/>
      <c r="B70" s="35"/>
      <c r="C70" s="36"/>
      <c r="D70" s="13"/>
      <c r="E70" s="13"/>
      <c r="F70" s="14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6.5">
      <c r="A71" s="14"/>
      <c r="B71" s="35"/>
      <c r="C71" s="36"/>
      <c r="D71" s="13"/>
      <c r="E71" s="13"/>
      <c r="F71" s="14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6.5">
      <c r="A72" s="14"/>
      <c r="B72" s="35"/>
      <c r="C72" s="36"/>
      <c r="D72" s="13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6.5">
      <c r="A73" s="14"/>
      <c r="B73" s="35"/>
      <c r="C73" s="36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6.5">
      <c r="A74" s="14"/>
      <c r="B74" s="35"/>
      <c r="C74" s="36"/>
      <c r="D74" s="13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6.5">
      <c r="A75" s="14"/>
      <c r="B75" s="35"/>
      <c r="C75" s="36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6.5">
      <c r="A76" s="14"/>
      <c r="B76" s="35"/>
      <c r="C76" s="36"/>
      <c r="D76" s="13"/>
      <c r="E76" s="13"/>
      <c r="F76" s="37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6.5">
      <c r="A77" s="14"/>
      <c r="B77" s="35"/>
      <c r="C77" s="36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6.5">
      <c r="A78" s="14"/>
      <c r="B78" s="35"/>
      <c r="C78" s="36"/>
      <c r="D78" s="13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6.5">
      <c r="A79" s="14"/>
      <c r="B79" s="35"/>
      <c r="C79" s="36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6.5">
      <c r="A80" s="14"/>
      <c r="B80" s="38"/>
      <c r="C80" s="39"/>
      <c r="D80" s="13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6.5">
      <c r="A81" s="14"/>
      <c r="B81" s="38"/>
      <c r="C81" s="39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6.5">
      <c r="A82" s="14"/>
      <c r="B82" s="38"/>
      <c r="C82" s="39"/>
      <c r="D82" s="13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6.5">
      <c r="A83" s="14"/>
      <c r="B83" s="38"/>
      <c r="C83" s="39"/>
      <c r="D83" s="13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6.5">
      <c r="A84" s="14"/>
      <c r="B84" s="38"/>
      <c r="C84" s="39"/>
      <c r="D84" s="13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6.5">
      <c r="A85" s="14"/>
      <c r="B85" s="38"/>
      <c r="C85" s="39"/>
      <c r="D85" s="13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6.5">
      <c r="A86" s="14"/>
      <c r="B86" s="38"/>
      <c r="C86" s="39"/>
      <c r="D86" s="13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6.5">
      <c r="A87" s="14"/>
      <c r="B87" s="38"/>
      <c r="C87" s="39"/>
      <c r="D87" s="13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6.5">
      <c r="A88" s="14"/>
      <c r="B88" s="38"/>
      <c r="C88" s="39"/>
      <c r="D88" s="13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6.5">
      <c r="A89" s="14"/>
      <c r="B89" s="38"/>
      <c r="C89" s="39"/>
      <c r="D89" s="13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6.5">
      <c r="A90" s="14"/>
      <c r="B90" s="38"/>
      <c r="C90" s="39"/>
      <c r="D90" s="13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6.5">
      <c r="A91" s="14"/>
      <c r="B91" s="38"/>
      <c r="C91" s="39"/>
      <c r="D91" s="13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6.5">
      <c r="A92" s="14"/>
      <c r="B92" s="38"/>
      <c r="C92" s="39"/>
      <c r="D92" s="1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6.5">
      <c r="A93" s="14"/>
      <c r="B93" s="38"/>
      <c r="C93" s="39"/>
      <c r="D93" s="13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6.5">
      <c r="A94" s="14"/>
      <c r="B94" s="38"/>
      <c r="C94" s="39"/>
      <c r="D94" s="13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6.5">
      <c r="A95" s="14"/>
      <c r="B95" s="38"/>
      <c r="C95" s="39"/>
      <c r="D95" s="13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6.5">
      <c r="A96" s="14"/>
      <c r="B96" s="38"/>
      <c r="C96" s="39"/>
      <c r="D96" s="13"/>
      <c r="E96" s="2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6.5">
      <c r="A97" s="14"/>
      <c r="B97" s="38"/>
      <c r="C97" s="39"/>
      <c r="D97" s="13"/>
      <c r="E97" s="2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6.5">
      <c r="A98" s="14"/>
      <c r="B98" s="38"/>
      <c r="C98" s="39"/>
      <c r="D98" s="13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6.5">
      <c r="A99" s="14"/>
      <c r="B99" s="38"/>
      <c r="C99" s="39"/>
      <c r="D99" s="13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>
      <c r="A100" s="14"/>
      <c r="B100" s="38"/>
      <c r="C100" s="39"/>
      <c r="D100" s="13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>
      <c r="A101" s="14"/>
      <c r="B101" s="38"/>
      <c r="C101" s="39"/>
      <c r="D101" s="13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>
      <c r="A102" s="14"/>
      <c r="B102" s="38"/>
      <c r="C102" s="39"/>
      <c r="D102" s="13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>
      <c r="A103" s="14"/>
      <c r="B103" s="38"/>
      <c r="C103" s="39"/>
      <c r="D103" s="13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>
      <c r="A104" s="14"/>
      <c r="B104" s="38"/>
      <c r="C104" s="39"/>
      <c r="D104" s="13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>
      <c r="A105" s="14"/>
      <c r="B105" s="38"/>
      <c r="C105" s="39"/>
      <c r="D105" s="13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>
      <c r="A106" s="14"/>
      <c r="B106" s="38"/>
      <c r="C106" s="39"/>
      <c r="D106" s="13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>
      <c r="A107" s="14"/>
      <c r="B107" s="38"/>
      <c r="C107" s="39"/>
      <c r="D107" s="13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>
      <c r="A108" s="14"/>
      <c r="B108" s="38"/>
      <c r="C108" s="39"/>
      <c r="D108" s="13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>
      <c r="A109" s="14"/>
      <c r="B109" s="38"/>
      <c r="C109" s="39"/>
      <c r="D109" s="13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>
      <c r="A110" s="14"/>
      <c r="B110" s="38"/>
      <c r="C110" s="39"/>
      <c r="D110" s="13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>
      <c r="A111" s="14"/>
      <c r="B111" s="38"/>
      <c r="C111" s="39"/>
      <c r="D111" s="13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>
      <c r="A112" s="14"/>
      <c r="B112" s="38"/>
      <c r="C112" s="39"/>
      <c r="D112" s="13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>
      <c r="A113" s="14"/>
      <c r="B113" s="38"/>
      <c r="C113" s="39"/>
      <c r="D113" s="13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>
      <c r="A114" s="14"/>
      <c r="B114" s="38"/>
      <c r="C114" s="39"/>
      <c r="D114" s="13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>
      <c r="A115" s="14"/>
      <c r="B115" s="38"/>
      <c r="C115" s="39"/>
      <c r="D115" s="13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>
      <c r="A116" s="14"/>
      <c r="B116" s="38"/>
      <c r="C116" s="39"/>
      <c r="D116" s="13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>
      <c r="A117" s="14"/>
      <c r="B117" s="38"/>
      <c r="C117" s="39"/>
      <c r="D117" s="13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>
      <c r="A118" s="14"/>
      <c r="B118" s="38"/>
      <c r="C118" s="39"/>
      <c r="D118" s="13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>
      <c r="A119" s="14"/>
      <c r="B119" s="38"/>
      <c r="C119" s="39"/>
      <c r="D119" s="13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>
      <c r="A120" s="14"/>
      <c r="B120" s="38"/>
      <c r="C120" s="39"/>
      <c r="D120" s="13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>
      <c r="A121" s="14"/>
      <c r="B121" s="38"/>
      <c r="C121" s="39"/>
      <c r="D121" s="13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>
      <c r="A122" s="14"/>
      <c r="B122" s="38"/>
      <c r="C122" s="39"/>
      <c r="D122" s="13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>
      <c r="A123" s="14"/>
      <c r="B123" s="38"/>
      <c r="C123" s="39"/>
      <c r="D123" s="13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>
      <c r="A124" s="14"/>
      <c r="B124" s="38"/>
      <c r="C124" s="39"/>
      <c r="D124" s="13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>
      <c r="A125" s="14"/>
      <c r="B125" s="38"/>
      <c r="C125" s="39"/>
      <c r="D125" s="13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>
      <c r="A126" s="14"/>
      <c r="B126" s="38"/>
      <c r="C126" s="39"/>
      <c r="D126" s="13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>
      <c r="A127" s="14"/>
      <c r="B127" s="38"/>
      <c r="C127" s="39"/>
      <c r="D127" s="13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>
      <c r="A128" s="14"/>
      <c r="B128" s="14"/>
      <c r="C128" s="13"/>
      <c r="D128" s="13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>
      <c r="A129" s="14"/>
      <c r="B129" s="14"/>
      <c r="C129" s="13"/>
      <c r="D129" s="13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>
      <c r="A130" s="14"/>
      <c r="B130" s="14"/>
      <c r="C130" s="13"/>
      <c r="D130" s="13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>
      <c r="A131" s="14"/>
      <c r="B131" s="14"/>
      <c r="C131" s="13"/>
      <c r="D131" s="13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>
      <c r="A132" s="14"/>
      <c r="B132" s="14"/>
      <c r="C132" s="13"/>
      <c r="D132" s="13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>
      <c r="A133" s="14"/>
      <c r="B133" s="14"/>
      <c r="C133" s="13"/>
      <c r="D133" s="13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>
      <c r="A134" s="14"/>
      <c r="B134" s="14"/>
      <c r="C134" s="13"/>
      <c r="D134" s="13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>
      <c r="A135" s="14"/>
      <c r="B135" s="14"/>
      <c r="C135" s="13"/>
      <c r="D135" s="13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>
      <c r="A136" s="14"/>
      <c r="B136" s="14"/>
      <c r="C136" s="13"/>
      <c r="D136" s="13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>
      <c r="A137" s="14"/>
      <c r="B137" s="14"/>
      <c r="C137" s="13"/>
      <c r="D137" s="13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>
      <c r="A138" s="14"/>
      <c r="B138" s="14"/>
      <c r="C138" s="13"/>
      <c r="D138" s="13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>
      <c r="A139" s="14"/>
      <c r="B139" s="14"/>
      <c r="C139" s="13"/>
      <c r="D139" s="13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>
      <c r="A140" s="14"/>
      <c r="B140" s="14"/>
      <c r="C140" s="13"/>
      <c r="D140" s="13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>
      <c r="A141" s="14"/>
      <c r="B141" s="14"/>
      <c r="C141" s="13"/>
      <c r="D141" s="13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>
      <c r="A142" s="14"/>
      <c r="B142" s="14"/>
      <c r="C142" s="13"/>
      <c r="D142" s="13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>
      <c r="A143" s="14"/>
      <c r="B143" s="14"/>
      <c r="C143" s="13"/>
      <c r="D143" s="13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>
      <c r="A144" s="14"/>
      <c r="B144" s="14"/>
      <c r="C144" s="13"/>
      <c r="D144" s="13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>
      <c r="A145" s="14"/>
      <c r="B145" s="14"/>
      <c r="C145" s="13"/>
      <c r="D145" s="13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>
      <c r="A146" s="14"/>
      <c r="B146" s="14"/>
      <c r="C146" s="13"/>
      <c r="D146" s="13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>
      <c r="A147" s="14"/>
      <c r="B147" s="14"/>
      <c r="C147" s="13"/>
      <c r="D147" s="13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>
      <c r="A148" s="14"/>
      <c r="B148" s="14"/>
      <c r="C148" s="13"/>
      <c r="D148" s="13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>
      <c r="A149" s="14"/>
      <c r="B149" s="14"/>
      <c r="C149" s="13"/>
      <c r="D149" s="13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>
      <c r="A150" s="14"/>
      <c r="B150" s="14"/>
      <c r="C150" s="13"/>
      <c r="D150" s="13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>
      <c r="A151" s="14"/>
      <c r="B151" s="14"/>
      <c r="C151" s="13"/>
      <c r="D151" s="13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>
      <c r="A152" s="14"/>
      <c r="B152" s="14"/>
      <c r="C152" s="13"/>
      <c r="D152" s="13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>
      <c r="A153" s="14"/>
      <c r="B153" s="14"/>
      <c r="C153" s="13"/>
      <c r="D153" s="13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>
      <c r="A154" s="14"/>
      <c r="B154" s="14"/>
      <c r="C154" s="13"/>
      <c r="D154" s="13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>
      <c r="A155" s="14"/>
      <c r="B155" s="14"/>
      <c r="C155" s="13"/>
      <c r="D155" s="13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>
      <c r="A156" s="14"/>
      <c r="B156" s="14"/>
      <c r="C156" s="13"/>
      <c r="D156" s="13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>
      <c r="A157" s="14"/>
      <c r="B157" s="14"/>
      <c r="C157" s="13"/>
      <c r="D157" s="13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>
      <c r="A158" s="14"/>
      <c r="B158" s="14"/>
      <c r="C158" s="13"/>
      <c r="D158" s="13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>
      <c r="A159" s="14"/>
      <c r="B159" s="14"/>
      <c r="C159" s="13"/>
      <c r="D159" s="13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>
      <c r="A160" s="14"/>
      <c r="B160" s="14"/>
      <c r="C160" s="13"/>
      <c r="D160" s="13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>
      <c r="A161" s="14"/>
      <c r="B161" s="14"/>
      <c r="C161" s="13"/>
      <c r="D161" s="13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>
      <c r="A162" s="14"/>
      <c r="B162" s="14"/>
      <c r="C162" s="13"/>
      <c r="D162" s="13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>
      <c r="A163" s="14"/>
      <c r="B163" s="14"/>
      <c r="C163" s="13"/>
      <c r="D163" s="13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>
      <c r="A164" s="14"/>
      <c r="B164" s="14"/>
      <c r="C164" s="13"/>
      <c r="D164" s="13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>
      <c r="A165" s="14"/>
      <c r="B165" s="14"/>
      <c r="C165" s="13"/>
      <c r="D165" s="13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>
      <c r="A166" s="14"/>
      <c r="B166" s="14"/>
      <c r="C166" s="13"/>
      <c r="D166" s="13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>
      <c r="A167" s="14"/>
      <c r="B167" s="14"/>
      <c r="C167" s="13"/>
      <c r="D167" s="13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>
      <c r="A168" s="14"/>
      <c r="B168" s="14"/>
      <c r="C168" s="13"/>
      <c r="D168" s="13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>
      <c r="A169" s="14"/>
      <c r="B169" s="14"/>
      <c r="C169" s="13"/>
      <c r="D169" s="13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>
      <c r="A170" s="14"/>
      <c r="B170" s="14"/>
      <c r="C170" s="13"/>
      <c r="D170" s="13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>
      <c r="A171" s="14"/>
      <c r="B171" s="14"/>
      <c r="C171" s="13"/>
      <c r="D171" s="13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>
      <c r="A172" s="14"/>
      <c r="B172" s="14"/>
      <c r="C172" s="13"/>
      <c r="D172" s="13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>
      <c r="A173" s="14"/>
      <c r="B173" s="14"/>
      <c r="C173" s="13"/>
      <c r="D173" s="13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>
      <c r="A174" s="14"/>
      <c r="B174" s="14"/>
      <c r="C174" s="13"/>
      <c r="D174" s="13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>
      <c r="A175" s="14"/>
      <c r="B175" s="14"/>
      <c r="C175" s="13"/>
      <c r="D175" s="13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>
      <c r="A176" s="14"/>
      <c r="B176" s="14"/>
      <c r="C176" s="13"/>
      <c r="D176" s="13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>
      <c r="A177" s="14"/>
      <c r="B177" s="14"/>
      <c r="C177" s="13"/>
      <c r="D177" s="13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>
      <c r="A178" s="14"/>
      <c r="B178" s="14"/>
      <c r="C178" s="13"/>
      <c r="D178" s="13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>
      <c r="A179" s="14"/>
      <c r="B179" s="14"/>
      <c r="C179" s="13"/>
      <c r="D179" s="13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>
      <c r="A180" s="14"/>
      <c r="B180" s="14"/>
      <c r="C180" s="13"/>
      <c r="D180" s="13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>
      <c r="A181" s="14"/>
      <c r="B181" s="14"/>
      <c r="C181" s="13"/>
      <c r="D181" s="13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>
      <c r="A182" s="14"/>
      <c r="B182" s="14"/>
      <c r="C182" s="13"/>
      <c r="D182" s="13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>
      <c r="A183" s="14"/>
      <c r="B183" s="14"/>
      <c r="C183" s="13"/>
      <c r="D183" s="13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>
      <c r="A184" s="14"/>
      <c r="B184" s="14"/>
      <c r="C184" s="13"/>
      <c r="D184" s="13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>
      <c r="A185" s="14"/>
      <c r="B185" s="14"/>
      <c r="C185" s="13"/>
      <c r="D185" s="13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>
      <c r="A186" s="14"/>
      <c r="B186" s="14"/>
      <c r="C186" s="13"/>
      <c r="D186" s="13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>
      <c r="A187" s="14"/>
      <c r="B187" s="14"/>
      <c r="C187" s="13"/>
      <c r="D187" s="13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>
      <c r="A188" s="14"/>
      <c r="B188" s="14"/>
      <c r="C188" s="13"/>
      <c r="D188" s="13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>
      <c r="A189" s="14"/>
      <c r="B189" s="14"/>
      <c r="C189" s="13"/>
      <c r="D189" s="13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>
      <c r="A190" s="14"/>
      <c r="B190" s="14"/>
      <c r="C190" s="13"/>
      <c r="D190" s="13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>
      <c r="A191" s="14"/>
      <c r="B191" s="14"/>
      <c r="C191" s="13"/>
      <c r="D191" s="13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>
      <c r="A192" s="14"/>
      <c r="B192" s="14"/>
      <c r="C192" s="13"/>
      <c r="D192" s="13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>
      <c r="A193" s="14"/>
      <c r="B193" s="14"/>
      <c r="C193" s="13"/>
      <c r="D193" s="13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>
      <c r="A194" s="14"/>
      <c r="B194" s="14"/>
      <c r="C194" s="13"/>
      <c r="D194" s="13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>
      <c r="A195" s="14"/>
      <c r="B195" s="14"/>
      <c r="C195" s="13"/>
      <c r="D195" s="13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>
      <c r="A196" s="14"/>
      <c r="B196" s="14"/>
      <c r="C196" s="13"/>
      <c r="D196" s="13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>
      <c r="A197" s="14"/>
      <c r="B197" s="14"/>
      <c r="C197" s="13"/>
      <c r="D197" s="13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>
      <c r="A198" s="14"/>
      <c r="B198" s="14"/>
      <c r="C198" s="13"/>
      <c r="D198" s="13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>
      <c r="A199" s="14"/>
      <c r="B199" s="14"/>
      <c r="C199" s="13"/>
      <c r="D199" s="13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>
      <c r="A200" s="14"/>
      <c r="B200" s="14"/>
      <c r="C200" s="13"/>
      <c r="D200" s="13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>
      <c r="A201" s="14"/>
      <c r="B201" s="14"/>
      <c r="C201" s="13"/>
      <c r="D201" s="13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>
      <c r="A202" s="14"/>
      <c r="B202" s="14"/>
      <c r="C202" s="13"/>
      <c r="D202" s="13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>
      <c r="A203" s="14"/>
      <c r="B203" s="14"/>
      <c r="C203" s="13"/>
      <c r="D203" s="13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>
      <c r="A204" s="14"/>
      <c r="B204" s="14"/>
      <c r="C204" s="13"/>
      <c r="D204" s="13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>
      <c r="A205" s="14"/>
      <c r="B205" s="14"/>
      <c r="C205" s="13"/>
      <c r="D205" s="13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>
      <c r="A206" s="14"/>
      <c r="B206" s="14"/>
      <c r="C206" s="13"/>
      <c r="D206" s="13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>
      <c r="A207" s="14"/>
      <c r="B207" s="14"/>
      <c r="C207" s="13"/>
      <c r="D207" s="13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>
      <c r="A208" s="14"/>
      <c r="B208" s="14"/>
      <c r="C208" s="13"/>
      <c r="D208" s="13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>
      <c r="A209" s="14"/>
      <c r="B209" s="14"/>
      <c r="C209" s="13"/>
      <c r="D209" s="13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>
      <c r="A210" s="14"/>
      <c r="B210" s="14"/>
      <c r="C210" s="13"/>
      <c r="D210" s="13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>
      <c r="A211" s="14"/>
      <c r="B211" s="14"/>
      <c r="C211" s="13"/>
      <c r="D211" s="13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>
      <c r="A212" s="14"/>
      <c r="B212" s="14"/>
      <c r="C212" s="13"/>
      <c r="D212" s="13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>
      <c r="A213" s="14"/>
      <c r="B213" s="14"/>
      <c r="C213" s="13"/>
      <c r="D213" s="13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>
      <c r="A214" s="14"/>
      <c r="B214" s="14"/>
      <c r="C214" s="13"/>
      <c r="D214" s="13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>
      <c r="A215" s="14"/>
      <c r="B215" s="14"/>
      <c r="C215" s="13"/>
      <c r="D215" s="13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>
      <c r="A216" s="14"/>
      <c r="B216" s="14"/>
      <c r="C216" s="13"/>
      <c r="D216" s="13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>
      <c r="A217" s="14"/>
      <c r="B217" s="14"/>
      <c r="C217" s="13"/>
      <c r="D217" s="13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>
      <c r="A218" s="14"/>
      <c r="B218" s="14"/>
      <c r="C218" s="13"/>
      <c r="D218" s="13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>
      <c r="A219" s="14"/>
      <c r="B219" s="14"/>
      <c r="C219" s="13"/>
      <c r="D219" s="13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>
      <c r="A220" s="14"/>
      <c r="B220" s="14"/>
      <c r="C220" s="13"/>
      <c r="D220" s="13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>
      <c r="A221" s="14"/>
      <c r="B221" s="14"/>
      <c r="C221" s="13"/>
      <c r="D221" s="13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>
      <c r="A222" s="14"/>
      <c r="B222" s="14"/>
      <c r="C222" s="13"/>
      <c r="D222" s="13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>
      <c r="A223" s="14"/>
      <c r="B223" s="14"/>
      <c r="C223" s="13"/>
      <c r="D223" s="13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>
      <c r="A224" s="14"/>
      <c r="B224" s="14"/>
      <c r="C224" s="13"/>
      <c r="D224" s="13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>
      <c r="A225" s="14"/>
      <c r="B225" s="14"/>
      <c r="C225" s="13"/>
      <c r="D225" s="13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>
      <c r="A226" s="14"/>
      <c r="B226" s="14"/>
      <c r="C226" s="13"/>
      <c r="D226" s="13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>
      <c r="A227" s="14"/>
      <c r="B227" s="14"/>
      <c r="C227" s="13"/>
      <c r="D227" s="13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>
      <c r="A228" s="14"/>
      <c r="B228" s="14"/>
      <c r="C228" s="13"/>
      <c r="D228" s="13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>
      <c r="A229" s="14"/>
      <c r="B229" s="14"/>
      <c r="C229" s="13"/>
      <c r="D229" s="13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>
      <c r="A230" s="14"/>
      <c r="B230" s="14"/>
      <c r="C230" s="13"/>
      <c r="D230" s="13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>
      <c r="A231" s="14"/>
      <c r="B231" s="14"/>
      <c r="C231" s="13"/>
      <c r="D231" s="13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>
      <c r="A232" s="14"/>
      <c r="B232" s="14"/>
      <c r="C232" s="13"/>
      <c r="D232" s="13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>
      <c r="A233" s="14"/>
      <c r="B233" s="14"/>
      <c r="C233" s="13"/>
      <c r="D233" s="13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>
      <c r="A234" s="14"/>
      <c r="B234" s="14"/>
      <c r="C234" s="13"/>
      <c r="D234" s="13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>
      <c r="A235" s="14"/>
      <c r="B235" s="14"/>
      <c r="C235" s="13"/>
      <c r="D235" s="13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>
      <c r="A236" s="14"/>
      <c r="B236" s="14"/>
      <c r="C236" s="13"/>
      <c r="D236" s="13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>
      <c r="A237" s="14"/>
      <c r="B237" s="14"/>
      <c r="C237" s="13"/>
      <c r="D237" s="13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>
      <c r="A238" s="14"/>
      <c r="B238" s="14"/>
      <c r="C238" s="13"/>
      <c r="D238" s="13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>
      <c r="A239" s="14"/>
      <c r="B239" s="14"/>
      <c r="C239" s="13"/>
      <c r="D239" s="13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>
      <c r="A240" s="14"/>
      <c r="B240" s="14"/>
      <c r="C240" s="13"/>
      <c r="D240" s="13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>
      <c r="A241" s="14"/>
      <c r="B241" s="14"/>
      <c r="C241" s="13"/>
      <c r="D241" s="13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>
      <c r="A242" s="14"/>
      <c r="B242" s="14"/>
      <c r="C242" s="13"/>
      <c r="D242" s="13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>
      <c r="A243" s="14"/>
      <c r="B243" s="14"/>
      <c r="C243" s="13"/>
      <c r="D243" s="13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>
      <c r="A244" s="14"/>
      <c r="B244" s="14"/>
      <c r="C244" s="13"/>
      <c r="D244" s="13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>
      <c r="A245" s="14"/>
      <c r="B245" s="14"/>
      <c r="C245" s="13"/>
      <c r="D245" s="13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>
      <c r="A246" s="14"/>
      <c r="B246" s="14"/>
      <c r="C246" s="13"/>
      <c r="D246" s="13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>
      <c r="A247" s="14"/>
      <c r="B247" s="14"/>
      <c r="C247" s="13"/>
      <c r="D247" s="13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>
      <c r="A248" s="14"/>
      <c r="B248" s="14"/>
      <c r="C248" s="13"/>
      <c r="D248" s="13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>
      <c r="A249" s="14"/>
      <c r="B249" s="14"/>
      <c r="C249" s="13"/>
      <c r="D249" s="13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>
      <c r="A250" s="14"/>
      <c r="B250" s="14"/>
      <c r="C250" s="13"/>
      <c r="D250" s="13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>
      <c r="A251" s="14"/>
      <c r="B251" s="14"/>
      <c r="C251" s="13"/>
      <c r="D251" s="13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>
      <c r="A252" s="14"/>
      <c r="B252" s="14"/>
      <c r="C252" s="13"/>
      <c r="D252" s="13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>
      <c r="A253" s="14"/>
      <c r="B253" s="14"/>
      <c r="C253" s="13"/>
      <c r="D253" s="13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>
      <c r="A254" s="14"/>
      <c r="B254" s="14"/>
      <c r="C254" s="13"/>
      <c r="D254" s="13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>
      <c r="A255" s="14"/>
      <c r="B255" s="14"/>
      <c r="C255" s="13"/>
      <c r="D255" s="13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>
      <c r="A256" s="14"/>
      <c r="B256" s="14"/>
      <c r="C256" s="13"/>
      <c r="D256" s="13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>
      <c r="A257" s="14"/>
      <c r="B257" s="14"/>
      <c r="C257" s="13"/>
      <c r="D257" s="13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>
      <c r="A258" s="14"/>
      <c r="B258" s="14"/>
      <c r="C258" s="13"/>
      <c r="D258" s="13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>
      <c r="A259" s="14"/>
      <c r="B259" s="14"/>
      <c r="C259" s="13"/>
      <c r="D259" s="13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>
      <c r="A260" s="14"/>
      <c r="B260" s="14"/>
      <c r="C260" s="13"/>
      <c r="D260" s="13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>
      <c r="A261" s="14"/>
      <c r="B261" s="14"/>
      <c r="C261" s="13"/>
      <c r="D261" s="13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>
      <c r="A262" s="14"/>
      <c r="B262" s="14"/>
      <c r="C262" s="13"/>
      <c r="D262" s="13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>
      <c r="A263" s="14"/>
      <c r="B263" s="14"/>
      <c r="C263" s="13"/>
      <c r="D263" s="13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>
      <c r="A264" s="14"/>
      <c r="B264" s="14"/>
      <c r="C264" s="13"/>
      <c r="D264" s="13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>
      <c r="A265" s="14"/>
      <c r="B265" s="14"/>
      <c r="C265" s="13"/>
      <c r="D265" s="13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>
      <c r="A266" s="14"/>
      <c r="B266" s="14"/>
      <c r="C266" s="13"/>
      <c r="D266" s="13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>
      <c r="A267" s="14"/>
      <c r="B267" s="14"/>
      <c r="C267" s="13"/>
      <c r="D267" s="13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>
      <c r="A268" s="14"/>
      <c r="B268" s="14"/>
      <c r="C268" s="13"/>
      <c r="D268" s="13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>
      <c r="A269" s="14"/>
      <c r="B269" s="14"/>
      <c r="C269" s="13"/>
      <c r="D269" s="13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>
      <c r="A270" s="14"/>
      <c r="B270" s="14"/>
      <c r="C270" s="13"/>
      <c r="D270" s="13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>
      <c r="A271" s="14"/>
      <c r="B271" s="14"/>
      <c r="C271" s="13"/>
      <c r="D271" s="13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>
      <c r="A272" s="14"/>
      <c r="B272" s="14"/>
      <c r="C272" s="13"/>
      <c r="D272" s="13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>
      <c r="A273" s="14"/>
      <c r="B273" s="14"/>
      <c r="C273" s="13"/>
      <c r="D273" s="13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>
      <c r="A274" s="14"/>
      <c r="B274" s="14"/>
      <c r="C274" s="13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>
      <c r="A275" s="14"/>
      <c r="B275" s="14"/>
      <c r="C275" s="13"/>
      <c r="D275" s="13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>
      <c r="A276" s="14"/>
      <c r="B276" s="14"/>
      <c r="C276" s="13"/>
      <c r="D276" s="13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>
      <c r="A277" s="14"/>
      <c r="B277" s="14"/>
      <c r="C277" s="13"/>
      <c r="D277" s="13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>
      <c r="A278" s="14"/>
      <c r="B278" s="14"/>
      <c r="C278" s="13"/>
      <c r="D278" s="13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>
      <c r="A279" s="14"/>
      <c r="B279" s="14"/>
      <c r="C279" s="13"/>
      <c r="D279" s="13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>
      <c r="A280" s="14"/>
      <c r="B280" s="14"/>
      <c r="C280" s="13"/>
      <c r="D280" s="13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>
      <c r="A281" s="14"/>
      <c r="B281" s="14"/>
      <c r="C281" s="13"/>
      <c r="D281" s="13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>
      <c r="A282" s="14"/>
      <c r="B282" s="14"/>
      <c r="C282" s="13"/>
      <c r="D282" s="13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>
      <c r="A283" s="14"/>
      <c r="B283" s="14"/>
      <c r="C283" s="13"/>
      <c r="D283" s="13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>
      <c r="A284" s="14"/>
      <c r="B284" s="14"/>
      <c r="C284" s="13"/>
      <c r="D284" s="13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>
      <c r="A285" s="14"/>
      <c r="B285" s="14"/>
      <c r="C285" s="13"/>
      <c r="D285" s="13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>
      <c r="A286" s="14"/>
      <c r="B286" s="14"/>
      <c r="C286" s="13"/>
      <c r="D286" s="13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>
      <c r="A287" s="14"/>
      <c r="B287" s="14"/>
      <c r="C287" s="13"/>
      <c r="D287" s="13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>
      <c r="A288" s="14"/>
      <c r="B288" s="14"/>
      <c r="C288" s="13"/>
      <c r="D288" s="13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>
      <c r="A289" s="14"/>
      <c r="B289" s="14"/>
      <c r="C289" s="13"/>
      <c r="D289" s="13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>
      <c r="A290" s="14"/>
      <c r="B290" s="14"/>
      <c r="C290" s="13"/>
      <c r="D290" s="13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>
      <c r="A291" s="14"/>
      <c r="B291" s="14"/>
      <c r="C291" s="13"/>
      <c r="D291" s="13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>
      <c r="A292" s="14"/>
      <c r="B292" s="14"/>
      <c r="C292" s="13"/>
      <c r="D292" s="13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>
      <c r="A293" s="14"/>
      <c r="B293" s="14"/>
      <c r="C293" s="13"/>
      <c r="D293" s="13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>
      <c r="A294" s="14"/>
      <c r="B294" s="14"/>
      <c r="C294" s="13"/>
      <c r="D294" s="13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>
      <c r="A295" s="14"/>
      <c r="B295" s="14"/>
      <c r="C295" s="13"/>
      <c r="D295" s="13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>
      <c r="A296" s="14"/>
      <c r="B296" s="14"/>
      <c r="C296" s="13"/>
      <c r="D296" s="13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>
      <c r="A297" s="14"/>
      <c r="B297" s="14"/>
      <c r="C297" s="13"/>
      <c r="D297" s="13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>
      <c r="A298" s="14"/>
      <c r="B298" s="14"/>
      <c r="C298" s="13"/>
      <c r="D298" s="13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>
      <c r="A299" s="14"/>
      <c r="B299" s="14"/>
      <c r="C299" s="13"/>
      <c r="D299" s="13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>
      <c r="A300" s="14"/>
      <c r="B300" s="14"/>
      <c r="C300" s="13"/>
      <c r="D300" s="13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>
      <c r="A301" s="14"/>
      <c r="B301" s="14"/>
      <c r="C301" s="13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>
      <c r="A302" s="14"/>
      <c r="B302" s="14"/>
      <c r="C302" s="13"/>
      <c r="D302" s="13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>
      <c r="A303" s="14"/>
      <c r="B303" s="14"/>
      <c r="C303" s="13"/>
      <c r="D303" s="13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>
      <c r="A304" s="14"/>
      <c r="B304" s="14"/>
      <c r="C304" s="13"/>
      <c r="D304" s="13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>
      <c r="A305" s="14"/>
      <c r="B305" s="14"/>
      <c r="C305" s="13"/>
      <c r="D305" s="13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>
      <c r="A306" s="14"/>
      <c r="B306" s="14"/>
      <c r="C306" s="13"/>
      <c r="D306" s="13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>
      <c r="A307" s="14"/>
      <c r="B307" s="14"/>
      <c r="C307" s="13"/>
      <c r="D307" s="13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>
      <c r="A308" s="14"/>
      <c r="B308" s="14"/>
      <c r="C308" s="13"/>
      <c r="D308" s="13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>
      <c r="A309" s="14"/>
      <c r="B309" s="14"/>
      <c r="C309" s="13"/>
      <c r="D309" s="13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>
      <c r="A310" s="14"/>
      <c r="B310" s="14"/>
      <c r="C310" s="13"/>
      <c r="D310" s="13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>
      <c r="A311" s="14"/>
      <c r="B311" s="14"/>
      <c r="C311" s="13"/>
      <c r="D311" s="13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>
      <c r="A312" s="14"/>
      <c r="B312" s="14"/>
      <c r="C312" s="13"/>
      <c r="D312" s="13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>
      <c r="A313" s="14"/>
      <c r="B313" s="14"/>
      <c r="C313" s="13"/>
      <c r="D313" s="13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>
      <c r="A314" s="14"/>
      <c r="B314" s="14"/>
      <c r="C314" s="13"/>
      <c r="D314" s="13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>
      <c r="A315" s="14"/>
      <c r="B315" s="14"/>
      <c r="C315" s="13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>
      <c r="A316" s="14"/>
      <c r="B316" s="14"/>
      <c r="C316" s="13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>
      <c r="A317" s="14"/>
      <c r="B317" s="14"/>
      <c r="C317" s="13"/>
      <c r="D317" s="13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>
      <c r="A318" s="14"/>
      <c r="B318" s="14"/>
      <c r="C318" s="13"/>
      <c r="D318" s="13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>
      <c r="A319" s="14"/>
      <c r="B319" s="14"/>
      <c r="C319" s="13"/>
      <c r="D319" s="13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>
      <c r="A320" s="14"/>
      <c r="B320" s="14"/>
      <c r="C320" s="13"/>
      <c r="D320" s="13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>
      <c r="A321" s="14"/>
      <c r="B321" s="14"/>
      <c r="C321" s="13"/>
      <c r="D321" s="13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>
      <c r="A322" s="14"/>
      <c r="B322" s="14"/>
      <c r="C322" s="13"/>
      <c r="D322" s="13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>
      <c r="A323" s="14"/>
      <c r="B323" s="14"/>
      <c r="C323" s="13"/>
      <c r="D323" s="13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>
      <c r="A324" s="14"/>
      <c r="B324" s="14"/>
      <c r="C324" s="13"/>
      <c r="D324" s="13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>
      <c r="A325" s="14"/>
      <c r="B325" s="14"/>
      <c r="C325" s="13"/>
      <c r="D325" s="13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>
      <c r="A326" s="14"/>
      <c r="B326" s="14"/>
      <c r="C326" s="13"/>
      <c r="D326" s="13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>
      <c r="A327" s="14"/>
      <c r="B327" s="14"/>
      <c r="C327" s="13"/>
      <c r="D327" s="13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>
      <c r="A328" s="14"/>
      <c r="B328" s="14"/>
      <c r="C328" s="13"/>
      <c r="D328" s="13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>
      <c r="A329" s="14"/>
      <c r="B329" s="14"/>
      <c r="C329" s="13"/>
      <c r="D329" s="13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>
      <c r="A330" s="14"/>
      <c r="B330" s="14"/>
      <c r="C330" s="13"/>
      <c r="D330" s="13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>
      <c r="A331" s="14"/>
      <c r="B331" s="14"/>
      <c r="C331" s="13"/>
      <c r="D331" s="13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>
      <c r="A332" s="14"/>
      <c r="B332" s="14"/>
      <c r="C332" s="13"/>
      <c r="D332" s="13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>
      <c r="A333" s="14"/>
      <c r="B333" s="14"/>
      <c r="C333" s="13"/>
      <c r="D333" s="13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>
      <c r="A334" s="14"/>
      <c r="B334" s="14"/>
      <c r="C334" s="13"/>
      <c r="D334" s="13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>
      <c r="A335" s="14"/>
      <c r="B335" s="14"/>
      <c r="C335" s="13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>
      <c r="A336" s="14"/>
      <c r="B336" s="14"/>
      <c r="C336" s="13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>
      <c r="A337" s="14"/>
      <c r="B337" s="14"/>
      <c r="C337" s="13"/>
      <c r="D337" s="13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>
      <c r="A338" s="14"/>
      <c r="B338" s="14"/>
      <c r="C338" s="13"/>
      <c r="D338" s="13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>
      <c r="A339" s="14"/>
      <c r="B339" s="14"/>
      <c r="C339" s="13"/>
      <c r="D339" s="13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>
      <c r="A340" s="14"/>
      <c r="B340" s="14"/>
      <c r="C340" s="13"/>
      <c r="D340" s="13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>
      <c r="A341" s="14"/>
      <c r="B341" s="14"/>
      <c r="C341" s="13"/>
      <c r="D341" s="13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>
      <c r="A342" s="14"/>
      <c r="B342" s="14"/>
      <c r="C342" s="13"/>
      <c r="D342" s="13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>
      <c r="A343" s="14"/>
      <c r="B343" s="14"/>
      <c r="C343" s="13"/>
      <c r="D343" s="13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>
      <c r="A344" s="14"/>
      <c r="B344" s="14"/>
      <c r="C344" s="13"/>
      <c r="D344" s="13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>
      <c r="A345" s="14"/>
      <c r="B345" s="14"/>
      <c r="C345" s="13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>
      <c r="A346" s="14"/>
      <c r="B346" s="14"/>
      <c r="C346" s="13"/>
      <c r="D346" s="13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>
      <c r="A347" s="14"/>
      <c r="B347" s="14"/>
      <c r="C347" s="13"/>
      <c r="D347" s="13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>
      <c r="A348" s="14"/>
      <c r="B348" s="14"/>
      <c r="C348" s="13"/>
      <c r="D348" s="13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>
      <c r="A349" s="14"/>
      <c r="B349" s="14"/>
      <c r="C349" s="13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>
      <c r="A350" s="14"/>
      <c r="B350" s="14"/>
      <c r="C350" s="13"/>
      <c r="D350" s="13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>
      <c r="A351" s="14"/>
      <c r="B351" s="14"/>
      <c r="C351" s="13"/>
      <c r="D351" s="13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>
      <c r="A352" s="14"/>
      <c r="B352" s="14"/>
      <c r="C352" s="13"/>
      <c r="D352" s="13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>
      <c r="A353" s="14"/>
      <c r="B353" s="14"/>
      <c r="C353" s="13"/>
      <c r="D353" s="13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>
      <c r="A354" s="14"/>
      <c r="B354" s="14"/>
      <c r="C354" s="13"/>
      <c r="D354" s="13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>
      <c r="A355" s="14"/>
      <c r="B355" s="14"/>
      <c r="C355" s="13"/>
      <c r="D355" s="13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>
      <c r="A356" s="14"/>
      <c r="B356" s="14"/>
      <c r="C356" s="13"/>
      <c r="D356" s="13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>
      <c r="A357" s="14"/>
      <c r="B357" s="14"/>
      <c r="C357" s="13"/>
      <c r="D357" s="13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>
      <c r="A358" s="14"/>
      <c r="B358" s="14"/>
      <c r="C358" s="13"/>
      <c r="D358" s="13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>
      <c r="A359" s="14"/>
      <c r="B359" s="14"/>
      <c r="C359" s="13"/>
      <c r="D359" s="13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>
      <c r="A360" s="14"/>
      <c r="B360" s="14"/>
      <c r="C360" s="13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>
      <c r="A361" s="14"/>
      <c r="B361" s="14"/>
      <c r="C361" s="13"/>
      <c r="D361" s="13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>
      <c r="A362" s="14"/>
      <c r="B362" s="14"/>
      <c r="C362" s="13"/>
      <c r="D362" s="13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>
      <c r="A363" s="14"/>
      <c r="B363" s="14"/>
      <c r="C363" s="13"/>
      <c r="D363" s="13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>
      <c r="A364" s="14"/>
      <c r="B364" s="14"/>
      <c r="C364" s="13"/>
      <c r="D364" s="13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>
      <c r="A365" s="14"/>
      <c r="B365" s="14"/>
      <c r="C365" s="13"/>
      <c r="D365" s="13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>
      <c r="A366" s="14"/>
      <c r="B366" s="14"/>
      <c r="C366" s="13"/>
      <c r="D366" s="13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>
      <c r="A367" s="14"/>
      <c r="B367" s="14"/>
      <c r="C367" s="13"/>
      <c r="D367" s="13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>
      <c r="A368" s="14"/>
      <c r="B368" s="14"/>
      <c r="C368" s="13"/>
      <c r="D368" s="13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>
      <c r="A369" s="14"/>
      <c r="B369" s="14"/>
      <c r="C369" s="13"/>
      <c r="D369" s="13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>
      <c r="A370" s="14"/>
      <c r="B370" s="14"/>
      <c r="C370" s="13"/>
      <c r="D370" s="13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>
      <c r="A371" s="14"/>
      <c r="B371" s="14"/>
      <c r="C371" s="13"/>
      <c r="D371" s="13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>
      <c r="A372" s="14"/>
      <c r="B372" s="14"/>
      <c r="C372" s="13"/>
      <c r="D372" s="13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>
      <c r="A373" s="14"/>
      <c r="B373" s="14"/>
      <c r="C373" s="13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>
      <c r="A374" s="14"/>
      <c r="B374" s="14"/>
      <c r="C374" s="13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>
      <c r="A375" s="14"/>
      <c r="B375" s="14"/>
      <c r="C375" s="13"/>
      <c r="D375" s="13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>
      <c r="A376" s="14"/>
      <c r="B376" s="14"/>
      <c r="C376" s="13"/>
      <c r="D376" s="13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>
      <c r="A377" s="14"/>
      <c r="B377" s="14"/>
      <c r="C377" s="13"/>
      <c r="D377" s="13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>
      <c r="A378" s="14"/>
      <c r="B378" s="14"/>
      <c r="C378" s="13"/>
      <c r="D378" s="13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>
      <c r="A379" s="14"/>
      <c r="B379" s="14"/>
      <c r="C379" s="13"/>
      <c r="D379" s="13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>
      <c r="A380" s="14"/>
      <c r="B380" s="14"/>
      <c r="C380" s="13"/>
      <c r="D380" s="13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>
      <c r="A381" s="14"/>
      <c r="B381" s="14"/>
      <c r="C381" s="13"/>
      <c r="D381" s="13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>
      <c r="A382" s="14"/>
      <c r="B382" s="14"/>
      <c r="C382" s="13"/>
      <c r="D382" s="13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>
      <c r="A383" s="14"/>
      <c r="B383" s="14"/>
      <c r="C383" s="13"/>
      <c r="D383" s="13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>
      <c r="A384" s="14"/>
      <c r="B384" s="14"/>
      <c r="C384" s="13"/>
      <c r="D384" s="13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>
      <c r="A385" s="14"/>
      <c r="B385" s="14"/>
      <c r="C385" s="13"/>
      <c r="D385" s="13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>
      <c r="A386" s="14"/>
      <c r="B386" s="14"/>
      <c r="C386" s="13"/>
      <c r="D386" s="13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>
      <c r="A387" s="14"/>
      <c r="B387" s="14"/>
      <c r="C387" s="13"/>
      <c r="D387" s="13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>
      <c r="A388" s="14"/>
      <c r="B388" s="14"/>
      <c r="C388" s="13"/>
      <c r="D388" s="13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>
      <c r="A389" s="14"/>
      <c r="B389" s="14"/>
      <c r="C389" s="13"/>
      <c r="D389" s="13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>
      <c r="A390" s="14"/>
      <c r="B390" s="14"/>
      <c r="C390" s="13"/>
      <c r="D390" s="13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>
      <c r="A391" s="14"/>
      <c r="B391" s="14"/>
      <c r="C391" s="13"/>
      <c r="D391" s="13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>
      <c r="A392" s="14"/>
      <c r="B392" s="14"/>
      <c r="C392" s="13"/>
      <c r="D392" s="13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>
      <c r="A393" s="14"/>
      <c r="B393" s="14"/>
      <c r="C393" s="13"/>
      <c r="D393" s="13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>
      <c r="A394" s="14"/>
      <c r="B394" s="14"/>
      <c r="C394" s="13"/>
      <c r="D394" s="13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>
      <c r="A395" s="14"/>
      <c r="B395" s="14"/>
      <c r="C395" s="13"/>
      <c r="D395" s="13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>
      <c r="A396" s="14"/>
      <c r="B396" s="14"/>
      <c r="C396" s="13"/>
      <c r="D396" s="13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>
      <c r="A397" s="14"/>
      <c r="B397" s="14"/>
      <c r="C397" s="13"/>
      <c r="D397" s="13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>
      <c r="A398" s="14"/>
      <c r="B398" s="14"/>
      <c r="C398" s="13"/>
      <c r="D398" s="13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>
      <c r="A399" s="14"/>
      <c r="B399" s="14"/>
      <c r="C399" s="13"/>
      <c r="D399" s="13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>
      <c r="A400" s="14"/>
      <c r="B400" s="14"/>
      <c r="C400" s="13"/>
      <c r="D400" s="13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>
      <c r="A401" s="14"/>
      <c r="B401" s="14"/>
      <c r="C401" s="13"/>
      <c r="D401" s="13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>
      <c r="A402" s="14"/>
      <c r="B402" s="14"/>
      <c r="C402" s="13"/>
      <c r="D402" s="13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>
      <c r="A403" s="14"/>
      <c r="B403" s="14"/>
      <c r="C403" s="13"/>
      <c r="D403" s="13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>
      <c r="A404" s="14"/>
      <c r="B404" s="14"/>
      <c r="C404" s="13"/>
      <c r="D404" s="13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>
      <c r="A405" s="14"/>
      <c r="B405" s="14"/>
      <c r="C405" s="13"/>
      <c r="D405" s="13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>
      <c r="A406" s="14"/>
      <c r="B406" s="14"/>
      <c r="C406" s="13"/>
      <c r="D406" s="13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>
      <c r="A407" s="14"/>
      <c r="B407" s="14"/>
      <c r="C407" s="13"/>
      <c r="D407" s="13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>
      <c r="A408" s="14"/>
      <c r="B408" s="14"/>
      <c r="C408" s="13"/>
      <c r="D408" s="13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>
      <c r="A409" s="14"/>
      <c r="B409" s="14"/>
      <c r="C409" s="13"/>
      <c r="D409" s="13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>
      <c r="A410" s="14"/>
      <c r="B410" s="14"/>
      <c r="C410" s="13"/>
      <c r="D410" s="13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>
      <c r="A411" s="14"/>
      <c r="B411" s="14"/>
      <c r="C411" s="13"/>
      <c r="D411" s="13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>
      <c r="A412" s="14"/>
      <c r="B412" s="14"/>
      <c r="C412" s="13"/>
      <c r="D412" s="13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>
      <c r="A413" s="14"/>
      <c r="B413" s="14"/>
      <c r="C413" s="13"/>
      <c r="D413" s="13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>
      <c r="A414" s="14"/>
      <c r="B414" s="14"/>
      <c r="C414" s="13"/>
      <c r="D414" s="13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>
      <c r="A415" s="14"/>
      <c r="B415" s="14"/>
      <c r="C415" s="13"/>
      <c r="D415" s="13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>
      <c r="A416" s="14"/>
      <c r="B416" s="14"/>
      <c r="C416" s="13"/>
      <c r="D416" s="13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>
      <c r="A417" s="14"/>
      <c r="B417" s="14"/>
      <c r="C417" s="13"/>
      <c r="D417" s="13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>
      <c r="A418" s="14"/>
      <c r="B418" s="14"/>
      <c r="C418" s="13"/>
      <c r="D418" s="13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>
      <c r="A419" s="14"/>
      <c r="B419" s="14"/>
      <c r="C419" s="13"/>
      <c r="D419" s="13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>
      <c r="A420" s="14"/>
      <c r="B420" s="14"/>
      <c r="C420" s="13"/>
      <c r="D420" s="13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>
      <c r="A421" s="14"/>
      <c r="B421" s="14"/>
      <c r="C421" s="13"/>
      <c r="D421" s="13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>
      <c r="A422" s="14"/>
      <c r="B422" s="14"/>
      <c r="C422" s="13"/>
      <c r="D422" s="13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>
      <c r="A423" s="14"/>
      <c r="B423" s="14"/>
      <c r="C423" s="13"/>
      <c r="D423" s="13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>
      <c r="A424" s="14"/>
      <c r="B424" s="14"/>
      <c r="C424" s="13"/>
      <c r="D424" s="13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>
      <c r="A425" s="14"/>
      <c r="B425" s="14"/>
      <c r="C425" s="13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>
      <c r="A426" s="14"/>
      <c r="B426" s="14"/>
      <c r="C426" s="13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>
      <c r="A427" s="14"/>
      <c r="B427" s="14"/>
      <c r="C427" s="13"/>
      <c r="D427" s="13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>
      <c r="A428" s="14"/>
      <c r="B428" s="14"/>
      <c r="C428" s="13"/>
      <c r="D428" s="13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>
      <c r="A429" s="14"/>
      <c r="B429" s="14"/>
      <c r="C429" s="13"/>
      <c r="D429" s="13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>
      <c r="A430" s="14"/>
      <c r="B430" s="14"/>
      <c r="C430" s="13"/>
      <c r="D430" s="13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>
      <c r="A431" s="14"/>
      <c r="B431" s="14"/>
      <c r="C431" s="13"/>
      <c r="D431" s="13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>
      <c r="A432" s="14"/>
      <c r="B432" s="14"/>
      <c r="C432" s="13"/>
      <c r="D432" s="13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>
      <c r="A433" s="14"/>
      <c r="B433" s="14"/>
      <c r="C433" s="13"/>
      <c r="D433" s="13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>
      <c r="A434" s="14"/>
      <c r="B434" s="14"/>
      <c r="C434" s="13"/>
      <c r="D434" s="13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>
      <c r="A435" s="14"/>
      <c r="B435" s="14"/>
      <c r="C435" s="13"/>
      <c r="D435" s="13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>
      <c r="A436" s="14"/>
      <c r="B436" s="14"/>
      <c r="C436" s="13"/>
      <c r="D436" s="13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>
      <c r="A437" s="14"/>
      <c r="B437" s="14"/>
      <c r="C437" s="13"/>
      <c r="D437" s="13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>
      <c r="A438" s="14"/>
      <c r="B438" s="14"/>
      <c r="C438" s="13"/>
      <c r="D438" s="13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>
      <c r="A439" s="14"/>
      <c r="B439" s="14"/>
      <c r="C439" s="13"/>
      <c r="D439" s="13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>
      <c r="A440" s="14"/>
      <c r="B440" s="14"/>
      <c r="C440" s="13"/>
      <c r="D440" s="13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>
      <c r="A441" s="14"/>
      <c r="B441" s="14"/>
      <c r="C441" s="13"/>
      <c r="D441" s="13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>
      <c r="A442" s="14"/>
      <c r="B442" s="14"/>
      <c r="C442" s="13"/>
      <c r="D442" s="13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>
      <c r="A443" s="14"/>
      <c r="B443" s="14"/>
      <c r="C443" s="13"/>
      <c r="D443" s="13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>
      <c r="A444" s="14"/>
      <c r="B444" s="14"/>
      <c r="C444" s="13"/>
      <c r="D444" s="13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>
      <c r="A445" s="14"/>
      <c r="B445" s="14"/>
      <c r="C445" s="13"/>
      <c r="D445" s="13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>
      <c r="A446" s="14"/>
      <c r="B446" s="14"/>
      <c r="C446" s="13"/>
      <c r="D446" s="13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>
      <c r="A447" s="14"/>
      <c r="B447" s="14"/>
      <c r="C447" s="13"/>
      <c r="D447" s="13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>
      <c r="A448" s="14"/>
      <c r="B448" s="14"/>
      <c r="C448" s="13"/>
      <c r="D448" s="13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>
      <c r="A449" s="14"/>
      <c r="B449" s="14"/>
      <c r="C449" s="13"/>
      <c r="D449" s="13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>
      <c r="A450" s="14"/>
      <c r="B450" s="14"/>
      <c r="C450" s="13"/>
      <c r="D450" s="13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>
      <c r="A451" s="14"/>
      <c r="B451" s="14"/>
      <c r="C451" s="13"/>
      <c r="D451" s="13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>
      <c r="A452" s="14"/>
      <c r="B452" s="14"/>
      <c r="C452" s="13"/>
      <c r="D452" s="13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>
      <c r="A453" s="14"/>
      <c r="B453" s="14"/>
      <c r="C453" s="13"/>
      <c r="D453" s="13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>
      <c r="A454" s="14"/>
      <c r="B454" s="14"/>
      <c r="C454" s="13"/>
      <c r="D454" s="13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>
      <c r="A455" s="14"/>
      <c r="B455" s="14"/>
      <c r="C455" s="13"/>
      <c r="D455" s="13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>
      <c r="A456" s="14"/>
      <c r="B456" s="14"/>
      <c r="C456" s="13"/>
      <c r="D456" s="13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>
      <c r="A457" s="14"/>
      <c r="B457" s="14"/>
      <c r="C457" s="13"/>
      <c r="D457" s="13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>
      <c r="A458" s="14"/>
      <c r="B458" s="14"/>
      <c r="C458" s="13"/>
      <c r="D458" s="13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>
      <c r="A459" s="14"/>
      <c r="B459" s="14"/>
      <c r="C459" s="13"/>
      <c r="D459" s="13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>
      <c r="A460" s="14"/>
      <c r="B460" s="14"/>
      <c r="C460" s="13"/>
      <c r="D460" s="13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>
      <c r="A461" s="14"/>
      <c r="B461" s="14"/>
      <c r="C461" s="13"/>
      <c r="D461" s="13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>
      <c r="A462" s="14"/>
      <c r="B462" s="14"/>
      <c r="C462" s="13"/>
      <c r="D462" s="13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>
      <c r="A463" s="14"/>
      <c r="B463" s="14"/>
      <c r="C463" s="13"/>
      <c r="D463" s="13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>
      <c r="A464" s="14"/>
      <c r="B464" s="14"/>
      <c r="C464" s="13"/>
      <c r="D464" s="13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>
      <c r="A465" s="14"/>
      <c r="B465" s="14"/>
      <c r="C465" s="13"/>
      <c r="D465" s="13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>
      <c r="A466" s="14"/>
      <c r="B466" s="14"/>
      <c r="C466" s="13"/>
      <c r="D466" s="13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>
      <c r="A467" s="14"/>
      <c r="B467" s="14"/>
      <c r="C467" s="13"/>
      <c r="D467" s="13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>
      <c r="A468" s="14"/>
      <c r="B468" s="14"/>
      <c r="C468" s="13"/>
      <c r="D468" s="13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>
      <c r="A469" s="14"/>
      <c r="B469" s="14"/>
      <c r="C469" s="13"/>
      <c r="D469" s="13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>
      <c r="A470" s="14"/>
      <c r="B470" s="14"/>
      <c r="C470" s="13"/>
      <c r="D470" s="13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>
      <c r="A471" s="14"/>
      <c r="B471" s="14"/>
      <c r="C471" s="13"/>
      <c r="D471" s="13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>
      <c r="A472" s="14"/>
      <c r="B472" s="14"/>
      <c r="C472" s="13"/>
      <c r="D472" s="13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>
      <c r="A473" s="14"/>
      <c r="B473" s="14"/>
      <c r="C473" s="13"/>
      <c r="D473" s="13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>
      <c r="A474" s="14"/>
      <c r="B474" s="14"/>
      <c r="C474" s="13"/>
      <c r="D474" s="13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>
      <c r="A475" s="14"/>
      <c r="B475" s="14"/>
      <c r="C475" s="13"/>
      <c r="D475" s="13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>
      <c r="A476" s="14"/>
      <c r="B476" s="14"/>
      <c r="C476" s="13"/>
      <c r="D476" s="13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>
      <c r="A477" s="14"/>
      <c r="B477" s="14"/>
      <c r="C477" s="13"/>
      <c r="D477" s="13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>
      <c r="A478" s="14"/>
      <c r="B478" s="14"/>
      <c r="C478" s="13"/>
      <c r="D478" s="13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>
      <c r="A479" s="14"/>
      <c r="B479" s="14"/>
      <c r="C479" s="13"/>
      <c r="D479" s="13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>
      <c r="A480" s="14"/>
      <c r="B480" s="14"/>
      <c r="C480" s="13"/>
      <c r="D480" s="13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>
      <c r="A481" s="14"/>
      <c r="B481" s="14"/>
      <c r="C481" s="13"/>
      <c r="D481" s="13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>
      <c r="A482" s="14"/>
      <c r="B482" s="14"/>
      <c r="C482" s="13"/>
      <c r="D482" s="13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>
      <c r="A483" s="14"/>
      <c r="B483" s="14"/>
      <c r="C483" s="13"/>
      <c r="D483" s="13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>
      <c r="A484" s="14"/>
      <c r="B484" s="14"/>
      <c r="C484" s="13"/>
      <c r="D484" s="13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>
      <c r="A485" s="14"/>
      <c r="B485" s="14"/>
      <c r="C485" s="13"/>
      <c r="D485" s="13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>
      <c r="A486" s="14"/>
      <c r="B486" s="14"/>
      <c r="C486" s="13"/>
      <c r="D486" s="13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>
      <c r="A487" s="14"/>
      <c r="B487" s="14"/>
      <c r="C487" s="13"/>
      <c r="D487" s="13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>
      <c r="A488" s="14"/>
      <c r="B488" s="14"/>
      <c r="C488" s="13"/>
      <c r="D488" s="13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>
      <c r="A489" s="14"/>
      <c r="B489" s="14"/>
      <c r="C489" s="13"/>
      <c r="D489" s="13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>
      <c r="A490" s="14"/>
      <c r="B490" s="14"/>
      <c r="C490" s="13"/>
      <c r="D490" s="13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>
      <c r="A491" s="14"/>
      <c r="B491" s="14"/>
      <c r="C491" s="13"/>
      <c r="D491" s="13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>
      <c r="A492" s="14"/>
      <c r="B492" s="14"/>
      <c r="C492" s="13"/>
      <c r="D492" s="13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>
      <c r="A493" s="14"/>
      <c r="B493" s="14"/>
      <c r="C493" s="13"/>
      <c r="D493" s="13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>
      <c r="A494" s="14"/>
      <c r="B494" s="14"/>
      <c r="C494" s="13"/>
      <c r="D494" s="13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>
      <c r="A495" s="14"/>
      <c r="B495" s="14"/>
      <c r="C495" s="13"/>
      <c r="D495" s="13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>
      <c r="A496" s="14"/>
      <c r="B496" s="14"/>
      <c r="C496" s="13"/>
      <c r="D496" s="13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>
      <c r="A497" s="14"/>
      <c r="B497" s="14"/>
      <c r="C497" s="13"/>
      <c r="D497" s="13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>
      <c r="A498" s="14"/>
      <c r="B498" s="14"/>
      <c r="C498" s="13"/>
      <c r="D498" s="13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>
      <c r="A499" s="14"/>
      <c r="B499" s="14"/>
      <c r="C499" s="13"/>
      <c r="D499" s="13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>
      <c r="A500" s="14"/>
      <c r="B500" s="14"/>
      <c r="C500" s="13"/>
      <c r="D500" s="13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>
      <c r="A501" s="14"/>
      <c r="B501" s="14"/>
      <c r="C501" s="13"/>
      <c r="D501" s="13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>
      <c r="A502" s="14"/>
      <c r="B502" s="14"/>
      <c r="C502" s="13"/>
      <c r="D502" s="13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>
      <c r="A503" s="14"/>
      <c r="B503" s="14"/>
      <c r="C503" s="13"/>
      <c r="D503" s="13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>
      <c r="A504" s="14"/>
      <c r="B504" s="14"/>
      <c r="C504" s="13"/>
      <c r="D504" s="13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>
      <c r="A505" s="14"/>
      <c r="B505" s="14"/>
      <c r="C505" s="13"/>
      <c r="D505" s="13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>
      <c r="A506" s="14"/>
      <c r="B506" s="14"/>
      <c r="C506" s="13"/>
      <c r="D506" s="13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>
      <c r="A507" s="14"/>
      <c r="B507" s="14"/>
      <c r="C507" s="13"/>
      <c r="D507" s="13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>
      <c r="A508" s="14"/>
      <c r="B508" s="14"/>
      <c r="C508" s="13"/>
      <c r="D508" s="13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>
      <c r="A509" s="14"/>
      <c r="B509" s="14"/>
      <c r="C509" s="13"/>
      <c r="D509" s="13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>
      <c r="A510" s="14"/>
      <c r="B510" s="14"/>
      <c r="C510" s="13"/>
      <c r="D510" s="13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>
      <c r="A511" s="14"/>
      <c r="B511" s="14"/>
      <c r="C511" s="13"/>
      <c r="D511" s="13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>
      <c r="A512" s="14"/>
      <c r="B512" s="14"/>
      <c r="C512" s="13"/>
      <c r="D512" s="13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>
      <c r="A513" s="14"/>
      <c r="B513" s="14"/>
      <c r="C513" s="13"/>
      <c r="D513" s="13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>
      <c r="A514" s="14"/>
      <c r="B514" s="14"/>
      <c r="C514" s="13"/>
      <c r="D514" s="13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>
      <c r="A515" s="14"/>
      <c r="B515" s="14"/>
      <c r="C515" s="13"/>
      <c r="D515" s="13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>
      <c r="A516" s="14"/>
      <c r="B516" s="14"/>
      <c r="C516" s="13"/>
      <c r="D516" s="13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>
      <c r="A517" s="14"/>
      <c r="B517" s="14"/>
      <c r="C517" s="13"/>
      <c r="D517" s="13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>
      <c r="A518" s="14"/>
      <c r="B518" s="14"/>
      <c r="C518" s="13"/>
      <c r="D518" s="13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>
      <c r="A519" s="14"/>
      <c r="B519" s="14"/>
      <c r="C519" s="13"/>
      <c r="D519" s="13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>
      <c r="A520" s="14"/>
      <c r="B520" s="14"/>
      <c r="C520" s="13"/>
      <c r="D520" s="13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>
      <c r="A521" s="14"/>
      <c r="B521" s="14"/>
      <c r="C521" s="13"/>
      <c r="D521" s="13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>
      <c r="A522" s="14"/>
      <c r="B522" s="14"/>
      <c r="C522" s="13"/>
      <c r="D522" s="13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>
      <c r="A523" s="14"/>
      <c r="B523" s="14"/>
      <c r="C523" s="13"/>
      <c r="D523" s="13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>
      <c r="A524" s="14"/>
      <c r="B524" s="14"/>
      <c r="C524" s="13"/>
      <c r="D524" s="13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>
      <c r="A525" s="14"/>
      <c r="B525" s="14"/>
      <c r="C525" s="13"/>
      <c r="D525" s="13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>
      <c r="A526" s="14"/>
      <c r="B526" s="14"/>
      <c r="C526" s="13"/>
      <c r="D526" s="13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>
      <c r="A527" s="14"/>
      <c r="B527" s="14"/>
      <c r="C527" s="13"/>
      <c r="D527" s="13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>
      <c r="A528" s="14"/>
      <c r="B528" s="14"/>
      <c r="C528" s="13"/>
      <c r="D528" s="13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>
      <c r="A529" s="14"/>
      <c r="B529" s="14"/>
      <c r="C529" s="13"/>
      <c r="D529" s="13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>
      <c r="A530" s="14"/>
      <c r="B530" s="14"/>
      <c r="C530" s="13"/>
      <c r="D530" s="13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>
      <c r="A531" s="14"/>
      <c r="B531" s="14"/>
      <c r="C531" s="13"/>
      <c r="D531" s="13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>
      <c r="A532" s="14"/>
      <c r="B532" s="14"/>
      <c r="C532" s="13"/>
      <c r="D532" s="13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>
      <c r="A533" s="14"/>
      <c r="B533" s="14"/>
      <c r="C533" s="13"/>
      <c r="D533" s="13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>
      <c r="A534" s="14"/>
      <c r="B534" s="14"/>
      <c r="C534" s="13"/>
      <c r="D534" s="13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>
      <c r="A535" s="14"/>
      <c r="B535" s="14"/>
      <c r="C535" s="13"/>
      <c r="D535" s="13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>
      <c r="A536" s="14"/>
      <c r="B536" s="14"/>
      <c r="C536" s="13"/>
      <c r="D536" s="13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>
      <c r="A537" s="14"/>
      <c r="B537" s="14"/>
      <c r="C537" s="13"/>
      <c r="D537" s="13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>
      <c r="A538" s="14"/>
      <c r="B538" s="14"/>
      <c r="C538" s="13"/>
      <c r="D538" s="13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>
      <c r="A539" s="14"/>
      <c r="B539" s="14"/>
      <c r="C539" s="13"/>
      <c r="D539" s="13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>
      <c r="A540" s="14"/>
      <c r="B540" s="14"/>
      <c r="C540" s="13"/>
      <c r="D540" s="13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>
      <c r="A541" s="14"/>
      <c r="B541" s="14"/>
      <c r="C541" s="13"/>
      <c r="D541" s="13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>
      <c r="A542" s="14"/>
      <c r="B542" s="14"/>
      <c r="C542" s="13"/>
      <c r="D542" s="13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>
      <c r="A543" s="14"/>
      <c r="B543" s="14"/>
      <c r="C543" s="13"/>
      <c r="D543" s="13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>
      <c r="A544" s="14"/>
      <c r="B544" s="14"/>
      <c r="C544" s="13"/>
      <c r="D544" s="13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>
      <c r="A545" s="14"/>
      <c r="B545" s="14"/>
      <c r="C545" s="13"/>
      <c r="D545" s="13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>
      <c r="A546" s="14"/>
      <c r="B546" s="14"/>
      <c r="C546" s="13"/>
      <c r="D546" s="13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>
      <c r="A547" s="14"/>
      <c r="B547" s="14"/>
      <c r="C547" s="13"/>
      <c r="D547" s="13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>
      <c r="A548" s="14"/>
      <c r="B548" s="14"/>
      <c r="C548" s="13"/>
      <c r="D548" s="13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>
      <c r="A549" s="14"/>
      <c r="B549" s="14"/>
      <c r="C549" s="13"/>
      <c r="D549" s="13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>
      <c r="A550" s="14"/>
      <c r="B550" s="14"/>
      <c r="C550" s="13"/>
      <c r="D550" s="13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>
      <c r="A551" s="14"/>
      <c r="B551" s="14"/>
      <c r="C551" s="13"/>
      <c r="D551" s="13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>
      <c r="A552" s="14"/>
      <c r="B552" s="14"/>
      <c r="C552" s="13"/>
      <c r="D552" s="13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>
      <c r="A553" s="14"/>
      <c r="B553" s="14"/>
      <c r="C553" s="13"/>
      <c r="D553" s="13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>
      <c r="A554" s="14"/>
      <c r="B554" s="14"/>
      <c r="C554" s="13"/>
      <c r="D554" s="13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>
      <c r="A555" s="14"/>
      <c r="B555" s="14"/>
      <c r="C555" s="13"/>
      <c r="D555" s="13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>
      <c r="A556" s="14"/>
      <c r="B556" s="14"/>
      <c r="C556" s="13"/>
      <c r="D556" s="13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>
      <c r="A557" s="14"/>
      <c r="B557" s="14"/>
      <c r="C557" s="13"/>
      <c r="D557" s="13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>
      <c r="A558" s="14"/>
      <c r="B558" s="14"/>
      <c r="C558" s="13"/>
      <c r="D558" s="13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>
      <c r="A559" s="14"/>
      <c r="B559" s="14"/>
      <c r="C559" s="13"/>
      <c r="D559" s="13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>
      <c r="A560" s="14"/>
      <c r="B560" s="14"/>
      <c r="C560" s="13"/>
      <c r="D560" s="13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>
      <c r="A561" s="14"/>
      <c r="B561" s="14"/>
      <c r="C561" s="13"/>
      <c r="D561" s="13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>
      <c r="A562" s="14"/>
      <c r="B562" s="14"/>
      <c r="C562" s="13"/>
      <c r="D562" s="13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>
      <c r="A563" s="14"/>
      <c r="B563" s="14"/>
      <c r="C563" s="13"/>
      <c r="D563" s="13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>
      <c r="A564" s="14"/>
      <c r="B564" s="14"/>
      <c r="C564" s="13"/>
      <c r="D564" s="13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>
      <c r="A565" s="14"/>
      <c r="B565" s="14"/>
      <c r="C565" s="13"/>
      <c r="D565" s="13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>
      <c r="A566" s="14"/>
      <c r="B566" s="14"/>
      <c r="C566" s="13"/>
      <c r="D566" s="13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>
      <c r="A567" s="14"/>
      <c r="B567" s="14"/>
      <c r="C567" s="13"/>
      <c r="D567" s="13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>
      <c r="A568" s="14"/>
      <c r="B568" s="14"/>
      <c r="C568" s="13"/>
      <c r="D568" s="13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>
      <c r="A569" s="14"/>
      <c r="B569" s="14"/>
      <c r="C569" s="13"/>
      <c r="D569" s="13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>
      <c r="A570" s="14"/>
      <c r="B570" s="14"/>
      <c r="C570" s="13"/>
      <c r="D570" s="13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>
      <c r="A571" s="14"/>
      <c r="B571" s="14"/>
      <c r="C571" s="13"/>
      <c r="D571" s="13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>
      <c r="A572" s="14"/>
      <c r="B572" s="14"/>
      <c r="C572" s="13"/>
      <c r="D572" s="13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>
      <c r="A573" s="14"/>
      <c r="B573" s="14"/>
      <c r="C573" s="13"/>
      <c r="D573" s="13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>
      <c r="A574" s="14"/>
      <c r="B574" s="14"/>
      <c r="C574" s="13"/>
      <c r="D574" s="13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>
      <c r="A575" s="14"/>
      <c r="B575" s="14"/>
      <c r="C575" s="13"/>
      <c r="D575" s="13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>
      <c r="A576" s="14"/>
      <c r="B576" s="14"/>
      <c r="C576" s="13"/>
      <c r="D576" s="13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>
      <c r="A577" s="14"/>
      <c r="B577" s="14"/>
      <c r="C577" s="13"/>
      <c r="D577" s="13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>
      <c r="A578" s="14"/>
      <c r="B578" s="14"/>
      <c r="C578" s="13"/>
      <c r="D578" s="13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>
      <c r="A579" s="14"/>
      <c r="B579" s="14"/>
      <c r="C579" s="13"/>
      <c r="D579" s="13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>
      <c r="A580" s="14"/>
      <c r="B580" s="14"/>
      <c r="C580" s="13"/>
      <c r="D580" s="13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>
      <c r="A581" s="14"/>
      <c r="B581" s="14"/>
      <c r="C581" s="13"/>
      <c r="D581" s="13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>
      <c r="A582" s="14"/>
      <c r="B582" s="14"/>
      <c r="C582" s="13"/>
      <c r="D582" s="13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>
      <c r="A583" s="14"/>
      <c r="B583" s="14"/>
      <c r="C583" s="13"/>
      <c r="D583" s="13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>
      <c r="A584" s="14"/>
      <c r="B584" s="14"/>
      <c r="C584" s="13"/>
      <c r="D584" s="13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>
      <c r="A585" s="14"/>
      <c r="B585" s="14"/>
      <c r="C585" s="13"/>
      <c r="D585" s="13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>
      <c r="A586" s="14"/>
      <c r="B586" s="14"/>
      <c r="C586" s="13"/>
      <c r="D586" s="13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>
      <c r="A587" s="14"/>
      <c r="B587" s="14"/>
      <c r="C587" s="13"/>
      <c r="D587" s="13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>
      <c r="A588" s="14"/>
      <c r="B588" s="14"/>
      <c r="C588" s="13"/>
      <c r="D588" s="13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>
      <c r="A589" s="14"/>
      <c r="B589" s="14"/>
      <c r="C589" s="13"/>
      <c r="D589" s="13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>
      <c r="A590" s="14"/>
      <c r="B590" s="14"/>
      <c r="C590" s="13"/>
      <c r="D590" s="13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>
      <c r="A591" s="14"/>
      <c r="B591" s="14"/>
      <c r="C591" s="13"/>
      <c r="D591" s="13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>
      <c r="A592" s="14"/>
      <c r="B592" s="14"/>
      <c r="C592" s="13"/>
      <c r="D592" s="13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>
      <c r="A593" s="14"/>
      <c r="B593" s="14"/>
      <c r="C593" s="13"/>
      <c r="D593" s="13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>
      <c r="A594" s="14"/>
      <c r="B594" s="14"/>
      <c r="C594" s="13"/>
      <c r="D594" s="13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>
      <c r="A595" s="14"/>
      <c r="B595" s="14"/>
      <c r="C595" s="13"/>
      <c r="D595" s="13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>
      <c r="A596" s="14"/>
      <c r="B596" s="14"/>
      <c r="C596" s="13"/>
      <c r="D596" s="13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>
      <c r="A597" s="14"/>
      <c r="B597" s="14"/>
      <c r="C597" s="13"/>
      <c r="D597" s="13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>
      <c r="A598" s="14"/>
      <c r="B598" s="14"/>
      <c r="C598" s="13"/>
      <c r="D598" s="13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>
      <c r="A599" s="14"/>
      <c r="B599" s="14"/>
      <c r="C599" s="13"/>
      <c r="D599" s="13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>
      <c r="A600" s="14"/>
      <c r="B600" s="14"/>
      <c r="C600" s="13"/>
      <c r="D600" s="13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>
      <c r="A601" s="14"/>
      <c r="B601" s="14"/>
      <c r="C601" s="13"/>
      <c r="D601" s="13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>
      <c r="A602" s="14"/>
      <c r="B602" s="14"/>
      <c r="C602" s="13"/>
      <c r="D602" s="13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>
      <c r="A603" s="14"/>
      <c r="B603" s="14"/>
      <c r="C603" s="13"/>
      <c r="D603" s="13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>
      <c r="A604" s="14"/>
      <c r="B604" s="14"/>
      <c r="C604" s="13"/>
      <c r="D604" s="13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>
      <c r="A605" s="14"/>
      <c r="B605" s="14"/>
      <c r="C605" s="13"/>
      <c r="D605" s="13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>
      <c r="A606" s="14"/>
      <c r="B606" s="14"/>
      <c r="C606" s="13"/>
      <c r="D606" s="13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>
      <c r="A607" s="14"/>
      <c r="B607" s="14"/>
      <c r="C607" s="13"/>
      <c r="D607" s="13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>
      <c r="A608" s="14"/>
      <c r="B608" s="14"/>
      <c r="C608" s="13"/>
      <c r="D608" s="13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>
      <c r="A609" s="14"/>
      <c r="B609" s="14"/>
      <c r="C609" s="13"/>
      <c r="D609" s="13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>
      <c r="A610" s="14"/>
      <c r="B610" s="14"/>
      <c r="C610" s="13"/>
      <c r="D610" s="13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>
      <c r="A611" s="14"/>
      <c r="B611" s="14"/>
      <c r="C611" s="13"/>
      <c r="D611" s="13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>
      <c r="A612" s="14"/>
      <c r="B612" s="14"/>
      <c r="C612" s="13"/>
      <c r="D612" s="13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>
      <c r="A613" s="14"/>
      <c r="B613" s="14"/>
      <c r="C613" s="13"/>
      <c r="D613" s="13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>
      <c r="A614" s="14"/>
      <c r="B614" s="14"/>
      <c r="C614" s="13"/>
      <c r="D614" s="13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>
      <c r="A615" s="14"/>
      <c r="B615" s="14"/>
      <c r="C615" s="13"/>
      <c r="D615" s="13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>
      <c r="A616" s="14"/>
      <c r="B616" s="14"/>
      <c r="C616" s="13"/>
      <c r="D616" s="13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>
      <c r="A617" s="14"/>
      <c r="B617" s="14"/>
      <c r="C617" s="13"/>
      <c r="D617" s="13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>
      <c r="A618" s="14"/>
      <c r="B618" s="14"/>
      <c r="C618" s="13"/>
      <c r="D618" s="13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>
      <c r="A619" s="14"/>
      <c r="B619" s="14"/>
      <c r="C619" s="13"/>
      <c r="D619" s="13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>
      <c r="A620" s="14"/>
      <c r="B620" s="14"/>
      <c r="C620" s="13"/>
      <c r="D620" s="13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>
      <c r="A621" s="14"/>
      <c r="B621" s="14"/>
      <c r="C621" s="13"/>
      <c r="D621" s="13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>
      <c r="A622" s="14"/>
      <c r="B622" s="14"/>
      <c r="C622" s="13"/>
      <c r="D622" s="13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>
      <c r="A623" s="14"/>
      <c r="B623" s="14"/>
      <c r="C623" s="13"/>
      <c r="D623" s="13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>
      <c r="A624" s="14"/>
      <c r="B624" s="14"/>
      <c r="C624" s="13"/>
      <c r="D624" s="13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>
      <c r="A625" s="14"/>
      <c r="B625" s="14"/>
      <c r="C625" s="13"/>
      <c r="D625" s="13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>
      <c r="A626" s="14"/>
      <c r="B626" s="14"/>
      <c r="C626" s="13"/>
      <c r="D626" s="13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>
      <c r="A627" s="14"/>
      <c r="B627" s="14"/>
      <c r="C627" s="13"/>
      <c r="D627" s="13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>
      <c r="A628" s="14"/>
      <c r="B628" s="14"/>
      <c r="C628" s="13"/>
      <c r="D628" s="13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>
      <c r="A629" s="14"/>
      <c r="B629" s="14"/>
      <c r="C629" s="13"/>
      <c r="D629" s="13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>
      <c r="A630" s="14"/>
      <c r="B630" s="14"/>
      <c r="C630" s="13"/>
      <c r="D630" s="13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>
      <c r="A631" s="14"/>
      <c r="B631" s="14"/>
      <c r="C631" s="13"/>
      <c r="D631" s="13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>
      <c r="A632" s="14"/>
      <c r="B632" s="14"/>
      <c r="C632" s="13"/>
      <c r="D632" s="13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>
      <c r="A633" s="14"/>
      <c r="B633" s="14"/>
      <c r="C633" s="13"/>
      <c r="D633" s="13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>
      <c r="A634" s="14"/>
      <c r="B634" s="14"/>
      <c r="C634" s="13"/>
      <c r="D634" s="13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>
      <c r="A635" s="14"/>
      <c r="B635" s="14"/>
      <c r="C635" s="13"/>
      <c r="D635" s="13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>
      <c r="A636" s="14"/>
      <c r="B636" s="14"/>
      <c r="C636" s="13"/>
      <c r="D636" s="13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>
      <c r="A637" s="14"/>
      <c r="B637" s="14"/>
      <c r="C637" s="13"/>
      <c r="D637" s="13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>
      <c r="A638" s="14"/>
      <c r="B638" s="14"/>
      <c r="C638" s="13"/>
      <c r="D638" s="13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>
      <c r="A639" s="14"/>
      <c r="B639" s="14"/>
      <c r="C639" s="13"/>
      <c r="D639" s="13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>
      <c r="A640" s="14"/>
      <c r="B640" s="14"/>
      <c r="C640" s="13"/>
      <c r="D640" s="13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>
      <c r="A641" s="14"/>
      <c r="B641" s="14"/>
      <c r="C641" s="13"/>
      <c r="D641" s="13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>
      <c r="A642" s="14"/>
      <c r="B642" s="14"/>
      <c r="C642" s="13"/>
      <c r="D642" s="13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>
      <c r="A643" s="14"/>
      <c r="B643" s="14"/>
      <c r="C643" s="13"/>
      <c r="D643" s="13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>
      <c r="A644" s="14"/>
      <c r="B644" s="14"/>
      <c r="C644" s="13"/>
      <c r="D644" s="13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>
      <c r="A645" s="14"/>
      <c r="B645" s="14"/>
      <c r="C645" s="13"/>
      <c r="D645" s="13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>
      <c r="A646" s="14"/>
      <c r="B646" s="14"/>
      <c r="C646" s="13"/>
      <c r="D646" s="13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>
      <c r="A647" s="14"/>
      <c r="B647" s="14"/>
      <c r="C647" s="13"/>
      <c r="D647" s="13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>
      <c r="A648" s="14"/>
      <c r="B648" s="14"/>
      <c r="C648" s="13"/>
      <c r="D648" s="13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>
      <c r="A649" s="14"/>
      <c r="B649" s="14"/>
      <c r="C649" s="13"/>
      <c r="D649" s="13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>
      <c r="A650" s="14"/>
      <c r="B650" s="14"/>
      <c r="C650" s="13"/>
      <c r="D650" s="13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>
      <c r="A651" s="14"/>
      <c r="B651" s="14"/>
      <c r="C651" s="13"/>
      <c r="D651" s="13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>
      <c r="A652" s="14"/>
      <c r="B652" s="14"/>
      <c r="C652" s="13"/>
      <c r="D652" s="13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>
      <c r="A653" s="14"/>
      <c r="B653" s="14"/>
      <c r="C653" s="13"/>
      <c r="D653" s="13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>
      <c r="A654" s="14"/>
      <c r="B654" s="14"/>
      <c r="C654" s="13"/>
      <c r="D654" s="13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>
      <c r="A655" s="14"/>
      <c r="B655" s="14"/>
      <c r="C655" s="13"/>
      <c r="D655" s="13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>
      <c r="A656" s="14"/>
      <c r="B656" s="14"/>
      <c r="C656" s="13"/>
      <c r="D656" s="13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>
      <c r="A657" s="14"/>
      <c r="B657" s="14"/>
      <c r="C657" s="13"/>
      <c r="D657" s="13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>
      <c r="A658" s="14"/>
      <c r="B658" s="14"/>
      <c r="C658" s="13"/>
      <c r="D658" s="13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>
      <c r="A659" s="14"/>
      <c r="B659" s="14"/>
      <c r="C659" s="13"/>
      <c r="D659" s="13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>
      <c r="A660" s="14"/>
      <c r="B660" s="14"/>
      <c r="C660" s="13"/>
      <c r="D660" s="13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>
      <c r="A661" s="14"/>
      <c r="B661" s="14"/>
      <c r="C661" s="13"/>
      <c r="D661" s="13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>
      <c r="A662" s="14"/>
      <c r="B662" s="14"/>
      <c r="C662" s="13"/>
      <c r="D662" s="13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>
      <c r="A663" s="14"/>
      <c r="B663" s="14"/>
      <c r="C663" s="13"/>
      <c r="D663" s="13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>
      <c r="A664" s="14"/>
      <c r="B664" s="14"/>
      <c r="C664" s="13"/>
      <c r="D664" s="13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>
      <c r="A665" s="14"/>
      <c r="B665" s="14"/>
      <c r="C665" s="13"/>
      <c r="D665" s="13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>
      <c r="A666" s="14"/>
      <c r="B666" s="14"/>
      <c r="C666" s="13"/>
      <c r="D666" s="13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>
      <c r="A667" s="14"/>
      <c r="B667" s="14"/>
      <c r="C667" s="13"/>
      <c r="D667" s="13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>
      <c r="A668" s="14"/>
      <c r="B668" s="14"/>
      <c r="C668" s="13"/>
      <c r="D668" s="13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>
      <c r="A669" s="14"/>
      <c r="B669" s="14"/>
      <c r="C669" s="13"/>
      <c r="D669" s="13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>
      <c r="A670" s="14"/>
      <c r="B670" s="14"/>
      <c r="C670" s="13"/>
      <c r="D670" s="13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>
      <c r="A671" s="14"/>
      <c r="B671" s="14"/>
      <c r="C671" s="13"/>
      <c r="D671" s="13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>
      <c r="A672" s="14"/>
      <c r="B672" s="14"/>
      <c r="C672" s="13"/>
      <c r="D672" s="13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>
      <c r="A673" s="14"/>
      <c r="B673" s="14"/>
      <c r="C673" s="13"/>
      <c r="D673" s="13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>
      <c r="A674" s="14"/>
      <c r="B674" s="14"/>
      <c r="C674" s="13"/>
      <c r="D674" s="13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>
      <c r="A675" s="14"/>
      <c r="B675" s="14"/>
      <c r="C675" s="13"/>
      <c r="D675" s="13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>
      <c r="A676" s="14"/>
      <c r="B676" s="14"/>
      <c r="C676" s="13"/>
      <c r="D676" s="13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>
      <c r="A677" s="14"/>
      <c r="B677" s="14"/>
      <c r="C677" s="13"/>
      <c r="D677" s="13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>
      <c r="A678" s="14"/>
      <c r="B678" s="14"/>
      <c r="C678" s="13"/>
      <c r="D678" s="13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>
      <c r="A679" s="14"/>
      <c r="B679" s="14"/>
      <c r="C679" s="13"/>
      <c r="D679" s="13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>
      <c r="A680" s="14"/>
      <c r="B680" s="14"/>
      <c r="C680" s="13"/>
      <c r="D680" s="13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>
      <c r="A681" s="14"/>
      <c r="B681" s="14"/>
      <c r="C681" s="13"/>
      <c r="D681" s="13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>
      <c r="A682" s="14"/>
      <c r="B682" s="14"/>
      <c r="C682" s="13"/>
      <c r="D682" s="13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>
      <c r="A683" s="14"/>
      <c r="B683" s="14"/>
      <c r="C683" s="13"/>
      <c r="D683" s="13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>
      <c r="A684" s="14"/>
      <c r="B684" s="14"/>
      <c r="C684" s="13"/>
      <c r="D684" s="13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>
      <c r="A685" s="14"/>
      <c r="B685" s="14"/>
      <c r="C685" s="13"/>
      <c r="D685" s="13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>
      <c r="A686" s="14"/>
      <c r="B686" s="14"/>
      <c r="C686" s="13"/>
      <c r="D686" s="13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>
      <c r="A687" s="14"/>
      <c r="B687" s="14"/>
      <c r="C687" s="13"/>
      <c r="D687" s="13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>
      <c r="A688" s="14"/>
      <c r="B688" s="14"/>
      <c r="C688" s="13"/>
      <c r="D688" s="13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>
      <c r="A689" s="14"/>
      <c r="B689" s="14"/>
      <c r="C689" s="13"/>
      <c r="D689" s="13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>
      <c r="A690" s="14"/>
      <c r="B690" s="14"/>
      <c r="C690" s="13"/>
      <c r="D690" s="13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>
      <c r="A691" s="14"/>
      <c r="B691" s="14"/>
      <c r="C691" s="13"/>
      <c r="D691" s="13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>
      <c r="A692" s="14"/>
      <c r="B692" s="14"/>
      <c r="C692" s="13"/>
      <c r="D692" s="13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>
      <c r="A693" s="14"/>
      <c r="B693" s="14"/>
      <c r="C693" s="13"/>
      <c r="D693" s="13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>
      <c r="A694" s="14"/>
      <c r="B694" s="14"/>
      <c r="C694" s="13"/>
      <c r="D694" s="13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>
      <c r="A695" s="14"/>
      <c r="B695" s="14"/>
      <c r="C695" s="13"/>
      <c r="D695" s="13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>
      <c r="A696" s="14"/>
      <c r="B696" s="14"/>
      <c r="C696" s="13"/>
      <c r="D696" s="13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>
      <c r="A697" s="14"/>
      <c r="B697" s="14"/>
      <c r="C697" s="13"/>
      <c r="D697" s="13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>
      <c r="A698" s="14"/>
      <c r="B698" s="14"/>
      <c r="C698" s="13"/>
      <c r="D698" s="13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>
      <c r="A699" s="14"/>
      <c r="B699" s="14"/>
      <c r="C699" s="13"/>
      <c r="D699" s="13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>
      <c r="A700" s="14"/>
      <c r="B700" s="14"/>
      <c r="C700" s="13"/>
      <c r="D700" s="13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>
      <c r="A701" s="14"/>
      <c r="B701" s="14"/>
      <c r="C701" s="13"/>
      <c r="D701" s="13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>
      <c r="A702" s="14"/>
      <c r="B702" s="14"/>
      <c r="C702" s="13"/>
      <c r="D702" s="13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>
      <c r="A703" s="14"/>
      <c r="B703" s="14"/>
      <c r="C703" s="13"/>
      <c r="D703" s="13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>
      <c r="A704" s="14"/>
      <c r="B704" s="14"/>
      <c r="C704" s="13"/>
      <c r="D704" s="13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>
      <c r="A705" s="14"/>
      <c r="B705" s="14"/>
      <c r="C705" s="13"/>
      <c r="D705" s="13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>
      <c r="A706" s="14"/>
      <c r="B706" s="14"/>
      <c r="C706" s="13"/>
      <c r="D706" s="13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>
      <c r="A707" s="14"/>
      <c r="B707" s="14"/>
      <c r="C707" s="13"/>
      <c r="D707" s="13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>
      <c r="A708" s="14"/>
      <c r="B708" s="14"/>
      <c r="C708" s="13"/>
      <c r="D708" s="13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>
      <c r="A709" s="14"/>
      <c r="B709" s="14"/>
      <c r="C709" s="13"/>
      <c r="D709" s="13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>
      <c r="A710" s="14"/>
      <c r="B710" s="14"/>
      <c r="C710" s="13"/>
      <c r="D710" s="13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>
      <c r="A711" s="14"/>
      <c r="B711" s="14"/>
      <c r="C711" s="13"/>
      <c r="D711" s="13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>
      <c r="A712" s="14"/>
      <c r="B712" s="14"/>
      <c r="C712" s="13"/>
      <c r="D712" s="13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>
      <c r="A713" s="14"/>
      <c r="B713" s="14"/>
      <c r="C713" s="13"/>
      <c r="D713" s="13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>
      <c r="A714" s="14"/>
      <c r="B714" s="14"/>
      <c r="C714" s="13"/>
      <c r="D714" s="13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>
      <c r="A715" s="14"/>
      <c r="B715" s="14"/>
      <c r="C715" s="13"/>
      <c r="D715" s="13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>
      <c r="A716" s="14"/>
      <c r="B716" s="14"/>
      <c r="C716" s="13"/>
      <c r="D716" s="13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>
      <c r="A717" s="14"/>
      <c r="B717" s="14"/>
      <c r="C717" s="13"/>
      <c r="D717" s="13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>
      <c r="A718" s="14"/>
      <c r="B718" s="14"/>
      <c r="C718" s="13"/>
      <c r="D718" s="13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>
      <c r="A719" s="14"/>
      <c r="B719" s="14"/>
      <c r="C719" s="13"/>
      <c r="D719" s="13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>
      <c r="A720" s="14"/>
      <c r="B720" s="14"/>
      <c r="C720" s="13"/>
      <c r="D720" s="13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>
      <c r="A721" s="14"/>
      <c r="B721" s="14"/>
      <c r="C721" s="13"/>
      <c r="D721" s="13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>
      <c r="A722" s="14"/>
      <c r="B722" s="14"/>
      <c r="C722" s="13"/>
      <c r="D722" s="13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>
      <c r="A723" s="14"/>
      <c r="B723" s="14"/>
      <c r="C723" s="13"/>
      <c r="D723" s="13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>
      <c r="A724" s="14"/>
      <c r="B724" s="14"/>
      <c r="C724" s="13"/>
      <c r="D724" s="13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>
      <c r="A725" s="14"/>
      <c r="B725" s="14"/>
      <c r="C725" s="13"/>
      <c r="D725" s="13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>
      <c r="A726" s="14"/>
      <c r="B726" s="14"/>
      <c r="C726" s="13"/>
      <c r="D726" s="13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>
      <c r="A727" s="14"/>
      <c r="B727" s="14"/>
      <c r="C727" s="13"/>
      <c r="D727" s="13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>
      <c r="A728" s="14"/>
      <c r="B728" s="14"/>
      <c r="C728" s="13"/>
      <c r="D728" s="13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>
      <c r="A729" s="14"/>
      <c r="B729" s="14"/>
      <c r="C729" s="13"/>
      <c r="D729" s="13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>
      <c r="A730" s="14"/>
      <c r="B730" s="14"/>
      <c r="C730" s="13"/>
      <c r="D730" s="13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>
      <c r="A731" s="14"/>
      <c r="B731" s="14"/>
      <c r="C731" s="13"/>
      <c r="D731" s="13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>
      <c r="A732" s="14"/>
      <c r="B732" s="14"/>
      <c r="C732" s="13"/>
      <c r="D732" s="13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>
      <c r="A733" s="14"/>
      <c r="B733" s="14"/>
      <c r="C733" s="13"/>
      <c r="D733" s="13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>
      <c r="A734" s="14"/>
      <c r="B734" s="14"/>
      <c r="C734" s="13"/>
      <c r="D734" s="13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>
      <c r="A735" s="14"/>
      <c r="B735" s="14"/>
      <c r="C735" s="13"/>
      <c r="D735" s="13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>
      <c r="A736" s="14"/>
      <c r="B736" s="14"/>
      <c r="C736" s="13"/>
      <c r="D736" s="13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>
      <c r="A737" s="14"/>
      <c r="B737" s="14"/>
      <c r="C737" s="13"/>
      <c r="D737" s="13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>
      <c r="A738" s="14"/>
      <c r="B738" s="14"/>
      <c r="C738" s="13"/>
      <c r="D738" s="13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>
      <c r="A739" s="14"/>
      <c r="B739" s="14"/>
      <c r="C739" s="13"/>
      <c r="D739" s="13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>
      <c r="A740" s="14"/>
      <c r="B740" s="14"/>
      <c r="C740" s="13"/>
      <c r="D740" s="13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>
      <c r="A741" s="14"/>
      <c r="B741" s="14"/>
      <c r="C741" s="13"/>
      <c r="D741" s="13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>
      <c r="A742" s="14"/>
      <c r="B742" s="14"/>
      <c r="C742" s="13"/>
      <c r="D742" s="13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>
      <c r="A743" s="14"/>
      <c r="B743" s="14"/>
      <c r="C743" s="13"/>
      <c r="D743" s="13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>
      <c r="A744" s="14"/>
      <c r="B744" s="14"/>
      <c r="C744" s="13"/>
      <c r="D744" s="13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>
      <c r="A745" s="14"/>
      <c r="B745" s="14"/>
      <c r="C745" s="13"/>
      <c r="D745" s="13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>
      <c r="A746" s="14"/>
      <c r="B746" s="14"/>
      <c r="C746" s="13"/>
      <c r="D746" s="13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>
      <c r="A747" s="14"/>
      <c r="B747" s="14"/>
      <c r="C747" s="13"/>
      <c r="D747" s="13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>
      <c r="A748" s="14"/>
      <c r="B748" s="14"/>
      <c r="C748" s="13"/>
      <c r="D748" s="13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>
      <c r="A749" s="14"/>
      <c r="B749" s="14"/>
      <c r="C749" s="13"/>
      <c r="D749" s="13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>
      <c r="A750" s="14"/>
      <c r="B750" s="14"/>
      <c r="C750" s="13"/>
      <c r="D750" s="13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>
      <c r="A751" s="14"/>
      <c r="B751" s="14"/>
      <c r="C751" s="13"/>
      <c r="D751" s="13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>
      <c r="A752" s="14"/>
      <c r="B752" s="14"/>
      <c r="C752" s="13"/>
      <c r="D752" s="13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>
      <c r="A753" s="14"/>
      <c r="B753" s="14"/>
      <c r="C753" s="13"/>
      <c r="D753" s="13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>
      <c r="A754" s="14"/>
      <c r="B754" s="14"/>
      <c r="C754" s="13"/>
      <c r="D754" s="13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>
      <c r="A755" s="14"/>
      <c r="B755" s="14"/>
      <c r="C755" s="13"/>
      <c r="D755" s="13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>
      <c r="A756" s="14"/>
      <c r="B756" s="14"/>
      <c r="C756" s="13"/>
      <c r="D756" s="13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>
      <c r="A757" s="14"/>
      <c r="B757" s="14"/>
      <c r="C757" s="13"/>
      <c r="D757" s="13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>
      <c r="A758" s="14"/>
      <c r="B758" s="14"/>
      <c r="C758" s="13"/>
      <c r="D758" s="13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>
      <c r="A759" s="14"/>
      <c r="B759" s="14"/>
      <c r="C759" s="13"/>
      <c r="D759" s="13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>
      <c r="A760" s="14"/>
      <c r="B760" s="14"/>
      <c r="C760" s="13"/>
      <c r="D760" s="13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>
      <c r="A761" s="14"/>
      <c r="B761" s="14"/>
      <c r="C761" s="13"/>
      <c r="D761" s="13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>
      <c r="A762" s="14"/>
      <c r="B762" s="14"/>
      <c r="C762" s="13"/>
      <c r="D762" s="13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>
      <c r="A763" s="14"/>
      <c r="B763" s="14"/>
      <c r="C763" s="13"/>
      <c r="D763" s="13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>
      <c r="A764" s="14"/>
      <c r="B764" s="14"/>
      <c r="C764" s="13"/>
      <c r="D764" s="13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>
      <c r="A765" s="14"/>
      <c r="B765" s="14"/>
      <c r="C765" s="13"/>
      <c r="D765" s="13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>
      <c r="A766" s="14"/>
      <c r="B766" s="14"/>
      <c r="C766" s="13"/>
      <c r="D766" s="13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>
      <c r="A767" s="14"/>
      <c r="B767" s="14"/>
      <c r="C767" s="13"/>
      <c r="D767" s="13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>
      <c r="A768" s="14"/>
      <c r="B768" s="14"/>
      <c r="C768" s="13"/>
      <c r="D768" s="13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>
      <c r="A769" s="14"/>
      <c r="B769" s="14"/>
      <c r="C769" s="13"/>
      <c r="D769" s="13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>
      <c r="A770" s="14"/>
      <c r="B770" s="14"/>
      <c r="C770" s="13"/>
      <c r="D770" s="13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>
      <c r="A771" s="14"/>
      <c r="B771" s="14"/>
      <c r="C771" s="13"/>
      <c r="D771" s="13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>
      <c r="A772" s="14"/>
      <c r="B772" s="14"/>
      <c r="C772" s="13"/>
      <c r="D772" s="13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>
      <c r="A773" s="14"/>
      <c r="B773" s="14"/>
      <c r="C773" s="13"/>
      <c r="D773" s="13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>
      <c r="A774" s="14"/>
      <c r="B774" s="14"/>
      <c r="C774" s="13"/>
      <c r="D774" s="13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>
      <c r="A775" s="14"/>
      <c r="B775" s="14"/>
      <c r="C775" s="13"/>
      <c r="D775" s="13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>
      <c r="A776" s="14"/>
      <c r="B776" s="14"/>
      <c r="C776" s="13"/>
      <c r="D776" s="13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>
      <c r="A777" s="14"/>
      <c r="B777" s="14"/>
      <c r="C777" s="13"/>
      <c r="D777" s="13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>
      <c r="A778" s="14"/>
      <c r="B778" s="14"/>
      <c r="C778" s="13"/>
      <c r="D778" s="13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>
      <c r="A779" s="14"/>
      <c r="B779" s="14"/>
      <c r="C779" s="13"/>
      <c r="D779" s="13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>
      <c r="A780" s="14"/>
      <c r="B780" s="14"/>
      <c r="C780" s="13"/>
      <c r="D780" s="13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>
      <c r="A781" s="14"/>
      <c r="B781" s="14"/>
      <c r="C781" s="13"/>
      <c r="D781" s="13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>
      <c r="A782" s="14"/>
      <c r="B782" s="14"/>
      <c r="C782" s="13"/>
      <c r="D782" s="13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>
      <c r="A783" s="14"/>
      <c r="B783" s="14"/>
      <c r="C783" s="13"/>
      <c r="D783" s="13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>
      <c r="A784" s="14"/>
      <c r="B784" s="14"/>
      <c r="C784" s="13"/>
      <c r="D784" s="13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>
      <c r="A785" s="14"/>
      <c r="B785" s="14"/>
      <c r="C785" s="13"/>
      <c r="D785" s="13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>
      <c r="A786" s="14"/>
      <c r="B786" s="14"/>
      <c r="C786" s="13"/>
      <c r="D786" s="13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>
      <c r="A787" s="14"/>
      <c r="B787" s="14"/>
      <c r="C787" s="13"/>
      <c r="D787" s="13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>
      <c r="A788" s="14"/>
      <c r="B788" s="14"/>
      <c r="C788" s="13"/>
      <c r="D788" s="13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>
      <c r="A789" s="14"/>
      <c r="B789" s="14"/>
      <c r="C789" s="13"/>
      <c r="D789" s="13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>
      <c r="A790" s="14"/>
      <c r="B790" s="14"/>
      <c r="C790" s="13"/>
      <c r="D790" s="13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>
      <c r="A791" s="14"/>
      <c r="B791" s="14"/>
      <c r="C791" s="13"/>
      <c r="D791" s="13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>
      <c r="A792" s="14"/>
      <c r="B792" s="14"/>
      <c r="C792" s="13"/>
      <c r="D792" s="13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>
      <c r="A793" s="14"/>
      <c r="B793" s="14"/>
      <c r="C793" s="13"/>
      <c r="D793" s="13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>
      <c r="A794" s="14"/>
      <c r="B794" s="14"/>
      <c r="C794" s="13"/>
      <c r="D794" s="13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>
      <c r="A795" s="14"/>
      <c r="B795" s="14"/>
      <c r="C795" s="13"/>
      <c r="D795" s="13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>
      <c r="A796" s="14"/>
      <c r="B796" s="14"/>
      <c r="C796" s="13"/>
      <c r="D796" s="13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>
      <c r="A797" s="14"/>
      <c r="B797" s="14"/>
      <c r="C797" s="13"/>
      <c r="D797" s="13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>
      <c r="A798" s="14"/>
      <c r="B798" s="14"/>
      <c r="C798" s="13"/>
      <c r="D798" s="13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>
      <c r="A799" s="14"/>
      <c r="B799" s="14"/>
      <c r="C799" s="13"/>
      <c r="D799" s="13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>
      <c r="A800" s="14"/>
      <c r="B800" s="14"/>
      <c r="C800" s="13"/>
      <c r="D800" s="13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>
      <c r="A801" s="14"/>
      <c r="B801" s="14"/>
      <c r="C801" s="13"/>
      <c r="D801" s="13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>
      <c r="A802" s="14"/>
      <c r="B802" s="14"/>
      <c r="C802" s="13"/>
      <c r="D802" s="13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>
      <c r="A803" s="14"/>
      <c r="B803" s="14"/>
      <c r="C803" s="13"/>
      <c r="D803" s="13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>
      <c r="A804" s="14"/>
      <c r="B804" s="14"/>
      <c r="C804" s="13"/>
      <c r="D804" s="13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>
      <c r="A805" s="14"/>
      <c r="B805" s="14"/>
      <c r="C805" s="13"/>
      <c r="D805" s="13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>
      <c r="A806" s="14"/>
      <c r="B806" s="14"/>
      <c r="C806" s="13"/>
      <c r="D806" s="13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>
      <c r="A807" s="14"/>
      <c r="B807" s="14"/>
      <c r="C807" s="13"/>
      <c r="D807" s="13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>
      <c r="A808" s="14"/>
      <c r="B808" s="14"/>
      <c r="C808" s="13"/>
      <c r="D808" s="13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>
      <c r="A809" s="14"/>
      <c r="B809" s="14"/>
      <c r="C809" s="13"/>
      <c r="D809" s="13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>
      <c r="A810" s="14"/>
      <c r="B810" s="14"/>
      <c r="C810" s="13"/>
      <c r="D810" s="13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>
      <c r="A811" s="14"/>
      <c r="B811" s="14"/>
      <c r="C811" s="13"/>
      <c r="D811" s="13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>
      <c r="A812" s="14"/>
      <c r="B812" s="14"/>
      <c r="C812" s="13"/>
      <c r="D812" s="13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>
      <c r="A813" s="14"/>
      <c r="B813" s="14"/>
      <c r="C813" s="13"/>
      <c r="D813" s="13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>
      <c r="A814" s="14"/>
      <c r="B814" s="14"/>
      <c r="C814" s="13"/>
      <c r="D814" s="13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>
      <c r="A815" s="14"/>
      <c r="B815" s="14"/>
      <c r="C815" s="13"/>
      <c r="D815" s="13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>
      <c r="A816" s="14"/>
      <c r="B816" s="14"/>
      <c r="C816" s="13"/>
      <c r="D816" s="13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>
      <c r="A817" s="14"/>
      <c r="B817" s="14"/>
      <c r="C817" s="13"/>
      <c r="D817" s="13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>
      <c r="A818" s="14"/>
      <c r="B818" s="14"/>
      <c r="C818" s="13"/>
      <c r="D818" s="13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>
      <c r="A819" s="14"/>
      <c r="B819" s="14"/>
      <c r="C819" s="13"/>
      <c r="D819" s="13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>
      <c r="A820" s="14"/>
      <c r="B820" s="14"/>
      <c r="C820" s="13"/>
      <c r="D820" s="13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>
      <c r="A821" s="14"/>
      <c r="B821" s="14"/>
      <c r="C821" s="13"/>
      <c r="D821" s="13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>
      <c r="A822" s="14"/>
      <c r="B822" s="14"/>
      <c r="C822" s="13"/>
      <c r="D822" s="13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>
      <c r="A823" s="14"/>
      <c r="B823" s="14"/>
      <c r="C823" s="13"/>
      <c r="D823" s="13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>
      <c r="A824" s="14"/>
      <c r="B824" s="14"/>
      <c r="C824" s="13"/>
      <c r="D824" s="13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>
      <c r="A825" s="14"/>
      <c r="B825" s="14"/>
      <c r="C825" s="13"/>
      <c r="D825" s="13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>
      <c r="A826" s="14"/>
      <c r="B826" s="14"/>
      <c r="C826" s="13"/>
      <c r="D826" s="13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>
      <c r="A827" s="14"/>
      <c r="B827" s="14"/>
      <c r="C827" s="13"/>
      <c r="D827" s="13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>
      <c r="A828" s="14"/>
      <c r="B828" s="14"/>
      <c r="C828" s="13"/>
      <c r="D828" s="13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>
      <c r="A829" s="14"/>
      <c r="B829" s="14"/>
      <c r="C829" s="13"/>
      <c r="D829" s="13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>
      <c r="A830" s="14"/>
      <c r="B830" s="14"/>
      <c r="C830" s="13"/>
      <c r="D830" s="13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>
      <c r="A831" s="14"/>
      <c r="B831" s="14"/>
      <c r="C831" s="13"/>
      <c r="D831" s="13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>
      <c r="A832" s="14"/>
      <c r="B832" s="14"/>
      <c r="C832" s="13"/>
      <c r="D832" s="13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>
      <c r="A833" s="14"/>
      <c r="B833" s="14"/>
      <c r="C833" s="13"/>
      <c r="D833" s="13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>
      <c r="A834" s="14"/>
      <c r="B834" s="14"/>
      <c r="C834" s="13"/>
      <c r="D834" s="13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>
      <c r="A835" s="14"/>
      <c r="B835" s="14"/>
      <c r="C835" s="13"/>
      <c r="D835" s="13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>
      <c r="A836" s="14"/>
      <c r="B836" s="14"/>
      <c r="C836" s="13"/>
      <c r="D836" s="13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>
      <c r="A837" s="14"/>
      <c r="B837" s="14"/>
      <c r="C837" s="13"/>
      <c r="D837" s="13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>
      <c r="A838" s="14"/>
      <c r="B838" s="14"/>
      <c r="C838" s="13"/>
      <c r="D838" s="13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>
      <c r="A839" s="14"/>
      <c r="B839" s="14"/>
      <c r="C839" s="13"/>
      <c r="D839" s="13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>
      <c r="A840" s="14"/>
      <c r="B840" s="14"/>
      <c r="C840" s="13"/>
      <c r="D840" s="13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>
      <c r="A841" s="14"/>
      <c r="B841" s="14"/>
      <c r="C841" s="13"/>
      <c r="D841" s="13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>
      <c r="A842" s="14"/>
      <c r="B842" s="14"/>
      <c r="C842" s="13"/>
      <c r="D842" s="13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>
      <c r="A843" s="14"/>
      <c r="B843" s="14"/>
      <c r="C843" s="13"/>
      <c r="D843" s="13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>
      <c r="A844" s="14"/>
      <c r="B844" s="14"/>
      <c r="C844" s="13"/>
      <c r="D844" s="13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>
      <c r="A845" s="14"/>
      <c r="B845" s="14"/>
      <c r="C845" s="13"/>
      <c r="D845" s="13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>
      <c r="A846" s="14"/>
      <c r="B846" s="14"/>
      <c r="C846" s="13"/>
      <c r="D846" s="13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>
      <c r="A847" s="14"/>
      <c r="B847" s="14"/>
      <c r="C847" s="13"/>
      <c r="D847" s="13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>
      <c r="A848" s="14"/>
      <c r="B848" s="14"/>
      <c r="C848" s="13"/>
      <c r="D848" s="13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>
      <c r="A849" s="14"/>
      <c r="B849" s="14"/>
      <c r="C849" s="13"/>
      <c r="D849" s="13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>
      <c r="A850" s="14"/>
      <c r="B850" s="14"/>
      <c r="C850" s="13"/>
      <c r="D850" s="13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>
      <c r="A851" s="14"/>
      <c r="B851" s="14"/>
      <c r="C851" s="13"/>
      <c r="D851" s="13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>
      <c r="A852" s="14"/>
      <c r="B852" s="14"/>
      <c r="C852" s="13"/>
      <c r="D852" s="13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>
      <c r="A853" s="14"/>
      <c r="B853" s="14"/>
      <c r="C853" s="13"/>
      <c r="D853" s="13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>
      <c r="A854" s="14"/>
      <c r="B854" s="14"/>
      <c r="C854" s="13"/>
      <c r="D854" s="13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>
      <c r="A855" s="14"/>
      <c r="B855" s="14"/>
      <c r="C855" s="13"/>
      <c r="D855" s="13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>
      <c r="A856" s="14"/>
      <c r="B856" s="14"/>
      <c r="C856" s="13"/>
      <c r="D856" s="13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>
      <c r="A857" s="14"/>
      <c r="B857" s="14"/>
      <c r="C857" s="13"/>
      <c r="D857" s="13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>
      <c r="A858" s="14"/>
      <c r="B858" s="14"/>
      <c r="C858" s="13"/>
      <c r="D858" s="13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>
      <c r="A859" s="14"/>
      <c r="B859" s="14"/>
      <c r="C859" s="13"/>
      <c r="D859" s="13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>
      <c r="A860" s="14"/>
      <c r="B860" s="14"/>
      <c r="C860" s="13"/>
      <c r="D860" s="13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>
      <c r="A861" s="14"/>
      <c r="B861" s="14"/>
      <c r="C861" s="13"/>
      <c r="D861" s="13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>
      <c r="A862" s="14"/>
      <c r="B862" s="14"/>
      <c r="C862" s="13"/>
      <c r="D862" s="13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>
      <c r="A863" s="14"/>
      <c r="B863" s="14"/>
      <c r="C863" s="13"/>
      <c r="D863" s="13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>
      <c r="A864" s="14"/>
      <c r="B864" s="14"/>
      <c r="C864" s="13"/>
      <c r="D864" s="13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>
      <c r="A865" s="14"/>
      <c r="B865" s="14"/>
      <c r="C865" s="13"/>
      <c r="D865" s="13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>
      <c r="A866" s="14"/>
      <c r="B866" s="14"/>
      <c r="C866" s="13"/>
      <c r="D866" s="13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>
      <c r="A867" s="14"/>
      <c r="B867" s="14"/>
      <c r="C867" s="13"/>
      <c r="D867" s="13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>
      <c r="A868" s="14"/>
      <c r="B868" s="14"/>
      <c r="C868" s="13"/>
      <c r="D868" s="13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>
      <c r="A869" s="14"/>
      <c r="B869" s="14"/>
      <c r="C869" s="13"/>
      <c r="D869" s="13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>
      <c r="A870" s="14"/>
      <c r="B870" s="14"/>
      <c r="C870" s="13"/>
      <c r="D870" s="13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>
      <c r="A871" s="14"/>
      <c r="B871" s="14"/>
      <c r="C871" s="13"/>
      <c r="D871" s="13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>
      <c r="A872" s="14"/>
      <c r="B872" s="14"/>
      <c r="C872" s="13"/>
      <c r="D872" s="13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>
      <c r="A873" s="14"/>
      <c r="B873" s="14"/>
      <c r="C873" s="13"/>
      <c r="D873" s="13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>
      <c r="A874" s="14"/>
      <c r="B874" s="14"/>
      <c r="C874" s="13"/>
      <c r="D874" s="13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>
      <c r="A875" s="14"/>
      <c r="B875" s="14"/>
      <c r="C875" s="13"/>
      <c r="D875" s="13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>
      <c r="A876" s="14"/>
      <c r="B876" s="14"/>
      <c r="C876" s="13"/>
      <c r="D876" s="13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>
      <c r="A877" s="14"/>
      <c r="B877" s="14"/>
      <c r="C877" s="13"/>
      <c r="D877" s="13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>
      <c r="A878" s="14"/>
      <c r="B878" s="14"/>
      <c r="C878" s="13"/>
      <c r="D878" s="13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>
      <c r="A879" s="14"/>
      <c r="B879" s="14"/>
      <c r="C879" s="13"/>
      <c r="D879" s="13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>
      <c r="A880" s="14"/>
      <c r="B880" s="14"/>
      <c r="C880" s="13"/>
      <c r="D880" s="13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>
      <c r="A881" s="14"/>
      <c r="B881" s="14"/>
      <c r="C881" s="13"/>
      <c r="D881" s="13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>
      <c r="A882" s="14"/>
      <c r="B882" s="14"/>
      <c r="C882" s="13"/>
      <c r="D882" s="13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>
      <c r="A883" s="14"/>
      <c r="B883" s="14"/>
      <c r="C883" s="13"/>
      <c r="D883" s="13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>
      <c r="A884" s="14"/>
      <c r="B884" s="14"/>
      <c r="C884" s="13"/>
      <c r="D884" s="13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>
      <c r="A885" s="14"/>
      <c r="B885" s="14"/>
      <c r="C885" s="13"/>
      <c r="D885" s="13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>
      <c r="A886" s="14"/>
      <c r="B886" s="14"/>
      <c r="C886" s="13"/>
      <c r="D886" s="13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>
      <c r="A887" s="14"/>
      <c r="B887" s="14"/>
      <c r="C887" s="13"/>
      <c r="D887" s="13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>
      <c r="A888" s="14"/>
      <c r="B888" s="14"/>
      <c r="C888" s="13"/>
      <c r="D888" s="13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>
      <c r="A889" s="14"/>
      <c r="B889" s="14"/>
      <c r="C889" s="13"/>
      <c r="D889" s="13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>
      <c r="A890" s="14"/>
      <c r="B890" s="14"/>
      <c r="C890" s="13"/>
      <c r="D890" s="13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>
      <c r="A891" s="14"/>
      <c r="B891" s="14"/>
      <c r="C891" s="13"/>
      <c r="D891" s="13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>
      <c r="A892" s="14"/>
      <c r="B892" s="14"/>
      <c r="C892" s="13"/>
      <c r="D892" s="13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>
      <c r="A893" s="14"/>
      <c r="B893" s="14"/>
      <c r="C893" s="13"/>
      <c r="D893" s="13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>
      <c r="A894" s="14"/>
      <c r="B894" s="14"/>
      <c r="C894" s="13"/>
      <c r="D894" s="13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>
      <c r="A895" s="14"/>
      <c r="B895" s="14"/>
      <c r="C895" s="13"/>
      <c r="D895" s="13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>
      <c r="A896" s="14"/>
      <c r="B896" s="14"/>
      <c r="C896" s="13"/>
      <c r="D896" s="13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>
      <c r="A897" s="14"/>
      <c r="B897" s="14"/>
      <c r="C897" s="13"/>
      <c r="D897" s="13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>
      <c r="A898" s="14"/>
      <c r="B898" s="14"/>
      <c r="C898" s="13"/>
      <c r="D898" s="13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>
      <c r="A899" s="14"/>
      <c r="B899" s="14"/>
      <c r="C899" s="13"/>
      <c r="D899" s="13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>
      <c r="A900" s="14"/>
      <c r="B900" s="14"/>
      <c r="C900" s="13"/>
      <c r="D900" s="13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>
      <c r="A901" s="14"/>
      <c r="B901" s="14"/>
      <c r="C901" s="13"/>
      <c r="D901" s="13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>
      <c r="A902" s="14"/>
      <c r="B902" s="14"/>
      <c r="C902" s="13"/>
      <c r="D902" s="13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>
      <c r="A903" s="14"/>
      <c r="B903" s="14"/>
      <c r="C903" s="13"/>
      <c r="D903" s="13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>
      <c r="A904" s="14"/>
      <c r="B904" s="14"/>
      <c r="C904" s="13"/>
      <c r="D904" s="13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>
      <c r="A905" s="14"/>
      <c r="B905" s="14"/>
      <c r="C905" s="13"/>
      <c r="D905" s="13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>
      <c r="A906" s="14"/>
      <c r="B906" s="14"/>
      <c r="C906" s="13"/>
      <c r="D906" s="13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>
      <c r="A907" s="14"/>
      <c r="B907" s="14"/>
      <c r="C907" s="13"/>
      <c r="D907" s="13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>
      <c r="A908" s="14"/>
      <c r="B908" s="14"/>
      <c r="C908" s="13"/>
      <c r="D908" s="13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>
      <c r="A909" s="14"/>
      <c r="B909" s="14"/>
      <c r="C909" s="13"/>
      <c r="D909" s="13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>
      <c r="A910" s="14"/>
      <c r="B910" s="14"/>
      <c r="C910" s="13"/>
      <c r="D910" s="13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>
      <c r="A911" s="14"/>
      <c r="B911" s="14"/>
      <c r="C911" s="13"/>
      <c r="D911" s="13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>
      <c r="A912" s="14"/>
      <c r="B912" s="14"/>
      <c r="C912" s="13"/>
      <c r="D912" s="13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>
      <c r="A913" s="14"/>
      <c r="B913" s="14"/>
      <c r="C913" s="13"/>
      <c r="D913" s="13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>
      <c r="A914" s="14"/>
      <c r="B914" s="14"/>
      <c r="C914" s="13"/>
      <c r="D914" s="13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>
      <c r="A915" s="14"/>
      <c r="B915" s="14"/>
      <c r="C915" s="13"/>
      <c r="D915" s="13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>
      <c r="A916" s="14"/>
      <c r="B916" s="14"/>
      <c r="C916" s="13"/>
      <c r="D916" s="13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>
      <c r="A917" s="14"/>
      <c r="B917" s="14"/>
      <c r="C917" s="13"/>
      <c r="D917" s="13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>
      <c r="A918" s="14"/>
      <c r="B918" s="14"/>
      <c r="C918" s="13"/>
      <c r="D918" s="13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>
      <c r="A919" s="14"/>
      <c r="B919" s="14"/>
      <c r="C919" s="13"/>
      <c r="D919" s="13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>
      <c r="A920" s="14"/>
      <c r="B920" s="14"/>
      <c r="C920" s="13"/>
      <c r="D920" s="13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>
      <c r="A921" s="14"/>
      <c r="B921" s="14"/>
      <c r="C921" s="13"/>
      <c r="D921" s="13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>
      <c r="A922" s="14"/>
      <c r="B922" s="14"/>
      <c r="C922" s="13"/>
      <c r="D922" s="13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>
      <c r="A923" s="14"/>
      <c r="B923" s="14"/>
      <c r="C923" s="13"/>
      <c r="D923" s="13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>
      <c r="A924" s="14"/>
      <c r="B924" s="14"/>
      <c r="C924" s="13"/>
      <c r="D924" s="13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>
      <c r="A925" s="14"/>
      <c r="B925" s="14"/>
      <c r="C925" s="13"/>
      <c r="D925" s="13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>
      <c r="A926" s="14"/>
      <c r="B926" s="14"/>
      <c r="C926" s="13"/>
      <c r="D926" s="13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>
      <c r="A927" s="14"/>
      <c r="B927" s="14"/>
      <c r="C927" s="13"/>
      <c r="D927" s="13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>
      <c r="A928" s="14"/>
      <c r="B928" s="14"/>
      <c r="C928" s="13"/>
      <c r="D928" s="13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>
      <c r="A929" s="14"/>
      <c r="B929" s="14"/>
      <c r="C929" s="13"/>
      <c r="D929" s="13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>
      <c r="A930" s="14"/>
      <c r="B930" s="14"/>
      <c r="C930" s="13"/>
      <c r="D930" s="13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>
      <c r="A931" s="14"/>
      <c r="B931" s="14"/>
      <c r="C931" s="13"/>
      <c r="D931" s="13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>
      <c r="A932" s="14"/>
      <c r="B932" s="14"/>
      <c r="C932" s="13"/>
      <c r="D932" s="13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>
      <c r="A933" s="14"/>
      <c r="B933" s="14"/>
      <c r="C933" s="13"/>
      <c r="D933" s="13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>
      <c r="A934" s="14"/>
      <c r="B934" s="14"/>
      <c r="C934" s="13"/>
      <c r="D934" s="13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>
      <c r="A935" s="14"/>
      <c r="B935" s="14"/>
      <c r="C935" s="13"/>
      <c r="D935" s="13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>
      <c r="A936" s="14"/>
      <c r="B936" s="14"/>
      <c r="C936" s="13"/>
      <c r="D936" s="13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>
      <c r="A937" s="14"/>
      <c r="B937" s="14"/>
      <c r="C937" s="13"/>
      <c r="D937" s="13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>
      <c r="A938" s="14"/>
      <c r="B938" s="14"/>
      <c r="C938" s="13"/>
      <c r="D938" s="13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>
      <c r="A939" s="14"/>
      <c r="B939" s="14"/>
      <c r="C939" s="13"/>
      <c r="D939" s="13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>
      <c r="A940" s="14"/>
      <c r="B940" s="14"/>
      <c r="C940" s="13"/>
      <c r="D940" s="13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>
      <c r="A941" s="14"/>
      <c r="B941" s="14"/>
      <c r="C941" s="13"/>
      <c r="D941" s="13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>
      <c r="A942" s="14"/>
      <c r="B942" s="14"/>
      <c r="C942" s="13"/>
      <c r="D942" s="13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>
      <c r="A943" s="14"/>
      <c r="B943" s="14"/>
      <c r="C943" s="13"/>
      <c r="D943" s="13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>
      <c r="A944" s="14"/>
      <c r="B944" s="14"/>
      <c r="C944" s="13"/>
      <c r="D944" s="13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>
      <c r="A945" s="14"/>
      <c r="B945" s="14"/>
      <c r="C945" s="13"/>
      <c r="D945" s="13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>
      <c r="A946" s="14"/>
      <c r="B946" s="14"/>
      <c r="C946" s="13"/>
      <c r="D946" s="13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>
      <c r="A947" s="14"/>
      <c r="B947" s="14"/>
      <c r="C947" s="13"/>
      <c r="D947" s="13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>
      <c r="A948" s="14"/>
      <c r="B948" s="14"/>
      <c r="C948" s="13"/>
      <c r="D948" s="13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>
      <c r="A949" s="14"/>
      <c r="B949" s="14"/>
      <c r="C949" s="13"/>
      <c r="D949" s="13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>
      <c r="A950" s="14"/>
      <c r="B950" s="14"/>
      <c r="C950" s="13"/>
      <c r="D950" s="13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>
      <c r="A951" s="14"/>
      <c r="B951" s="14"/>
      <c r="C951" s="13"/>
      <c r="D951" s="13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>
      <c r="A952" s="14"/>
      <c r="B952" s="14"/>
      <c r="C952" s="13"/>
      <c r="D952" s="13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>
      <c r="A953" s="14"/>
      <c r="B953" s="14"/>
      <c r="C953" s="13"/>
      <c r="D953" s="13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>
      <c r="A954" s="14"/>
      <c r="B954" s="14"/>
      <c r="C954" s="13"/>
      <c r="D954" s="13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>
      <c r="A955" s="14"/>
      <c r="B955" s="14"/>
      <c r="C955" s="13"/>
      <c r="D955" s="13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>
      <c r="A956" s="14"/>
      <c r="B956" s="14"/>
      <c r="C956" s="13"/>
      <c r="D956" s="13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>
      <c r="A957" s="14"/>
      <c r="B957" s="14"/>
      <c r="C957" s="13"/>
      <c r="D957" s="13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>
      <c r="A958" s="14"/>
      <c r="B958" s="14"/>
      <c r="C958" s="13"/>
      <c r="D958" s="13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>
      <c r="A959" s="14"/>
      <c r="B959" s="14"/>
      <c r="C959" s="13"/>
      <c r="D959" s="13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>
      <c r="A960" s="14"/>
      <c r="B960" s="14"/>
      <c r="C960" s="13"/>
      <c r="D960" s="13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>
      <c r="A961" s="14"/>
      <c r="B961" s="14"/>
      <c r="C961" s="13"/>
      <c r="D961" s="13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>
      <c r="A962" s="14"/>
      <c r="B962" s="14"/>
      <c r="C962" s="13"/>
      <c r="D962" s="13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>
      <c r="A963" s="14"/>
      <c r="B963" s="14"/>
      <c r="C963" s="13"/>
      <c r="D963" s="13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>
      <c r="A964" s="14"/>
      <c r="B964" s="14"/>
      <c r="C964" s="13"/>
      <c r="D964" s="13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>
      <c r="A965" s="14"/>
      <c r="B965" s="14"/>
      <c r="C965" s="13"/>
      <c r="D965" s="13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>
      <c r="A966" s="14"/>
      <c r="B966" s="14"/>
      <c r="C966" s="13"/>
      <c r="D966" s="13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>
      <c r="A967" s="14"/>
      <c r="B967" s="14"/>
      <c r="C967" s="13"/>
      <c r="D967" s="13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>
      <c r="A968" s="14"/>
      <c r="B968" s="14"/>
      <c r="C968" s="13"/>
      <c r="D968" s="13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>
      <c r="A969" s="14"/>
      <c r="B969" s="14"/>
      <c r="C969" s="13"/>
      <c r="D969" s="13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>
      <c r="A970" s="14"/>
      <c r="B970" s="14"/>
      <c r="C970" s="13"/>
      <c r="D970" s="13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>
      <c r="A971" s="14"/>
      <c r="B971" s="14"/>
      <c r="C971" s="13"/>
      <c r="D971" s="13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>
      <c r="A972" s="14"/>
      <c r="B972" s="14"/>
      <c r="C972" s="13"/>
      <c r="D972" s="13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>
      <c r="A973" s="14"/>
      <c r="B973" s="14"/>
      <c r="C973" s="13"/>
      <c r="D973" s="13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>
      <c r="A974" s="14"/>
      <c r="B974" s="14"/>
      <c r="C974" s="13"/>
      <c r="D974" s="13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>
      <c r="A975" s="14"/>
      <c r="B975" s="14"/>
      <c r="C975" s="13"/>
      <c r="D975" s="13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>
      <c r="A976" s="14"/>
      <c r="B976" s="14"/>
      <c r="C976" s="13"/>
      <c r="D976" s="13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>
      <c r="A977" s="14"/>
      <c r="B977" s="14"/>
      <c r="C977" s="13"/>
      <c r="D977" s="13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>
      <c r="A978" s="14"/>
      <c r="B978" s="14"/>
      <c r="C978" s="13"/>
      <c r="D978" s="13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>
      <c r="A979" s="14"/>
      <c r="B979" s="14"/>
      <c r="C979" s="13"/>
      <c r="D979" s="13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>
      <c r="A980" s="14"/>
      <c r="B980" s="14"/>
      <c r="C980" s="13"/>
      <c r="D980" s="13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>
      <c r="A981" s="14"/>
      <c r="B981" s="14"/>
      <c r="C981" s="13"/>
      <c r="D981" s="13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>
      <c r="A982" s="14"/>
      <c r="B982" s="14"/>
      <c r="C982" s="13"/>
      <c r="D982" s="13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>
      <c r="A983" s="14"/>
      <c r="B983" s="14"/>
      <c r="C983" s="13"/>
      <c r="D983" s="13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>
      <c r="A984" s="14"/>
      <c r="B984" s="14"/>
      <c r="C984" s="13"/>
      <c r="D984" s="13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>
      <c r="A985" s="14"/>
      <c r="B985" s="14"/>
      <c r="C985" s="13"/>
      <c r="D985" s="13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>
      <c r="A986" s="14"/>
      <c r="B986" s="14"/>
      <c r="C986" s="13"/>
      <c r="D986" s="13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>
      <c r="A987" s="14"/>
      <c r="B987" s="14"/>
      <c r="C987" s="13"/>
      <c r="D987" s="13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>
      <c r="A988" s="14"/>
      <c r="B988" s="14"/>
      <c r="C988" s="13"/>
      <c r="D988" s="13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>
      <c r="A989" s="14"/>
      <c r="B989" s="14"/>
      <c r="C989" s="13"/>
      <c r="D989" s="13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>
      <c r="A990" s="14"/>
      <c r="B990" s="14"/>
      <c r="C990" s="13"/>
      <c r="D990" s="13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>
      <c r="A991" s="14"/>
      <c r="B991" s="14"/>
      <c r="C991" s="13"/>
      <c r="D991" s="13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>
      <c r="A992" s="14"/>
      <c r="B992" s="14"/>
      <c r="C992" s="13"/>
      <c r="D992" s="13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>
      <c r="A993" s="14"/>
      <c r="B993" s="14"/>
      <c r="C993" s="13"/>
      <c r="D993" s="13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>
      <c r="A994" s="14"/>
      <c r="B994" s="14"/>
      <c r="C994" s="13"/>
      <c r="D994" s="13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>
      <c r="A995" s="14"/>
      <c r="B995" s="14"/>
      <c r="C995" s="13"/>
      <c r="D995" s="13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>
      <c r="A996" s="14"/>
      <c r="B996" s="14"/>
      <c r="C996" s="13"/>
      <c r="D996" s="13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>
      <c r="A997" s="14"/>
      <c r="B997" s="14"/>
      <c r="C997" s="13"/>
      <c r="D997" s="13"/>
      <c r="E997" s="13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>
      <c r="A998" s="14"/>
      <c r="B998" s="14"/>
      <c r="C998" s="13"/>
      <c r="D998" s="13"/>
      <c r="E998" s="13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>
      <c r="A999" s="14"/>
      <c r="B999" s="14"/>
      <c r="C999" s="13"/>
      <c r="D999" s="13"/>
      <c r="E999" s="13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>
      <c r="A1000" s="14"/>
      <c r="B1000" s="14"/>
      <c r="C1000" s="13"/>
      <c r="D1000" s="13"/>
      <c r="E1000" s="13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honeticPr fontId="13" type="noConversion"/>
  <pageMargins left="0.7" right="0.7" top="0.75" bottom="0.7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34" workbookViewId="0">
      <selection activeCell="B54" sqref="B54"/>
    </sheetView>
  </sheetViews>
  <sheetFormatPr defaultColWidth="14.42578125" defaultRowHeight="15" customHeight="1"/>
  <cols>
    <col min="1" max="1" width="28" customWidth="1"/>
    <col min="2" max="2" width="45.140625" customWidth="1"/>
    <col min="3" max="3" width="56" customWidth="1"/>
    <col min="4" max="4" width="77.42578125" customWidth="1"/>
    <col min="5" max="5" width="49.85546875" customWidth="1"/>
    <col min="6" max="26" width="9" customWidth="1"/>
  </cols>
  <sheetData>
    <row r="1" spans="1:26" ht="16.5" customHeight="1">
      <c r="A1" s="4" t="s">
        <v>452</v>
      </c>
      <c r="B1" s="4" t="s">
        <v>3</v>
      </c>
      <c r="C1" s="4" t="s">
        <v>4</v>
      </c>
      <c r="D1" s="4" t="s">
        <v>6</v>
      </c>
      <c r="E1" s="3" t="s">
        <v>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customHeight="1">
      <c r="A2" s="4" t="s">
        <v>11</v>
      </c>
      <c r="B2" s="4" t="s">
        <v>11</v>
      </c>
      <c r="C2" s="4" t="s">
        <v>11</v>
      </c>
      <c r="D2" s="4" t="s">
        <v>11</v>
      </c>
      <c r="E2" s="3" t="s">
        <v>11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>
      <c r="A3" s="15" t="s">
        <v>2988</v>
      </c>
      <c r="B3" s="11" t="str">
        <f t="shared" ref="B3:B27" si="0">UPPER(A3) &amp; "_DESC"</f>
        <v>LEADERSHIP_DESC</v>
      </c>
      <c r="C3" s="15" t="s">
        <v>464</v>
      </c>
      <c r="D3" s="11" t="s">
        <v>465</v>
      </c>
      <c r="E3" s="8" t="s">
        <v>466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>
      <c r="A4" s="15" t="s">
        <v>2997</v>
      </c>
      <c r="B4" s="11" t="str">
        <f t="shared" si="0"/>
        <v>STRENGTH_DESC</v>
      </c>
      <c r="C4" s="15" t="s">
        <v>472</v>
      </c>
      <c r="D4" s="11" t="s">
        <v>473</v>
      </c>
      <c r="E4" s="8" t="s">
        <v>474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 customHeight="1">
      <c r="A5" s="15" t="s">
        <v>3002</v>
      </c>
      <c r="B5" s="11" t="str">
        <f t="shared" si="0"/>
        <v>INTELLECT_DESC</v>
      </c>
      <c r="C5" s="15" t="s">
        <v>460</v>
      </c>
      <c r="D5" s="11" t="s">
        <v>461</v>
      </c>
      <c r="E5" s="8" t="s">
        <v>462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 customHeight="1">
      <c r="A6" s="15" t="s">
        <v>3004</v>
      </c>
      <c r="B6" s="11" t="str">
        <f t="shared" si="0"/>
        <v>POLITICS_DESC</v>
      </c>
      <c r="C6" s="15" t="s">
        <v>468</v>
      </c>
      <c r="D6" s="11" t="s">
        <v>469</v>
      </c>
      <c r="E6" s="8" t="s">
        <v>470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>
      <c r="A7" s="15" t="s">
        <v>3005</v>
      </c>
      <c r="B7" s="11" t="str">
        <f t="shared" si="0"/>
        <v>CHARISMA_DESC</v>
      </c>
      <c r="C7" s="15" t="s">
        <v>456</v>
      </c>
      <c r="D7" s="11" t="s">
        <v>457</v>
      </c>
      <c r="E7" s="8" t="s">
        <v>458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 customHeight="1">
      <c r="A8" s="16" t="s">
        <v>3006</v>
      </c>
      <c r="B8" s="11" t="str">
        <f t="shared" si="0"/>
        <v>ATTACK_POWER_DESC</v>
      </c>
      <c r="C8" s="16" t="s">
        <v>31</v>
      </c>
      <c r="D8" s="11" t="s">
        <v>3010</v>
      </c>
      <c r="E8" s="8" t="s">
        <v>33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 customHeight="1">
      <c r="A9" s="16" t="s">
        <v>3011</v>
      </c>
      <c r="B9" s="11" t="str">
        <f t="shared" si="0"/>
        <v>DEFENCE_DESC</v>
      </c>
      <c r="C9" s="16" t="s">
        <v>79</v>
      </c>
      <c r="D9" s="11" t="s">
        <v>1239</v>
      </c>
      <c r="E9" s="8" t="s">
        <v>83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 customHeight="1">
      <c r="A10" s="16" t="s">
        <v>3012</v>
      </c>
      <c r="B10" s="11" t="str">
        <f t="shared" si="0"/>
        <v>ATTACK_SPEED_DESC</v>
      </c>
      <c r="C10" s="16" t="s">
        <v>36</v>
      </c>
      <c r="D10" s="11" t="s">
        <v>3013</v>
      </c>
      <c r="E10" s="8" t="s">
        <v>38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 customHeight="1">
      <c r="A11" s="16" t="s">
        <v>3014</v>
      </c>
      <c r="B11" s="11" t="str">
        <f t="shared" si="0"/>
        <v>HEALTH_MAX_DESC</v>
      </c>
      <c r="C11" s="16" t="s">
        <v>88</v>
      </c>
      <c r="D11" s="11" t="s">
        <v>3015</v>
      </c>
      <c r="E11" s="8" t="s">
        <v>93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 customHeight="1">
      <c r="A12" s="16" t="s">
        <v>3016</v>
      </c>
      <c r="B12" s="11" t="str">
        <f t="shared" si="0"/>
        <v>MOVE_SPEED_DESC</v>
      </c>
      <c r="C12" s="16" t="s">
        <v>110</v>
      </c>
      <c r="D12" s="11" t="s">
        <v>3017</v>
      </c>
      <c r="E12" s="8" t="s">
        <v>116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 customHeight="1">
      <c r="A13" s="16" t="s">
        <v>3021</v>
      </c>
      <c r="B13" s="11" t="str">
        <f t="shared" si="0"/>
        <v>LIFE_STEAL_DESC</v>
      </c>
      <c r="C13" s="16" t="s">
        <v>100</v>
      </c>
      <c r="D13" s="11" t="s">
        <v>103</v>
      </c>
      <c r="E13" s="8" t="s">
        <v>105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6.5" customHeight="1">
      <c r="A14" s="16" t="s">
        <v>3022</v>
      </c>
      <c r="B14" s="11" t="str">
        <f t="shared" si="0"/>
        <v>CRITICAL_RATE_DESC</v>
      </c>
      <c r="C14" s="12" t="s">
        <v>69</v>
      </c>
      <c r="D14" s="11" t="s">
        <v>3023</v>
      </c>
      <c r="E14" s="8" t="s">
        <v>71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 customHeight="1">
      <c r="A15" s="16" t="s">
        <v>3024</v>
      </c>
      <c r="B15" s="11" t="str">
        <f t="shared" si="0"/>
        <v>COOLDOWN_RATE_DESC</v>
      </c>
      <c r="C15" s="16" t="s">
        <v>48</v>
      </c>
      <c r="D15" s="11" t="s">
        <v>3025</v>
      </c>
      <c r="E15" s="8" t="s">
        <v>53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 customHeight="1">
      <c r="A16" s="16" t="s">
        <v>3026</v>
      </c>
      <c r="B16" s="11" t="str">
        <f t="shared" si="0"/>
        <v>CRITICAL_DAMAGE_DESC</v>
      </c>
      <c r="C16" s="12" t="s">
        <v>58</v>
      </c>
      <c r="D16" s="11" t="s">
        <v>3027</v>
      </c>
      <c r="E16" s="8" t="s">
        <v>62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 customHeight="1">
      <c r="A17" s="16" t="s">
        <v>3028</v>
      </c>
      <c r="B17" s="11" t="str">
        <f t="shared" si="0"/>
        <v>BOSS_DAMAGE_DESC</v>
      </c>
      <c r="C17" s="16" t="s">
        <v>40</v>
      </c>
      <c r="D17" s="11" t="s">
        <v>3029</v>
      </c>
      <c r="E17" s="8" t="s">
        <v>42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 customHeight="1">
      <c r="A18" s="16" t="s">
        <v>3030</v>
      </c>
      <c r="B18" s="11" t="str">
        <f t="shared" si="0"/>
        <v>COMBAT_STATUS_BUFF_DESC</v>
      </c>
      <c r="C18" s="16" t="s">
        <v>3033</v>
      </c>
      <c r="D18" s="11" t="s">
        <v>3034</v>
      </c>
      <c r="E18" s="8" t="s">
        <v>3035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 customHeight="1">
      <c r="A19" s="16" t="s">
        <v>3036</v>
      </c>
      <c r="B19" s="11" t="str">
        <f t="shared" si="0"/>
        <v>ATK_EFFECT_LIGHTNING_DESC</v>
      </c>
      <c r="C19" s="15" t="s">
        <v>3039</v>
      </c>
      <c r="D19" s="11" t="s">
        <v>3041</v>
      </c>
      <c r="E19" s="8" t="s">
        <v>3042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 customHeight="1">
      <c r="A20" s="16" t="s">
        <v>3043</v>
      </c>
      <c r="B20" s="11" t="str">
        <f t="shared" si="0"/>
        <v>ATK_EFFECT_BLEEDING_DESC</v>
      </c>
      <c r="C20" s="15" t="s">
        <v>3047</v>
      </c>
      <c r="D20" s="11" t="s">
        <v>3048</v>
      </c>
      <c r="E20" s="8" t="s">
        <v>3049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6.5" customHeight="1">
      <c r="A21" s="16" t="s">
        <v>3050</v>
      </c>
      <c r="B21" s="11" t="str">
        <f t="shared" si="0"/>
        <v>ATK_EFFECT_BURN_DESC</v>
      </c>
      <c r="C21" s="15" t="s">
        <v>3051</v>
      </c>
      <c r="D21" s="11" t="s">
        <v>3052</v>
      </c>
      <c r="E21" s="8" t="s">
        <v>3053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6.5" customHeight="1">
      <c r="A22" s="16" t="s">
        <v>3054</v>
      </c>
      <c r="B22" s="11" t="str">
        <f t="shared" si="0"/>
        <v>ATK_EFFECT_POISONING_DESC</v>
      </c>
      <c r="C22" s="15" t="s">
        <v>3055</v>
      </c>
      <c r="D22" s="11" t="s">
        <v>3056</v>
      </c>
      <c r="E22" s="8" t="s">
        <v>3057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6.5" customHeight="1">
      <c r="A23" s="16" t="s">
        <v>3058</v>
      </c>
      <c r="B23" s="11" t="str">
        <f t="shared" si="0"/>
        <v>ATK_EFFECT_STUN_DESC</v>
      </c>
      <c r="C23" s="15" t="s">
        <v>3059</v>
      </c>
      <c r="D23" s="11" t="s">
        <v>3060</v>
      </c>
      <c r="E23" s="8" t="s">
        <v>3061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6.5" customHeight="1">
      <c r="A24" s="16" t="s">
        <v>3062</v>
      </c>
      <c r="B24" s="11" t="str">
        <f t="shared" si="0"/>
        <v>ATK_EFFECT_SILENCE_DESC</v>
      </c>
      <c r="C24" s="15" t="s">
        <v>3063</v>
      </c>
      <c r="D24" s="11" t="s">
        <v>3064</v>
      </c>
      <c r="E24" s="8" t="s">
        <v>3065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6.5" customHeight="1">
      <c r="A25" s="16" t="s">
        <v>3066</v>
      </c>
      <c r="B25" s="11" t="str">
        <f t="shared" si="0"/>
        <v>ATK_EFFECT_AOE_DESC</v>
      </c>
      <c r="C25" s="15" t="s">
        <v>3067</v>
      </c>
      <c r="D25" s="11" t="s">
        <v>3068</v>
      </c>
      <c r="E25" s="8" t="s">
        <v>3069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6.5" customHeight="1">
      <c r="A26" s="16" t="s">
        <v>3070</v>
      </c>
      <c r="B26" s="11" t="str">
        <f t="shared" si="0"/>
        <v>DEF_EFFECT_SHIELD_DESC</v>
      </c>
      <c r="C26" s="15" t="s">
        <v>3071</v>
      </c>
      <c r="D26" s="11" t="s">
        <v>3072</v>
      </c>
      <c r="E26" s="8" t="s">
        <v>3073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6.5" customHeight="1">
      <c r="A27" s="16" t="s">
        <v>3074</v>
      </c>
      <c r="B27" s="11" t="str">
        <f t="shared" si="0"/>
        <v>DEF_EFFECT_DAMAGE_TAKEN_REDUCED_DESC</v>
      </c>
      <c r="C27" s="15" t="s">
        <v>3075</v>
      </c>
      <c r="D27" s="11" t="s">
        <v>3076</v>
      </c>
      <c r="E27" s="8" t="s">
        <v>3077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6.5" customHeight="1">
      <c r="A28" s="15" t="s">
        <v>2988</v>
      </c>
      <c r="B28" s="11" t="str">
        <f t="shared" ref="B28:B52" si="1">UPPER(A28) &amp; "_TITLE"</f>
        <v>LEADERSHIP_TITLE</v>
      </c>
      <c r="C28" s="15" t="s">
        <v>464</v>
      </c>
      <c r="D28" s="11" t="s">
        <v>465</v>
      </c>
      <c r="E28" s="8" t="s">
        <v>466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6.5" customHeight="1">
      <c r="A29" s="15" t="s">
        <v>2997</v>
      </c>
      <c r="B29" s="11" t="str">
        <f t="shared" si="1"/>
        <v>STRENGTH_TITLE</v>
      </c>
      <c r="C29" s="15" t="s">
        <v>472</v>
      </c>
      <c r="D29" s="11" t="s">
        <v>473</v>
      </c>
      <c r="E29" s="8" t="s">
        <v>474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6.5" customHeight="1">
      <c r="A30" s="15" t="s">
        <v>3002</v>
      </c>
      <c r="B30" s="11" t="str">
        <f t="shared" si="1"/>
        <v>INTELLECT_TITLE</v>
      </c>
      <c r="C30" s="15" t="s">
        <v>460</v>
      </c>
      <c r="D30" s="11" t="s">
        <v>461</v>
      </c>
      <c r="E30" s="8" t="s">
        <v>462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6.5" customHeight="1">
      <c r="A31" s="15" t="s">
        <v>3004</v>
      </c>
      <c r="B31" s="11" t="str">
        <f t="shared" si="1"/>
        <v>POLITICS_TITLE</v>
      </c>
      <c r="C31" s="15" t="s">
        <v>468</v>
      </c>
      <c r="D31" s="11" t="s">
        <v>469</v>
      </c>
      <c r="E31" s="8" t="s">
        <v>470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6.5" customHeight="1">
      <c r="A32" s="15" t="s">
        <v>3005</v>
      </c>
      <c r="B32" s="11" t="str">
        <f t="shared" si="1"/>
        <v>CHARISMA_TITLE</v>
      </c>
      <c r="C32" s="15" t="s">
        <v>456</v>
      </c>
      <c r="D32" s="11" t="s">
        <v>457</v>
      </c>
      <c r="E32" s="8" t="s">
        <v>458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6.5" customHeight="1">
      <c r="A33" s="16" t="s">
        <v>3006</v>
      </c>
      <c r="B33" s="11" t="str">
        <f t="shared" si="1"/>
        <v>ATTACK_POWER_TITLE</v>
      </c>
      <c r="C33" s="16" t="s">
        <v>31</v>
      </c>
      <c r="D33" s="11" t="s">
        <v>3010</v>
      </c>
      <c r="E33" s="8" t="s">
        <v>33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6.5" customHeight="1">
      <c r="A34" s="16" t="s">
        <v>3011</v>
      </c>
      <c r="B34" s="11" t="str">
        <f t="shared" si="1"/>
        <v>DEFENCE_TITLE</v>
      </c>
      <c r="C34" s="16" t="s">
        <v>79</v>
      </c>
      <c r="D34" s="11" t="s">
        <v>1239</v>
      </c>
      <c r="E34" s="8" t="s">
        <v>83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6.5" customHeight="1">
      <c r="A35" s="16" t="s">
        <v>3012</v>
      </c>
      <c r="B35" s="11" t="str">
        <f t="shared" si="1"/>
        <v>ATTACK_SPEED_TITLE</v>
      </c>
      <c r="C35" s="16" t="s">
        <v>36</v>
      </c>
      <c r="D35" s="11" t="s">
        <v>3013</v>
      </c>
      <c r="E35" s="8" t="s">
        <v>38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6.5" customHeight="1">
      <c r="A36" s="16" t="s">
        <v>3014</v>
      </c>
      <c r="B36" s="11" t="str">
        <f t="shared" si="1"/>
        <v>HEALTH_MAX_TITLE</v>
      </c>
      <c r="C36" s="16" t="s">
        <v>88</v>
      </c>
      <c r="D36" s="11" t="s">
        <v>3015</v>
      </c>
      <c r="E36" s="8" t="s">
        <v>93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6.5" customHeight="1">
      <c r="A37" s="16" t="s">
        <v>3016</v>
      </c>
      <c r="B37" s="11" t="str">
        <f t="shared" si="1"/>
        <v>MOVE_SPEED_TITLE</v>
      </c>
      <c r="C37" s="16" t="s">
        <v>110</v>
      </c>
      <c r="D37" s="11" t="s">
        <v>3017</v>
      </c>
      <c r="E37" s="8" t="s">
        <v>116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6.5" customHeight="1">
      <c r="A38" s="16" t="s">
        <v>3021</v>
      </c>
      <c r="B38" s="11" t="str">
        <f t="shared" si="1"/>
        <v>LIFE_STEAL_TITLE</v>
      </c>
      <c r="C38" s="16" t="s">
        <v>100</v>
      </c>
      <c r="D38" s="11" t="s">
        <v>103</v>
      </c>
      <c r="E38" s="8" t="s">
        <v>105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6.5" customHeight="1">
      <c r="A39" s="16" t="s">
        <v>3022</v>
      </c>
      <c r="B39" s="11" t="str">
        <f t="shared" si="1"/>
        <v>CRITICAL_RATE_TITLE</v>
      </c>
      <c r="C39" s="12" t="s">
        <v>69</v>
      </c>
      <c r="D39" s="11" t="s">
        <v>3023</v>
      </c>
      <c r="E39" s="8" t="s">
        <v>71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6.5" customHeight="1">
      <c r="A40" s="16" t="s">
        <v>3024</v>
      </c>
      <c r="B40" s="11" t="str">
        <f t="shared" si="1"/>
        <v>COOLDOWN_RATE_TITLE</v>
      </c>
      <c r="C40" s="16" t="s">
        <v>48</v>
      </c>
      <c r="D40" s="11" t="s">
        <v>3025</v>
      </c>
      <c r="E40" s="8" t="s">
        <v>53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6.5" customHeight="1">
      <c r="A41" s="16" t="s">
        <v>3026</v>
      </c>
      <c r="B41" s="11" t="str">
        <f t="shared" si="1"/>
        <v>CRITICAL_DAMAGE_TITLE</v>
      </c>
      <c r="C41" s="12" t="s">
        <v>58</v>
      </c>
      <c r="D41" s="11" t="s">
        <v>3027</v>
      </c>
      <c r="E41" s="8" t="s">
        <v>62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6.5" customHeight="1">
      <c r="A42" s="16" t="s">
        <v>3028</v>
      </c>
      <c r="B42" s="11" t="str">
        <f t="shared" si="1"/>
        <v>BOSS_DAMAGE_TITLE</v>
      </c>
      <c r="C42" s="16" t="s">
        <v>40</v>
      </c>
      <c r="D42" s="11" t="s">
        <v>3029</v>
      </c>
      <c r="E42" s="8" t="s">
        <v>42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6.5" customHeight="1">
      <c r="A43" s="16" t="s">
        <v>3030</v>
      </c>
      <c r="B43" s="11" t="str">
        <f t="shared" si="1"/>
        <v>COMBAT_STATUS_BUFF_TITLE</v>
      </c>
      <c r="C43" s="16" t="s">
        <v>3078</v>
      </c>
      <c r="D43" s="11" t="s">
        <v>3079</v>
      </c>
      <c r="E43" s="8" t="s">
        <v>3080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6.5" customHeight="1">
      <c r="A44" s="16" t="s">
        <v>3036</v>
      </c>
      <c r="B44" s="11" t="str">
        <f t="shared" si="1"/>
        <v>ATK_EFFECT_LIGHTNING_TITLE</v>
      </c>
      <c r="C44" s="5" t="s">
        <v>3081</v>
      </c>
      <c r="D44" s="11" t="s">
        <v>3082</v>
      </c>
      <c r="E44" s="8" t="s">
        <v>3083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6.5" customHeight="1">
      <c r="A45" s="16" t="s">
        <v>3043</v>
      </c>
      <c r="B45" s="11" t="str">
        <f t="shared" si="1"/>
        <v>ATK_EFFECT_BLEEDING_TITLE</v>
      </c>
      <c r="C45" s="5" t="s">
        <v>3084</v>
      </c>
      <c r="D45" s="11" t="s">
        <v>3085</v>
      </c>
      <c r="E45" s="8" t="s">
        <v>3086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6.5" customHeight="1">
      <c r="A46" s="16" t="s">
        <v>3050</v>
      </c>
      <c r="B46" s="11" t="str">
        <f t="shared" si="1"/>
        <v>ATK_EFFECT_BURN_TITLE</v>
      </c>
      <c r="C46" s="5" t="s">
        <v>3087</v>
      </c>
      <c r="D46" s="11" t="s">
        <v>3088</v>
      </c>
      <c r="E46" s="8" t="s">
        <v>3089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6.5" customHeight="1">
      <c r="A47" s="16" t="s">
        <v>3054</v>
      </c>
      <c r="B47" s="11" t="str">
        <f t="shared" si="1"/>
        <v>ATK_EFFECT_POISONING_TITLE</v>
      </c>
      <c r="C47" s="5" t="s">
        <v>3090</v>
      </c>
      <c r="D47" s="11" t="s">
        <v>3091</v>
      </c>
      <c r="E47" s="8" t="s">
        <v>3092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6.5" customHeight="1">
      <c r="A48" s="16" t="s">
        <v>3058</v>
      </c>
      <c r="B48" s="11" t="str">
        <f t="shared" si="1"/>
        <v>ATK_EFFECT_STUN_TITLE</v>
      </c>
      <c r="C48" s="5" t="s">
        <v>3093</v>
      </c>
      <c r="D48" s="11" t="s">
        <v>3094</v>
      </c>
      <c r="E48" s="8" t="s">
        <v>3095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6.5" customHeight="1">
      <c r="A49" s="44" t="s">
        <v>3062</v>
      </c>
      <c r="B49" s="45" t="str">
        <f t="shared" si="1"/>
        <v>ATK_EFFECT_SILENCE_TITLE</v>
      </c>
      <c r="C49" s="46" t="s">
        <v>3096</v>
      </c>
      <c r="D49" s="45" t="s">
        <v>3097</v>
      </c>
      <c r="E49" s="47" t="s">
        <v>3098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6.5" customHeight="1">
      <c r="A50" s="48" t="s">
        <v>3066</v>
      </c>
      <c r="B50" s="49" t="str">
        <f t="shared" si="1"/>
        <v>ATK_EFFECT_AOE_TITLE</v>
      </c>
      <c r="C50" s="50" t="s">
        <v>3430</v>
      </c>
      <c r="D50" s="49" t="s">
        <v>3099</v>
      </c>
      <c r="E50" s="49" t="s">
        <v>3100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6.5" customHeight="1">
      <c r="A51" s="48" t="s">
        <v>3070</v>
      </c>
      <c r="B51" s="49" t="str">
        <f t="shared" si="1"/>
        <v>DEF_EFFECT_SHIELD_TITLE</v>
      </c>
      <c r="C51" s="50" t="s">
        <v>3431</v>
      </c>
      <c r="D51" s="49" t="s">
        <v>3101</v>
      </c>
      <c r="E51" s="49" t="s">
        <v>3102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6.5" customHeight="1">
      <c r="A52" s="48" t="s">
        <v>3074</v>
      </c>
      <c r="B52" s="49" t="str">
        <f t="shared" si="1"/>
        <v>DEF_EFFECT_DAMAGE_TAKEN_REDUCED_TITLE</v>
      </c>
      <c r="C52" s="50" t="s">
        <v>3432</v>
      </c>
      <c r="D52" s="49" t="s">
        <v>3103</v>
      </c>
      <c r="E52" s="49" t="s">
        <v>3104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6.5" customHeight="1">
      <c r="A53" s="51"/>
      <c r="B53" s="51" t="s">
        <v>3426</v>
      </c>
      <c r="C53" s="51" t="s">
        <v>3427</v>
      </c>
      <c r="D53" s="52" t="s">
        <v>3428</v>
      </c>
      <c r="E53" s="52" t="s">
        <v>3429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6.5" customHeight="1">
      <c r="A54" s="14"/>
      <c r="B54" s="14" t="s">
        <v>3433</v>
      </c>
      <c r="C54" s="14" t="s">
        <v>3434</v>
      </c>
      <c r="D54" s="43" t="s">
        <v>3435</v>
      </c>
      <c r="E54" s="43" t="s">
        <v>3436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6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6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6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6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6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6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6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6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6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6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6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6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6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6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6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6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6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6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6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6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6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6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6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6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6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6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6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6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6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6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6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6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6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6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6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6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6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6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6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6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6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6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6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6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6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6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6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6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6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6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6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6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6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6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6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6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6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6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6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6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6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6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6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6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6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6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6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6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6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6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6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6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6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6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6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6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6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6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6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6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6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6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6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6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6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6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6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6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6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6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6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6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6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6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6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6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6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6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6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6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6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6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6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6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6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6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6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6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6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6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6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6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6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6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6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6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6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6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6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6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6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6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6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6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6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6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6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6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6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6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6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6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6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6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6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6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6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6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6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6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6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6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6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6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6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6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6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6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6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6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6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6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6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6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6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6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6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6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6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6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6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6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6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6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6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6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6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6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6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6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6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6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6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6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6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6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6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6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6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6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6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6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6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6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6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6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6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6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6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6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6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6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6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6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6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6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6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6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6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6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6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6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6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6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6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6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6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6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6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6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6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6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6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6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6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6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6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6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6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6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6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6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6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6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6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6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6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6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6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6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6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6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6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6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6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6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6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6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6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6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6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6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6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6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6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6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6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6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6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6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6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6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6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6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6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6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6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6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6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6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6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6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6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6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6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6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6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6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6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6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6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6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6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6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6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6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6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6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6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6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6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6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6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6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6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6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6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6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6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6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6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6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6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6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6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6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6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6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6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6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6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6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6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6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6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6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6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6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6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6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6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6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6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6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6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6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6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6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6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6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6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6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6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6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6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6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6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6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6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6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6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6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6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6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6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6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6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6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6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6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6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6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6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6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6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6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6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6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6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6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6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6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6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6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6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6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6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6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6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6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6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6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6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6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6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6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6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6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6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6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6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6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6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6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6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6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6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6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6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6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6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6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6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6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6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6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6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6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6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6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6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6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6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6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6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6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6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6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6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6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6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6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6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6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6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6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6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6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6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6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6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6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6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6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6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6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6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6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6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6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6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6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6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6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6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6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6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6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6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6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6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6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6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6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6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6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6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6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6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6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6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6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6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6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6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6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6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6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6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6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6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6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6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6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6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6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6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6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6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6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6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6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6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6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6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6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6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6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6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6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6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6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6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6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6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6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6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6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6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6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6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6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6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6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6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6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6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6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6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6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6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6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6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6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6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6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6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6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6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6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6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6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6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6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6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6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6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6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6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6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6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6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6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6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6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6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6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6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6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6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6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6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6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6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6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6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6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6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6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6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6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6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6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6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6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6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6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6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6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6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6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6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6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6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6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6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6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6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6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6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6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6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6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6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6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6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6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6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6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6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6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6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6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6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6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6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6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6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6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6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6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6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6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6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6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6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6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6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6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6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6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6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6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6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6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6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6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6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6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6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6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6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6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6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6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6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6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6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6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6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6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6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6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6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6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6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6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6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6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6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6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6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6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6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6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6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6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6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6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6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6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6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6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6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6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6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6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6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6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6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6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6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6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6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6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6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6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6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6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6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6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6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6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6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6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6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6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6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6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6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6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6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6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6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6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6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6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6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6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6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6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6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6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6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6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6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6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6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6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6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6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6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6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6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6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6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6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6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6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6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6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6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6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6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6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6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6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6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6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6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6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6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6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6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6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6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6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6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6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6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6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6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6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6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6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6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6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6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6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6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6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6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6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6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6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6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6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6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6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6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6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6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6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6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6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6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6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6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6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6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6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6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6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6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6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6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6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6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6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6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6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6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6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6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6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6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6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6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6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6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6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6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6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6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6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6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6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6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6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6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6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6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6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6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6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6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6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6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6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6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6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6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6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6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6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6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6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6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6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6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6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6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6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6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6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6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6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6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6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6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6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6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6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6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6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6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6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6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6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6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6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6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6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6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6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6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6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6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6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6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6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6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6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6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6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6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6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6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6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6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6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6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6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6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6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6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6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6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6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6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6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6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6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6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6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6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6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6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6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6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6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6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6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6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6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6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6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6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6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6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6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6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6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6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6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6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6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6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6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6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6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6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6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6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6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6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6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6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6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6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6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6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6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6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6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6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6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6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6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6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6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6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6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6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6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6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6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6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6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6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6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6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6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6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6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6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6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6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6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6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6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6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6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6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6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6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6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6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6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6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6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6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6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6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6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6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6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6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6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6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6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6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6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6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6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6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6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6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6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6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6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6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6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6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6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6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6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6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6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6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6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6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6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6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6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6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1"/>
  <sheetViews>
    <sheetView topLeftCell="A38" workbookViewId="0">
      <selection activeCell="C58" sqref="C58"/>
    </sheetView>
  </sheetViews>
  <sheetFormatPr defaultColWidth="14.42578125" defaultRowHeight="15" customHeight="1"/>
  <cols>
    <col min="1" max="1" width="6.42578125" customWidth="1"/>
    <col min="2" max="2" width="37.28515625" customWidth="1"/>
    <col min="3" max="3" width="39.140625" customWidth="1"/>
    <col min="4" max="4" width="44.28515625" customWidth="1"/>
    <col min="5" max="5" width="27.7109375" customWidth="1"/>
    <col min="6" max="26" width="9" customWidth="1"/>
  </cols>
  <sheetData>
    <row r="1" spans="1:26" ht="13.5" customHeight="1">
      <c r="A1" s="1" t="s">
        <v>452</v>
      </c>
      <c r="B1" s="1" t="s">
        <v>3</v>
      </c>
      <c r="C1" s="1" t="s">
        <v>4</v>
      </c>
      <c r="D1" s="1" t="s">
        <v>6</v>
      </c>
      <c r="E1" s="3" t="s">
        <v>9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3.5" customHeight="1">
      <c r="A2" s="1" t="s">
        <v>11</v>
      </c>
      <c r="B2" s="1" t="s">
        <v>11</v>
      </c>
      <c r="C2" s="1" t="s">
        <v>11</v>
      </c>
      <c r="D2" s="1" t="s">
        <v>11</v>
      </c>
      <c r="E2" s="3" t="s">
        <v>11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3.5" customHeight="1">
      <c r="A3" s="16"/>
      <c r="B3" s="8" t="s">
        <v>3105</v>
      </c>
      <c r="C3" s="16" t="s">
        <v>3106</v>
      </c>
      <c r="D3" s="8" t="s">
        <v>3107</v>
      </c>
      <c r="E3" s="8" t="s">
        <v>3108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3.5" customHeight="1">
      <c r="A4" s="16"/>
      <c r="B4" s="8" t="s">
        <v>3109</v>
      </c>
      <c r="C4" s="12" t="s">
        <v>3110</v>
      </c>
      <c r="D4" s="8" t="s">
        <v>3111</v>
      </c>
      <c r="E4" s="8" t="s">
        <v>3112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3.5" customHeight="1">
      <c r="A5" s="15"/>
      <c r="B5" s="8" t="s">
        <v>3113</v>
      </c>
      <c r="C5" s="5" t="s">
        <v>3114</v>
      </c>
      <c r="D5" s="8" t="s">
        <v>3115</v>
      </c>
      <c r="E5" s="8" t="s">
        <v>3116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3.5" customHeight="1">
      <c r="A6" s="16"/>
      <c r="B6" s="8" t="s">
        <v>3117</v>
      </c>
      <c r="C6" s="12" t="s">
        <v>3118</v>
      </c>
      <c r="D6" s="8" t="s">
        <v>3119</v>
      </c>
      <c r="E6" s="8" t="s">
        <v>3120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3.5" customHeight="1">
      <c r="A7" s="16"/>
      <c r="B7" s="8" t="s">
        <v>3121</v>
      </c>
      <c r="C7" s="16" t="s">
        <v>3122</v>
      </c>
      <c r="D7" s="8" t="s">
        <v>3123</v>
      </c>
      <c r="E7" s="8" t="s">
        <v>3124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3.5" customHeight="1">
      <c r="A8" s="15"/>
      <c r="B8" s="9" t="s">
        <v>3125</v>
      </c>
      <c r="C8" s="15" t="s">
        <v>3126</v>
      </c>
      <c r="D8" s="9" t="s">
        <v>3127</v>
      </c>
      <c r="E8" s="9" t="s">
        <v>3128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3.5" customHeight="1">
      <c r="A9" s="8"/>
      <c r="B9" s="8" t="s">
        <v>3129</v>
      </c>
      <c r="C9" s="8" t="s">
        <v>3130</v>
      </c>
      <c r="D9" s="8" t="s">
        <v>3131</v>
      </c>
      <c r="E9" s="8" t="s">
        <v>3132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3.5" customHeight="1">
      <c r="A10" s="16"/>
      <c r="B10" s="8" t="s">
        <v>3133</v>
      </c>
      <c r="C10" s="16" t="s">
        <v>3134</v>
      </c>
      <c r="D10" s="8" t="s">
        <v>3135</v>
      </c>
      <c r="E10" s="8" t="s">
        <v>3136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3.5" customHeight="1">
      <c r="A11" s="16"/>
      <c r="B11" s="8" t="s">
        <v>3137</v>
      </c>
      <c r="C11" s="12" t="s">
        <v>3138</v>
      </c>
      <c r="D11" s="8" t="s">
        <v>3139</v>
      </c>
      <c r="E11" s="8" t="s">
        <v>3140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3.5" customHeight="1">
      <c r="A12" s="16"/>
      <c r="B12" s="8" t="s">
        <v>3141</v>
      </c>
      <c r="C12" s="16" t="s">
        <v>3142</v>
      </c>
      <c r="D12" s="8" t="s">
        <v>3143</v>
      </c>
      <c r="E12" s="8" t="s">
        <v>3144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3.5" customHeight="1">
      <c r="A13" s="16"/>
      <c r="B13" s="8" t="s">
        <v>3145</v>
      </c>
      <c r="C13" s="16" t="s">
        <v>3146</v>
      </c>
      <c r="D13" s="8" t="s">
        <v>3147</v>
      </c>
      <c r="E13" s="8" t="s">
        <v>3148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5" customHeight="1">
      <c r="A14" s="16"/>
      <c r="B14" s="8" t="s">
        <v>3149</v>
      </c>
      <c r="C14" s="5" t="s">
        <v>3150</v>
      </c>
      <c r="D14" s="8" t="s">
        <v>3151</v>
      </c>
      <c r="E14" s="8" t="s">
        <v>3152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5" customHeight="1">
      <c r="A15" s="16"/>
      <c r="B15" s="8" t="s">
        <v>3153</v>
      </c>
      <c r="C15" s="5" t="s">
        <v>3781</v>
      </c>
      <c r="D15" s="8" t="s">
        <v>3154</v>
      </c>
      <c r="E15" s="8" t="s">
        <v>3155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5" customHeight="1">
      <c r="A16" s="16"/>
      <c r="B16" s="8" t="s">
        <v>3156</v>
      </c>
      <c r="C16" s="5" t="s">
        <v>3157</v>
      </c>
      <c r="D16" s="8" t="s">
        <v>3158</v>
      </c>
      <c r="E16" s="8" t="s">
        <v>3159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5" customHeight="1">
      <c r="A17" s="15"/>
      <c r="B17" s="8" t="s">
        <v>3160</v>
      </c>
      <c r="C17" s="15" t="s">
        <v>3161</v>
      </c>
      <c r="D17" s="8" t="s">
        <v>3162</v>
      </c>
      <c r="E17" s="8" t="s">
        <v>3163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5" customHeight="1">
      <c r="A18" s="16"/>
      <c r="B18" s="8" t="s">
        <v>3164</v>
      </c>
      <c r="C18" s="16" t="s">
        <v>3165</v>
      </c>
      <c r="D18" s="8" t="s">
        <v>3166</v>
      </c>
      <c r="E18" s="8" t="s">
        <v>3167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5" customHeight="1">
      <c r="A19" s="16"/>
      <c r="B19" s="8" t="s">
        <v>3168</v>
      </c>
      <c r="C19" s="15" t="s">
        <v>3169</v>
      </c>
      <c r="D19" s="8" t="s">
        <v>3170</v>
      </c>
      <c r="E19" s="8" t="s">
        <v>3171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5" customHeight="1">
      <c r="A20" s="16"/>
      <c r="B20" s="8" t="s">
        <v>3172</v>
      </c>
      <c r="C20" s="16" t="s">
        <v>3173</v>
      </c>
      <c r="D20" s="8" t="s">
        <v>3174</v>
      </c>
      <c r="E20" s="8" t="s">
        <v>3175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5" customHeight="1">
      <c r="A21" s="16"/>
      <c r="B21" s="8" t="s">
        <v>3176</v>
      </c>
      <c r="C21" s="16" t="s">
        <v>3177</v>
      </c>
      <c r="D21" s="8" t="s">
        <v>3178</v>
      </c>
      <c r="E21" s="8" t="s">
        <v>3179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5" customHeight="1">
      <c r="A22" s="15"/>
      <c r="B22" s="8" t="s">
        <v>3180</v>
      </c>
      <c r="C22" s="5" t="s">
        <v>3181</v>
      </c>
      <c r="D22" s="8" t="s">
        <v>3182</v>
      </c>
      <c r="E22" s="8" t="s">
        <v>3183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5" customHeight="1">
      <c r="A23" s="15"/>
      <c r="B23" s="8" t="s">
        <v>3184</v>
      </c>
      <c r="C23" s="15" t="s">
        <v>3185</v>
      </c>
      <c r="D23" s="8" t="s">
        <v>3186</v>
      </c>
      <c r="E23" s="8" t="s">
        <v>3187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5" customHeight="1">
      <c r="A24" s="15"/>
      <c r="B24" s="8" t="s">
        <v>3188</v>
      </c>
      <c r="C24" s="40" t="s">
        <v>3189</v>
      </c>
      <c r="D24" s="8" t="s">
        <v>3190</v>
      </c>
      <c r="E24" s="8" t="s">
        <v>3191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5" customHeight="1">
      <c r="A25" s="15"/>
      <c r="B25" s="8" t="s">
        <v>3192</v>
      </c>
      <c r="C25" s="40" t="s">
        <v>3193</v>
      </c>
      <c r="D25" s="8" t="s">
        <v>3194</v>
      </c>
      <c r="E25" s="8" t="s">
        <v>3195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5" customHeight="1">
      <c r="A26" s="8"/>
      <c r="B26" s="8" t="s">
        <v>3196</v>
      </c>
      <c r="C26" s="8" t="s">
        <v>3197</v>
      </c>
      <c r="D26" s="8" t="s">
        <v>3198</v>
      </c>
      <c r="E26" s="8" t="s">
        <v>3199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5" customHeight="1">
      <c r="A27" s="16"/>
      <c r="B27" s="8" t="s">
        <v>3200</v>
      </c>
      <c r="C27" s="5" t="s">
        <v>3201</v>
      </c>
      <c r="D27" s="8" t="s">
        <v>3202</v>
      </c>
      <c r="E27" s="8" t="s">
        <v>3203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5" customHeight="1">
      <c r="A28" s="8"/>
      <c r="B28" s="8" t="s">
        <v>3204</v>
      </c>
      <c r="C28" s="8" t="s">
        <v>3205</v>
      </c>
      <c r="D28" s="8" t="s">
        <v>3206</v>
      </c>
      <c r="E28" s="8" t="s">
        <v>3207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5" customHeight="1">
      <c r="A29" s="8"/>
      <c r="B29" s="8" t="s">
        <v>3208</v>
      </c>
      <c r="C29" s="8" t="s">
        <v>3209</v>
      </c>
      <c r="D29" s="8" t="s">
        <v>3210</v>
      </c>
      <c r="E29" s="8" t="s">
        <v>3211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5" customHeight="1">
      <c r="A30" s="16"/>
      <c r="B30" s="8" t="s">
        <v>3212</v>
      </c>
      <c r="C30" s="5" t="s">
        <v>3782</v>
      </c>
      <c r="D30" s="8" t="s">
        <v>3213</v>
      </c>
      <c r="E30" s="8" t="s">
        <v>3214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5" customHeight="1">
      <c r="A31" s="8"/>
      <c r="B31" s="8" t="s">
        <v>3215</v>
      </c>
      <c r="C31" s="8" t="s">
        <v>3216</v>
      </c>
      <c r="D31" s="8" t="s">
        <v>3217</v>
      </c>
      <c r="E31" s="8" t="s">
        <v>3218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5" customHeight="1">
      <c r="A32" s="16"/>
      <c r="B32" s="8" t="s">
        <v>3219</v>
      </c>
      <c r="C32" s="16" t="s">
        <v>3220</v>
      </c>
      <c r="D32" s="8" t="s">
        <v>3221</v>
      </c>
      <c r="E32" s="8" t="s">
        <v>3222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5" customHeight="1">
      <c r="A33" s="8"/>
      <c r="B33" s="8" t="s">
        <v>3223</v>
      </c>
      <c r="C33" s="8" t="s">
        <v>3224</v>
      </c>
      <c r="D33" s="8" t="s">
        <v>3225</v>
      </c>
      <c r="E33" s="8" t="s">
        <v>3226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5" customHeight="1">
      <c r="A34" s="8"/>
      <c r="B34" s="8" t="s">
        <v>3227</v>
      </c>
      <c r="C34" s="8" t="s">
        <v>3783</v>
      </c>
      <c r="D34" s="8" t="s">
        <v>3228</v>
      </c>
      <c r="E34" s="8" t="s">
        <v>3229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5" customHeight="1">
      <c r="A35" s="16"/>
      <c r="B35" s="8" t="s">
        <v>3230</v>
      </c>
      <c r="C35" s="5" t="s">
        <v>3231</v>
      </c>
      <c r="D35" s="8" t="s">
        <v>3232</v>
      </c>
      <c r="E35" s="8" t="s">
        <v>3233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5" customHeight="1">
      <c r="A36" s="8"/>
      <c r="B36" s="8" t="s">
        <v>3234</v>
      </c>
      <c r="C36" s="8" t="s">
        <v>3235</v>
      </c>
      <c r="D36" s="8" t="s">
        <v>3236</v>
      </c>
      <c r="E36" s="8" t="s">
        <v>3237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5" customHeight="1">
      <c r="A37" s="16"/>
      <c r="B37" s="8" t="s">
        <v>3238</v>
      </c>
      <c r="C37" s="5" t="s">
        <v>3239</v>
      </c>
      <c r="D37" s="8" t="s">
        <v>3240</v>
      </c>
      <c r="E37" s="8" t="s">
        <v>3241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5" customHeight="1">
      <c r="A38" s="16"/>
      <c r="B38" s="8" t="s">
        <v>3242</v>
      </c>
      <c r="C38" s="15" t="s">
        <v>3243</v>
      </c>
      <c r="D38" s="8" t="s">
        <v>3244</v>
      </c>
      <c r="E38" s="8" t="s">
        <v>3245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5" customHeight="1">
      <c r="A39" s="16"/>
      <c r="B39" s="8" t="s">
        <v>3246</v>
      </c>
      <c r="C39" s="5" t="s">
        <v>3247</v>
      </c>
      <c r="D39" s="8" t="s">
        <v>3248</v>
      </c>
      <c r="E39" s="8" t="s">
        <v>3249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5" customHeight="1">
      <c r="A40" s="16"/>
      <c r="B40" s="8" t="s">
        <v>3250</v>
      </c>
      <c r="C40" s="15" t="s">
        <v>3251</v>
      </c>
      <c r="D40" s="8" t="s">
        <v>3252</v>
      </c>
      <c r="E40" s="8" t="s">
        <v>3253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5" customHeight="1">
      <c r="A41" s="16"/>
      <c r="B41" s="8" t="s">
        <v>3254</v>
      </c>
      <c r="C41" s="5" t="s">
        <v>3255</v>
      </c>
      <c r="D41" s="8" t="s">
        <v>3256</v>
      </c>
      <c r="E41" s="8" t="s">
        <v>3257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5" customHeight="1">
      <c r="A42" s="16"/>
      <c r="B42" s="8" t="s">
        <v>3258</v>
      </c>
      <c r="C42" s="5" t="s">
        <v>3259</v>
      </c>
      <c r="D42" s="8" t="s">
        <v>3260</v>
      </c>
      <c r="E42" s="8" t="s">
        <v>3261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5" customHeight="1">
      <c r="A43" s="16"/>
      <c r="B43" s="8" t="s">
        <v>3262</v>
      </c>
      <c r="C43" s="15" t="s">
        <v>3263</v>
      </c>
      <c r="D43" s="8" t="s">
        <v>3264</v>
      </c>
      <c r="E43" s="8" t="s">
        <v>3265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5" customHeight="1">
      <c r="A44" s="8"/>
      <c r="B44" s="8" t="s">
        <v>3266</v>
      </c>
      <c r="C44" s="8" t="s">
        <v>3267</v>
      </c>
      <c r="D44" s="8" t="s">
        <v>3268</v>
      </c>
      <c r="E44" s="8" t="s">
        <v>3269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5" customHeight="1">
      <c r="A45" s="8"/>
      <c r="B45" s="8" t="s">
        <v>3270</v>
      </c>
      <c r="C45" s="8" t="s">
        <v>3271</v>
      </c>
      <c r="D45" s="8" t="s">
        <v>3272</v>
      </c>
      <c r="E45" s="8" t="s">
        <v>3273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5" customHeight="1">
      <c r="A46" s="16"/>
      <c r="B46" s="8" t="s">
        <v>3274</v>
      </c>
      <c r="C46" s="16" t="s">
        <v>3275</v>
      </c>
      <c r="D46" s="8" t="s">
        <v>3276</v>
      </c>
      <c r="E46" s="8" t="s">
        <v>3277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5" customHeight="1">
      <c r="A47" s="16"/>
      <c r="B47" s="8" t="s">
        <v>3278</v>
      </c>
      <c r="C47" s="12" t="s">
        <v>3279</v>
      </c>
      <c r="D47" s="8" t="s">
        <v>3280</v>
      </c>
      <c r="E47" s="8" t="s">
        <v>3281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5" customHeight="1">
      <c r="A48" s="16"/>
      <c r="B48" s="8" t="s">
        <v>3282</v>
      </c>
      <c r="C48" s="5" t="s">
        <v>3283</v>
      </c>
      <c r="D48" s="8" t="s">
        <v>3284</v>
      </c>
      <c r="E48" s="8" t="s">
        <v>3285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5" customHeight="1">
      <c r="A49" s="8"/>
      <c r="B49" s="8" t="s">
        <v>3286</v>
      </c>
      <c r="C49" s="8" t="s">
        <v>3287</v>
      </c>
      <c r="D49" s="8" t="s">
        <v>3288</v>
      </c>
      <c r="E49" s="8" t="s">
        <v>3289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5" customHeight="1">
      <c r="A50" s="16"/>
      <c r="B50" s="8" t="s">
        <v>3290</v>
      </c>
      <c r="C50" s="16" t="s">
        <v>3291</v>
      </c>
      <c r="D50" s="8" t="s">
        <v>3292</v>
      </c>
      <c r="E50" s="8" t="s">
        <v>3293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5" customHeight="1">
      <c r="A51" s="8"/>
      <c r="B51" s="8" t="s">
        <v>3294</v>
      </c>
      <c r="C51" s="8" t="s">
        <v>3295</v>
      </c>
      <c r="D51" s="8" t="s">
        <v>3296</v>
      </c>
      <c r="E51" s="8" t="s">
        <v>3297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5" customHeight="1">
      <c r="A52" s="16"/>
      <c r="B52" s="8" t="s">
        <v>3298</v>
      </c>
      <c r="C52" s="5" t="s">
        <v>3299</v>
      </c>
      <c r="D52" s="8" t="s">
        <v>3300</v>
      </c>
      <c r="E52" s="8" t="s">
        <v>3301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5" customHeight="1">
      <c r="A53" s="16"/>
      <c r="B53" s="8" t="s">
        <v>3302</v>
      </c>
      <c r="C53" s="16" t="s">
        <v>3303</v>
      </c>
      <c r="D53" s="8" t="s">
        <v>3304</v>
      </c>
      <c r="E53" s="8" t="s">
        <v>3305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5" customHeight="1">
      <c r="A54" s="8"/>
      <c r="B54" s="8" t="s">
        <v>3306</v>
      </c>
      <c r="C54" s="8" t="s">
        <v>3307</v>
      </c>
      <c r="D54" s="8" t="s">
        <v>3308</v>
      </c>
      <c r="E54" s="8" t="s">
        <v>3309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5" customHeight="1">
      <c r="A55" s="8"/>
      <c r="B55" s="8" t="s">
        <v>3310</v>
      </c>
      <c r="C55" s="8" t="s">
        <v>3311</v>
      </c>
      <c r="D55" s="8" t="s">
        <v>3312</v>
      </c>
      <c r="E55" s="8" t="s">
        <v>3313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5" customHeight="1">
      <c r="A56" s="16"/>
      <c r="B56" s="8" t="s">
        <v>3314</v>
      </c>
      <c r="C56" s="12" t="s">
        <v>3315</v>
      </c>
      <c r="D56" s="8" t="s">
        <v>3316</v>
      </c>
      <c r="E56" s="8" t="s">
        <v>3317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5" customHeight="1">
      <c r="A57" s="16"/>
      <c r="B57" s="8" t="s">
        <v>3318</v>
      </c>
      <c r="C57" s="16" t="s">
        <v>3319</v>
      </c>
      <c r="D57" s="8" t="s">
        <v>3320</v>
      </c>
      <c r="E57" s="8" t="s">
        <v>3321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5" customHeight="1">
      <c r="A58" s="8"/>
      <c r="B58" s="8" t="s">
        <v>3322</v>
      </c>
      <c r="C58" s="8" t="s">
        <v>3784</v>
      </c>
      <c r="D58" s="8" t="s">
        <v>3323</v>
      </c>
      <c r="E58" s="8" t="s">
        <v>3324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5" customHeight="1">
      <c r="A59" s="15"/>
      <c r="B59" s="8" t="s">
        <v>3325</v>
      </c>
      <c r="C59" s="15" t="s">
        <v>3326</v>
      </c>
      <c r="D59" s="8" t="s">
        <v>3327</v>
      </c>
      <c r="E59" s="8" t="s">
        <v>3328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5" customHeight="1">
      <c r="A60" s="15"/>
      <c r="B60" s="8" t="s">
        <v>3329</v>
      </c>
      <c r="C60" s="5" t="s">
        <v>3330</v>
      </c>
      <c r="D60" s="8" t="s">
        <v>3331</v>
      </c>
      <c r="E60" s="8" t="s">
        <v>3332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5" customHeight="1">
      <c r="A61" s="16"/>
      <c r="B61" s="8" t="s">
        <v>3333</v>
      </c>
      <c r="C61" s="5" t="s">
        <v>3334</v>
      </c>
      <c r="D61" s="8" t="s">
        <v>3335</v>
      </c>
      <c r="E61" s="8" t="s">
        <v>3336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5" customHeight="1">
      <c r="A62" s="16"/>
      <c r="B62" s="8" t="s">
        <v>3337</v>
      </c>
      <c r="C62" s="12" t="s">
        <v>3338</v>
      </c>
      <c r="D62" s="8" t="s">
        <v>3339</v>
      </c>
      <c r="E62" s="8" t="s">
        <v>3340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5" customHeight="1">
      <c r="A63" s="16"/>
      <c r="B63" s="8" t="s">
        <v>3341</v>
      </c>
      <c r="C63" s="5" t="s">
        <v>3342</v>
      </c>
      <c r="D63" s="8" t="s">
        <v>3343</v>
      </c>
      <c r="E63" s="8" t="s">
        <v>3344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5" customHeight="1">
      <c r="A64" s="16"/>
      <c r="B64" s="8" t="s">
        <v>3345</v>
      </c>
      <c r="C64" s="16" t="s">
        <v>3346</v>
      </c>
      <c r="D64" s="8" t="s">
        <v>3347</v>
      </c>
      <c r="E64" s="8" t="s">
        <v>3348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5" customHeight="1">
      <c r="A65" s="15"/>
      <c r="B65" s="8" t="s">
        <v>3349</v>
      </c>
      <c r="C65" s="5" t="s">
        <v>3350</v>
      </c>
      <c r="D65" s="8" t="s">
        <v>3351</v>
      </c>
      <c r="E65" s="8" t="s">
        <v>3352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5" customHeight="1">
      <c r="A66" s="16"/>
      <c r="B66" s="8" t="s">
        <v>3353</v>
      </c>
      <c r="C66" s="16" t="s">
        <v>3354</v>
      </c>
      <c r="D66" s="8" t="s">
        <v>3355</v>
      </c>
      <c r="E66" s="8" t="s">
        <v>3356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5" customHeight="1">
      <c r="A67" s="16"/>
      <c r="B67" s="8" t="s">
        <v>3357</v>
      </c>
      <c r="C67" s="41" t="s">
        <v>3358</v>
      </c>
      <c r="D67" s="8" t="s">
        <v>3359</v>
      </c>
      <c r="E67" s="8" t="s">
        <v>3360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5" customHeight="1">
      <c r="A68" s="42"/>
      <c r="B68" s="42" t="s">
        <v>3361</v>
      </c>
      <c r="C68" s="42" t="s">
        <v>3362</v>
      </c>
      <c r="D68" s="42" t="s">
        <v>3363</v>
      </c>
      <c r="E68" s="42" t="s">
        <v>3364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5" customHeight="1">
      <c r="A69" s="17"/>
      <c r="B69" s="17" t="s">
        <v>3618</v>
      </c>
      <c r="C69" s="17" t="s">
        <v>3619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5" customHeight="1">
      <c r="A70" s="17"/>
      <c r="B70" s="17" t="s">
        <v>3620</v>
      </c>
      <c r="C70" s="17" t="s">
        <v>3621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5" customHeight="1">
      <c r="A71" s="17"/>
      <c r="B71" s="17" t="s">
        <v>3728</v>
      </c>
      <c r="C71" s="17" t="s">
        <v>3729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5" customHeight="1">
      <c r="A72" s="17"/>
      <c r="B72" s="17" t="s">
        <v>3730</v>
      </c>
      <c r="C72" s="17" t="s">
        <v>3731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5" customHeight="1">
      <c r="A73" s="17"/>
      <c r="B73" s="8" t="s">
        <v>3743</v>
      </c>
      <c r="C73" s="82" t="s">
        <v>3742</v>
      </c>
      <c r="D73" s="8"/>
      <c r="E73" s="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5" customHeight="1"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3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3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3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3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3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3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3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3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3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3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3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3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3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3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3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3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3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3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3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3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3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3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3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3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3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3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3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3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3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3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3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3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3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3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3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3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3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3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3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3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3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3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3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3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3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3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3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3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3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3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3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3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3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3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3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3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3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3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3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3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3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3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3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3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3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3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3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3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3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3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3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3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3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3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3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3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3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3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3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3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3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3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3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3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3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3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3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3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3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3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3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3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3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3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3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3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3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3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3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3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3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3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3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3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3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3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3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3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3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3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3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3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3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3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3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3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3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3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3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3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3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3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3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3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3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3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3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3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3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3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3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3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3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3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3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3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3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3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3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3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3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3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3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3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3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3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3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3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3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3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3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3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3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3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3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3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3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3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3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3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3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3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3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3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3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3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3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3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3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3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3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3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3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3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3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3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3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3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3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3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3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3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3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3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3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3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3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3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3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3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3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3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3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3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3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3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3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3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3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3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3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3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3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3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3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3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3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3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3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3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3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3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3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3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3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3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3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3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3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3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3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3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3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3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3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3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3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3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3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3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3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3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3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3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3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3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3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3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3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3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3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3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3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3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3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3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3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3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3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3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3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3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3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3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3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3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3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3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3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3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3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3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3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3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3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3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3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3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3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3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3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3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3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3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3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3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3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3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3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3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3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3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3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3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3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3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3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3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3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3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3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3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3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3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3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3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3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3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3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3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3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3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3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3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3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3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3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3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3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3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3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3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3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3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3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3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3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3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3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3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3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3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3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3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3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3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3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3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3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3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3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3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3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3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3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3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3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3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3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3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3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3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3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3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3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3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3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3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3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3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3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3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3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3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3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3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3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3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3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3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3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3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3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3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3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3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3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3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3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3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3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3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3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3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3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3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3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3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3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3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3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3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3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3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3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3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3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3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3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3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3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3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3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3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3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3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3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3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3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3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3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3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3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3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3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3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3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3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3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3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3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3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3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3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3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3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3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3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3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3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3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3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3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3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3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3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3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3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3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3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3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3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3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3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3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3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3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3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3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3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3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3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3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3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3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3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3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3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3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3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3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3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3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3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3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3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3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3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3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3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3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3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3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3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3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3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3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3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3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3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3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3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3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3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3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3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3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3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3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3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3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3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3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3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3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3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3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3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3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3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3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3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3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3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3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3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3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3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3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3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3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3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3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3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3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3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3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3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3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3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3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3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3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3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3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3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3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3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3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3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3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3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3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3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3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3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3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3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3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3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3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3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3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3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3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3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3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3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3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3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3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3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3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3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3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3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3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3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3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3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3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3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3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3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3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3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3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3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3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3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3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3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3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3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3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3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3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3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3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3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3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3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3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3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3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3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3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3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3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3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3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3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3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3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3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3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3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3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3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3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3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3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3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3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3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3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3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3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3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3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3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3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3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3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3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3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3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3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3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3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3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3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3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3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3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3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3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3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3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3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3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3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3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3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3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3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3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3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3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3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3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3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3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3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3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3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3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3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3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3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3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3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3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3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3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3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3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3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3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3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3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3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3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3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3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3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3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3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3.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phoneticPr fontId="1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Overview</vt:lpstr>
      <vt:lpstr>String</vt:lpstr>
      <vt:lpstr>String_Item</vt:lpstr>
      <vt:lpstr>String_Shop</vt:lpstr>
      <vt:lpstr>String_Mission</vt:lpstr>
      <vt:lpstr>String_Hero</vt:lpstr>
      <vt:lpstr>String_Treasure</vt:lpstr>
      <vt:lpstr>String_ScenarioTalk</vt:lpstr>
      <vt:lpstr>String_Story</vt:lpstr>
      <vt:lpstr>String_GuideQuest</vt:lpstr>
      <vt:lpstr>String_Quest</vt:lpstr>
      <vt:lpstr>String_Traits</vt:lpstr>
      <vt:lpstr>String_Alert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2006-09-13T11:19:49Z</dcterms:created>
  <dcterms:modified xsi:type="dcterms:W3CDTF">2026-10-02T06:51:29Z</dcterms:modified>
</cp:coreProperties>
</file>