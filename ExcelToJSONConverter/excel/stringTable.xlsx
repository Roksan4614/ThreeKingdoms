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58FF16DB-31E7-4221-A235-14C70BB4993A}" xr6:coauthVersionLast="47" xr6:coauthVersionMax="47" xr10:uidLastSave="{00000000-0000-0000-0000-000000000000}"/>
  <bookViews>
    <workbookView xWindow="780" yWindow="780" windowWidth="21600" windowHeight="11295" activeTab="3" xr2:uid="{00000000-000D-0000-FFFF-FFFF00000000}"/>
  </bookViews>
  <sheets>
    <sheet name="Overview" sheetId="1" r:id="rId1"/>
    <sheet name="String" sheetId="4" r:id="rId2"/>
    <sheet name="String_Hero" sheetId="3" r:id="rId3"/>
    <sheet name="String_ScenarioTalk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5" l="1"/>
  <c r="A18" i="5"/>
  <c r="C18" i="5" s="1"/>
  <c r="B17" i="5"/>
  <c r="A17" i="5"/>
  <c r="C17" i="5" s="1"/>
  <c r="C19" i="5"/>
  <c r="E19" i="5"/>
  <c r="A20" i="5"/>
  <c r="B20" i="5"/>
  <c r="C20" i="5"/>
  <c r="E20" i="5"/>
  <c r="A21" i="5"/>
  <c r="B21" i="5"/>
  <c r="C21" i="5" s="1"/>
  <c r="E21" i="5"/>
  <c r="A22" i="5"/>
  <c r="B22" i="5"/>
  <c r="C22" i="5"/>
  <c r="E22" i="5"/>
  <c r="A23" i="5"/>
  <c r="B23" i="5"/>
  <c r="C23" i="5"/>
  <c r="E23" i="5"/>
  <c r="A24" i="5"/>
  <c r="B24" i="5"/>
  <c r="C24" i="5"/>
  <c r="E24" i="5"/>
  <c r="A25" i="5"/>
  <c r="B25" i="5"/>
  <c r="B26" i="5" s="1"/>
  <c r="B27" i="5" s="1"/>
  <c r="E25" i="5"/>
  <c r="A26" i="5"/>
  <c r="E26" i="5"/>
  <c r="E27" i="5"/>
  <c r="B16" i="5"/>
  <c r="A16" i="5"/>
  <c r="C16" i="5" s="1"/>
  <c r="C3" i="5"/>
  <c r="C26" i="5" l="1"/>
  <c r="C25" i="5"/>
  <c r="A27" i="5"/>
  <c r="C27" i="5" s="1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A5" i="5" l="1"/>
  <c r="C5" i="5" s="1"/>
  <c r="C4" i="5"/>
  <c r="A6" i="5" l="1"/>
  <c r="C6" i="5" s="1"/>
  <c r="A7" i="5" l="1"/>
  <c r="C7" i="5" s="1"/>
  <c r="A8" i="5" l="1"/>
  <c r="C8" i="5" s="1"/>
  <c r="A9" i="5" l="1"/>
  <c r="C9" i="5" s="1"/>
  <c r="A10" i="5" l="1"/>
  <c r="C10" i="5" s="1"/>
  <c r="A11" i="5" l="1"/>
  <c r="A12" i="5" l="1"/>
  <c r="C11" i="5"/>
  <c r="A13" i="5"/>
  <c r="C13" i="5" l="1"/>
  <c r="A15" i="5"/>
  <c r="C15" i="5" s="1"/>
  <c r="A14" i="5"/>
  <c r="C14" i="5" s="1"/>
  <c r="C12" i="5"/>
</calcChain>
</file>

<file path=xl/sharedStrings.xml><?xml version="1.0" encoding="utf-8"?>
<sst xmlns="http://schemas.openxmlformats.org/spreadsheetml/2006/main" count="158" uniqueCount="124">
  <si>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</si>
  <si>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</si>
  <si>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</si>
  <si>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</si>
  <si>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</si>
  <si>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</si>
  <si>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</si>
  <si>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</si>
  <si>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</si>
  <si>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</si>
  <si>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</si>
  <si>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</si>
  <si>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</si>
  <si>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</si>
  <si>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</si>
  <si>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</si>
  <si>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</si>
  <si>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</si>
  <si>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CLASSTYPE_CHAMPION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</si>
  <si>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</si>
  <si>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</si>
  <si>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</si>
  <si>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</si>
  <si>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</si>
  <si>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</si>
  <si>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</si>
  <si>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</si>
  <si>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</si>
  <si>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</si>
  <si>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</si>
  <si>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CLASSTYPE_SENTINEL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</si>
  <si>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</si>
  <si>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</si>
  <si>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</si>
  <si>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</si>
  <si>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</si>
  <si>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</si>
  <si>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</si>
  <si>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</si>
  <si>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</si>
  <si>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</si>
  <si>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</si>
  <si>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</si>
  <si>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</si>
  <si>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</si>
  <si>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</si>
  <si>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</si>
  <si>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</si>
  <si>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</si>
  <si>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</si>
  <si>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</si>
  <si>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</si>
  <si>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</si>
  <si>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</si>
  <si>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</si>
  <si>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</si>
  <si>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</si>
  <si>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</si>
  <si>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</si>
  <si>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</si>
  <si>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</si>
  <si>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</si>
  <si>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</si>
  <si>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</si>
  <si>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</si>
  <si>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</si>
  <si>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</si>
  <si>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</si>
  <si>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</si>
  <si>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</si>
  <si>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</si>
  <si>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</si>
  <si>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</si>
  <si>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</si>
  <si>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</si>
  <si>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</si>
  <si>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</si>
  <si>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1.1.1_SHU_START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</si>
  <si>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</si>
  <si>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</si>
  <si>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</si>
  <si>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</si>
  <si>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</si>
  <si>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</si>
  <si>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</si>
  <si>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ㅇㅋ. 관우 형님도 같이 합시다!</t>
    <phoneticPr fontId="1" type="noConversion"/>
  </si>
  <si>
    <t>덩치야. 같이 의용병 콜??</t>
    <phoneticPr fontId="1" type="noConversion"/>
  </si>
  <si>
    <t>좋소. 태어난 날은 달라도 같은 날 죽읍시다. 내가 나이가 제일 많으니…</t>
    <phoneticPr fontId="1" type="noConversion"/>
  </si>
  <si>
    <t>술 값은 내가 내겠소. 무기도 필요하니 내가 준비해보겠소.</t>
    <phoneticPr fontId="1" type="noConversion"/>
  </si>
  <si>
    <t>돗자리나 파는 양반이 돈이 어딨오?</t>
    <phoneticPr fontId="1" type="noConversion"/>
  </si>
  <si>
    <t>뭔 소리요? 이 지역 돗자리는 내가 다 납품하고 있구만.</t>
    <phoneticPr fontId="1" type="noConversion"/>
  </si>
  <si>
    <t>…</t>
    <phoneticPr fontId="1" type="noConversion"/>
  </si>
  <si>
    <t>형님, 잘 부탁하오.</t>
    <phoneticPr fontId="1" type="noConversion"/>
  </si>
  <si>
    <t>응?</t>
    <phoneticPr fontId="1" type="noConversion"/>
  </si>
  <si>
    <t>#PC</t>
    <phoneticPr fontId="1" type="noConversion"/>
  </si>
  <si>
    <t>키보드 조작으로 내가 움직일 수 있을거 같은데? 방향키를 눌러보까?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</si>
  <si>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</si>
  <si>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</si>
  <si>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</si>
  <si>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</si>
  <si>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</si>
  <si>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돌진과 공격을 사용해보자.
X가 공격이고, C는 돌진이야.</t>
    <phoneticPr fontId="1" type="noConversion"/>
  </si>
  <si>
    <t>돌진과 공격을 사용해보자.
아래 버튼을 눌러봐.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</si>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</sst>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Enemy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B9"/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"/>
  <sheetViews>
    <sheetView workbookViewId="0">
      <selection activeCell="G11" sqref="G11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74</v>
      </c>
      <c r="B3" s="3" t="s">
        <v>75</v>
      </c>
      <c r="C3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6"/>
  <sheetViews>
    <sheetView topLeftCell="A19" workbookViewId="0">
      <selection activeCell="B25" sqref="B25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38</v>
      </c>
      <c r="B3" s="3" t="s">
        <v>5</v>
      </c>
      <c r="C3" s="3" t="s">
        <v>6</v>
      </c>
    </row>
    <row r="4" spans="1:4" x14ac:dyDescent="0.3">
      <c r="A4" t="s">
        <v>39</v>
      </c>
      <c r="B4" s="3" t="s">
        <v>7</v>
      </c>
      <c r="C4" s="3" t="s">
        <v>8</v>
      </c>
    </row>
    <row r="5" spans="1:4" x14ac:dyDescent="0.3">
      <c r="A5" t="s">
        <v>40</v>
      </c>
      <c r="B5" s="3" t="s">
        <v>9</v>
      </c>
      <c r="C5" s="3" t="s">
        <v>10</v>
      </c>
    </row>
    <row r="6" spans="1:4" x14ac:dyDescent="0.3">
      <c r="A6" t="s">
        <v>41</v>
      </c>
      <c r="B6" s="3" t="s">
        <v>11</v>
      </c>
      <c r="C6" s="3" t="s">
        <v>13</v>
      </c>
    </row>
    <row r="7" spans="1:4" x14ac:dyDescent="0.3">
      <c r="A7" t="s">
        <v>42</v>
      </c>
      <c r="B7" s="3" t="s">
        <v>12</v>
      </c>
      <c r="C7" s="3" t="s">
        <v>14</v>
      </c>
    </row>
    <row r="8" spans="1:4" x14ac:dyDescent="0.3">
      <c r="A8" t="s">
        <v>68</v>
      </c>
      <c r="B8" s="3" t="s">
        <v>69</v>
      </c>
      <c r="C8" s="3" t="s">
        <v>70</v>
      </c>
    </row>
    <row r="9" spans="1:4" x14ac:dyDescent="0.3">
      <c r="A9" t="s">
        <v>71</v>
      </c>
      <c r="B9" s="3" t="s">
        <v>72</v>
      </c>
      <c r="C9" s="3" t="s">
        <v>73</v>
      </c>
    </row>
    <row r="10" spans="1:4" x14ac:dyDescent="0.3">
      <c r="A10" t="s">
        <v>15</v>
      </c>
      <c r="B10" s="3" t="s">
        <v>16</v>
      </c>
      <c r="C10" s="3" t="s">
        <v>17</v>
      </c>
    </row>
    <row r="11" spans="1:4" x14ac:dyDescent="0.3">
      <c r="A11" t="s">
        <v>18</v>
      </c>
      <c r="B11" s="3" t="s">
        <v>19</v>
      </c>
      <c r="C11" s="3" t="s">
        <v>20</v>
      </c>
    </row>
    <row r="12" spans="1:4" x14ac:dyDescent="0.3">
      <c r="A12" t="s">
        <v>21</v>
      </c>
      <c r="B12" s="3" t="s">
        <v>22</v>
      </c>
      <c r="C12" s="3" t="s">
        <v>23</v>
      </c>
    </row>
    <row r="13" spans="1:4" x14ac:dyDescent="0.3">
      <c r="A13" t="s">
        <v>30</v>
      </c>
      <c r="B13" s="3" t="s">
        <v>29</v>
      </c>
      <c r="C13" s="3" t="s">
        <v>24</v>
      </c>
    </row>
    <row r="14" spans="1:4" x14ac:dyDescent="0.3">
      <c r="A14" t="s">
        <v>31</v>
      </c>
      <c r="B14" s="3" t="s">
        <v>28</v>
      </c>
      <c r="C14" s="3" t="s">
        <v>25</v>
      </c>
    </row>
    <row r="15" spans="1:4" x14ac:dyDescent="0.3">
      <c r="A15" t="s">
        <v>32</v>
      </c>
      <c r="B15" s="3" t="s">
        <v>27</v>
      </c>
      <c r="C15" s="3" t="s">
        <v>26</v>
      </c>
    </row>
    <row r="16" spans="1:4" x14ac:dyDescent="0.3">
      <c r="A16" t="s">
        <v>43</v>
      </c>
      <c r="B16" s="3" t="s">
        <v>33</v>
      </c>
    </row>
    <row r="17" spans="1:2" x14ac:dyDescent="0.3">
      <c r="A17" t="s">
        <v>44</v>
      </c>
      <c r="B17" s="3" t="s">
        <v>34</v>
      </c>
    </row>
    <row r="18" spans="1:2" x14ac:dyDescent="0.3">
      <c r="A18" t="s">
        <v>45</v>
      </c>
      <c r="B18" s="3" t="s">
        <v>35</v>
      </c>
    </row>
    <row r="19" spans="1:2" x14ac:dyDescent="0.3">
      <c r="A19" t="s">
        <v>46</v>
      </c>
      <c r="B19" s="3" t="s">
        <v>36</v>
      </c>
    </row>
    <row r="20" spans="1:2" x14ac:dyDescent="0.3">
      <c r="A20" t="s">
        <v>47</v>
      </c>
      <c r="B20" s="3" t="s">
        <v>37</v>
      </c>
    </row>
    <row r="21" spans="1:2" ht="33" x14ac:dyDescent="0.3">
      <c r="A21" t="s">
        <v>48</v>
      </c>
      <c r="B21" s="3" t="s">
        <v>49</v>
      </c>
    </row>
    <row r="22" spans="1:2" ht="33" x14ac:dyDescent="0.3">
      <c r="A22" t="s">
        <v>50</v>
      </c>
      <c r="B22" s="3" t="s">
        <v>52</v>
      </c>
    </row>
    <row r="23" spans="1:2" ht="33" x14ac:dyDescent="0.3">
      <c r="A23" t="s">
        <v>53</v>
      </c>
      <c r="B23" s="3" t="s">
        <v>51</v>
      </c>
    </row>
    <row r="24" spans="1:2" ht="33" x14ac:dyDescent="0.3">
      <c r="A24" t="s">
        <v>54</v>
      </c>
      <c r="B24" s="3" t="s">
        <v>119</v>
      </c>
    </row>
    <row r="25" spans="1:2" ht="33" x14ac:dyDescent="0.3">
      <c r="A25" t="s">
        <v>55</v>
      </c>
      <c r="B25" s="3" t="s">
        <v>118</v>
      </c>
    </row>
    <row r="26" spans="1:2" x14ac:dyDescent="0.3">
      <c r="A26" t="s">
        <v>56</v>
      </c>
      <c r="B26" t="s">
        <v>57</v>
      </c>
    </row>
    <row r="27" spans="1:2" x14ac:dyDescent="0.3">
      <c r="A27" t="s">
        <v>58</v>
      </c>
      <c r="B27" t="s">
        <v>59</v>
      </c>
    </row>
    <row r="28" spans="1:2" x14ac:dyDescent="0.3">
      <c r="A28" t="s">
        <v>60</v>
      </c>
      <c r="B28" t="s">
        <v>64</v>
      </c>
    </row>
    <row r="29" spans="1:2" x14ac:dyDescent="0.3">
      <c r="A29" t="s">
        <v>61</v>
      </c>
      <c r="B29" t="s">
        <v>67</v>
      </c>
    </row>
    <row r="30" spans="1:2" x14ac:dyDescent="0.3">
      <c r="A30" t="s">
        <v>62</v>
      </c>
      <c r="B30" t="s">
        <v>65</v>
      </c>
    </row>
    <row r="31" spans="1:2" x14ac:dyDescent="0.3">
      <c r="A31" t="s">
        <v>63</v>
      </c>
      <c r="B31" t="s">
        <v>66</v>
      </c>
    </row>
    <row r="32" spans="1:2" x14ac:dyDescent="0.3">
      <c r="A32" t="s">
        <v>108</v>
      </c>
      <c r="B32" s="3" t="s">
        <v>109</v>
      </c>
    </row>
    <row r="33" spans="1:2" x14ac:dyDescent="0.3">
      <c r="A33" t="s">
        <v>110</v>
      </c>
      <c r="B33" s="3" t="s">
        <v>111</v>
      </c>
    </row>
    <row r="34" spans="1:2" x14ac:dyDescent="0.3">
      <c r="A34" t="s">
        <v>112</v>
      </c>
      <c r="B34" s="3" t="s">
        <v>115</v>
      </c>
    </row>
    <row r="35" spans="1:2" x14ac:dyDescent="0.3">
      <c r="A35" t="s">
        <v>113</v>
      </c>
      <c r="B35" s="3" t="s">
        <v>114</v>
      </c>
    </row>
    <row r="36" spans="1:2" x14ac:dyDescent="0.3">
      <c r="A36" t="s">
        <v>116</v>
      </c>
      <c r="B36" s="3" t="s">
        <v>117</v>
      </c>
    </row>
  </sheetData>
  <sortState xmlns:xlrd2="http://schemas.microsoft.com/office/spreadsheetml/2017/richdata2"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1"/>
  <sheetViews>
    <sheetView tabSelected="1" topLeftCell="A10" workbookViewId="0">
      <selection activeCell="D16" sqref="D16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76</v>
      </c>
      <c r="B1" s="1" t="s">
        <v>80</v>
      </c>
      <c r="C1" s="1" t="s">
        <v>3</v>
      </c>
      <c r="D1" s="1" t="s">
        <v>94</v>
      </c>
      <c r="E1" s="1" t="s">
        <v>79</v>
      </c>
      <c r="F1" s="1" t="s">
        <v>78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81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107</v>
      </c>
      <c r="B3">
        <v>0</v>
      </c>
      <c r="C3" t="str">
        <f>CONCATENATE(A3, "_", B3, IF(D3&lt;&gt;"", "_"&amp;D3, ""))</f>
        <v>TUTORIAL_START_0</v>
      </c>
      <c r="G3" s="3" t="s">
        <v>96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99</v>
      </c>
      <c r="G4" s="3" t="s">
        <v>100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83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106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97</v>
      </c>
      <c r="G7" s="3" t="s">
        <v>82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98</v>
      </c>
      <c r="G8" s="3" t="s">
        <v>95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97</v>
      </c>
      <c r="G9" s="3" t="s">
        <v>102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98</v>
      </c>
      <c r="G10" s="3" t="s">
        <v>101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97</v>
      </c>
      <c r="G11" s="3" t="s">
        <v>103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98</v>
      </c>
      <c r="G12" s="3" t="s">
        <v>104</v>
      </c>
    </row>
    <row r="13" spans="1:9" x14ac:dyDescent="0.3">
      <c r="A13" t="str">
        <f>A11</f>
        <v>TUTORIAL_START</v>
      </c>
      <c r="B13">
        <f t="shared" si="0"/>
        <v>10</v>
      </c>
      <c r="C13" t="str">
        <f t="shared" si="1"/>
        <v>TUTORIAL_START_10</v>
      </c>
      <c r="G13" s="3" t="s">
        <v>105</v>
      </c>
    </row>
    <row r="14" spans="1:9" x14ac:dyDescent="0.3">
      <c r="A14" t="str">
        <f>A12</f>
        <v>TUTORIAL_START</v>
      </c>
      <c r="B14">
        <f t="shared" si="0"/>
        <v>11</v>
      </c>
      <c r="C14" t="str">
        <f t="shared" ref="C14" si="3">CONCATENATE(A14, "_", B14, IF(D14&lt;&gt;"", "_"&amp;D14, ""))</f>
        <v>TUTORIAL_START_11</v>
      </c>
      <c r="G14" s="3" t="s">
        <v>84</v>
      </c>
    </row>
    <row r="15" spans="1:9" x14ac:dyDescent="0.3">
      <c r="A15" t="str">
        <f>A13</f>
        <v>TUTORIAL_START</v>
      </c>
      <c r="B15">
        <f t="shared" si="0"/>
        <v>12</v>
      </c>
      <c r="C15" t="str">
        <f t="shared" ref="C15" si="4">CONCATENATE(A15, "_", B15, IF(D15&lt;&gt;"", "_"&amp;D15, ""))</f>
        <v>TUTORIAL_START_12</v>
      </c>
      <c r="G15" s="3" t="s">
        <v>121</v>
      </c>
    </row>
    <row r="16" spans="1:9" x14ac:dyDescent="0.3">
      <c r="A16" t="str">
        <f>A14</f>
        <v>TUTORIAL_START</v>
      </c>
      <c r="B16">
        <f t="shared" si="0"/>
        <v>13</v>
      </c>
      <c r="C16" t="str">
        <f t="shared" ref="C16" si="5">CONCATENATE(A16, "_", B16, IF(D16&lt;&gt;"", "_"&amp;D16, ""))</f>
        <v>TUTORIAL_START_13_MOBILE</v>
      </c>
      <c r="D16" t="s">
        <v>97</v>
      </c>
      <c r="G16" s="3" t="s">
        <v>122</v>
      </c>
    </row>
    <row r="17" spans="1:7" ht="33" x14ac:dyDescent="0.3">
      <c r="A17" t="str">
        <f>A15</f>
        <v>TUTORIAL_START</v>
      </c>
      <c r="B17">
        <f t="shared" si="0"/>
        <v>14</v>
      </c>
      <c r="C17" t="str">
        <f t="shared" ref="C17" si="6">CONCATENATE(A17, "_", B17, IF(D17&lt;&gt;"", "_"&amp;D17, ""))</f>
        <v>TUTORIAL_START_14_PC</v>
      </c>
      <c r="D17" t="s">
        <v>98</v>
      </c>
      <c r="G17" s="3" t="s">
        <v>123</v>
      </c>
    </row>
    <row r="18" spans="1:7" x14ac:dyDescent="0.3">
      <c r="A18" t="str">
        <f>A16</f>
        <v>TUTORIAL_START</v>
      </c>
      <c r="B18">
        <f t="shared" si="0"/>
        <v>15</v>
      </c>
      <c r="C18" t="str">
        <f t="shared" ref="C18" si="7">CONCATENATE(A18, "_", B18, IF(D18&lt;&gt;"", "_"&amp;D18, ""))</f>
        <v>TUTORIAL_START_15</v>
      </c>
      <c r="G18" s="3" t="s">
        <v>120</v>
      </c>
    </row>
    <row r="19" spans="1:7" x14ac:dyDescent="0.3">
      <c r="A19" t="s">
        <v>77</v>
      </c>
      <c r="B19">
        <v>0</v>
      </c>
      <c r="C19" t="str">
        <f t="shared" ref="C19:C27" si="8">CONCATENATE(A19, "_", B19, IF(D19&lt;&gt;"", "_"&amp;D19, ""))</f>
        <v>1.1.1_SHU_START_0</v>
      </c>
      <c r="E19" t="str">
        <f>VLOOKUP(F19,[1]HeroData!$A$3:$B$118,2, FALSE)</f>
        <v>LiuBei</v>
      </c>
      <c r="F19" t="s">
        <v>5</v>
      </c>
      <c r="G19" s="3" t="s">
        <v>86</v>
      </c>
    </row>
    <row r="20" spans="1:7" x14ac:dyDescent="0.3">
      <c r="A20" t="str">
        <f t="shared" ref="A20:A27" si="9">A19</f>
        <v>1.1.1_SHU_START</v>
      </c>
      <c r="B20">
        <f>B19+1</f>
        <v>1</v>
      </c>
      <c r="C20" t="str">
        <f t="shared" si="8"/>
        <v>1.1.1_SHU_START_1</v>
      </c>
      <c r="E20" t="str">
        <f>VLOOKUP(F20,[1]HeroData!$A$3:$B$118,2, FALSE)</f>
        <v>ZhangFei</v>
      </c>
      <c r="F20" t="s">
        <v>9</v>
      </c>
      <c r="G20" s="3" t="s">
        <v>85</v>
      </c>
    </row>
    <row r="21" spans="1:7" ht="33" x14ac:dyDescent="0.3">
      <c r="A21" t="str">
        <f t="shared" si="9"/>
        <v>1.1.1_SHU_START</v>
      </c>
      <c r="B21">
        <f>B20+1</f>
        <v>2</v>
      </c>
      <c r="C21" t="str">
        <f t="shared" si="8"/>
        <v>1.1.1_SHU_START_2</v>
      </c>
      <c r="E21" t="str">
        <f>VLOOKUP(F21,[1]HeroData!$A$3:$B$118,2, FALSE)</f>
        <v>GuanYu</v>
      </c>
      <c r="F21" t="s">
        <v>7</v>
      </c>
      <c r="G21" s="3" t="s">
        <v>87</v>
      </c>
    </row>
    <row r="22" spans="1:7" x14ac:dyDescent="0.3">
      <c r="A22" t="str">
        <f t="shared" si="9"/>
        <v>1.1.1_SHU_START</v>
      </c>
      <c r="B22">
        <f>B21+1</f>
        <v>3</v>
      </c>
      <c r="C22" t="str">
        <f t="shared" si="8"/>
        <v>1.1.1_SHU_START_3</v>
      </c>
      <c r="E22" t="str">
        <f>VLOOKUP(F22,[1]HeroData!$A$3:$B$118,2, FALSE)</f>
        <v>LiuBei</v>
      </c>
      <c r="F22" t="s">
        <v>5</v>
      </c>
      <c r="G22" s="3" t="s">
        <v>88</v>
      </c>
    </row>
    <row r="23" spans="1:7" x14ac:dyDescent="0.3">
      <c r="A23" t="str">
        <f t="shared" si="9"/>
        <v>1.1.1_SHU_START</v>
      </c>
      <c r="B23">
        <f>B22+1</f>
        <v>4</v>
      </c>
      <c r="C23" t="str">
        <f t="shared" si="8"/>
        <v>1.1.1_SHU_START_4</v>
      </c>
      <c r="E23" t="str">
        <f>VLOOKUP(F23,[1]HeroData!$A$3:$B$118,2, FALSE)</f>
        <v>GuanYu</v>
      </c>
      <c r="F23" t="s">
        <v>7</v>
      </c>
      <c r="G23" s="3" t="s">
        <v>91</v>
      </c>
    </row>
    <row r="24" spans="1:7" x14ac:dyDescent="0.3">
      <c r="A24" t="str">
        <f t="shared" si="9"/>
        <v>1.1.1_SHU_START</v>
      </c>
      <c r="B24">
        <f>B23+1</f>
        <v>5</v>
      </c>
      <c r="C24" t="str">
        <f t="shared" si="8"/>
        <v>1.1.1_SHU_START_5</v>
      </c>
      <c r="E24" t="str">
        <f>VLOOKUP(F24,[1]HeroData!$A$3:$B$118,2, FALSE)</f>
        <v>ZhangFei</v>
      </c>
      <c r="F24" t="s">
        <v>9</v>
      </c>
      <c r="G24" s="3" t="s">
        <v>89</v>
      </c>
    </row>
    <row r="25" spans="1:7" x14ac:dyDescent="0.3">
      <c r="A25" t="str">
        <f t="shared" si="9"/>
        <v>1.1.1_SHU_START</v>
      </c>
      <c r="B25">
        <f t="shared" ref="B25:B27" si="10">B24+1</f>
        <v>6</v>
      </c>
      <c r="C25" t="str">
        <f t="shared" si="8"/>
        <v>1.1.1_SHU_START_6</v>
      </c>
      <c r="E25" t="str">
        <f>VLOOKUP(F25,[1]HeroData!$A$3:$B$118,2, FALSE)</f>
        <v>LiuBei</v>
      </c>
      <c r="F25" t="s">
        <v>5</v>
      </c>
      <c r="G25" s="3" t="s">
        <v>90</v>
      </c>
    </row>
    <row r="26" spans="1:7" x14ac:dyDescent="0.3">
      <c r="A26" t="str">
        <f t="shared" si="9"/>
        <v>1.1.1_SHU_START</v>
      </c>
      <c r="B26">
        <f t="shared" si="10"/>
        <v>7</v>
      </c>
      <c r="C26" t="str">
        <f t="shared" si="8"/>
        <v>1.1.1_SHU_START_7</v>
      </c>
      <c r="E26" t="str">
        <f>VLOOKUP(F26,[1]HeroData!$A$3:$B$118,2, FALSE)</f>
        <v>GuanYu</v>
      </c>
      <c r="F26" t="s">
        <v>7</v>
      </c>
      <c r="G26" s="3" t="s">
        <v>92</v>
      </c>
    </row>
    <row r="27" spans="1:7" x14ac:dyDescent="0.3">
      <c r="A27" t="str">
        <f t="shared" si="9"/>
        <v>1.1.1_SHU_START</v>
      </c>
      <c r="B27">
        <f t="shared" si="10"/>
        <v>8</v>
      </c>
      <c r="C27" t="str">
        <f t="shared" si="8"/>
        <v>1.1.1_SHU_START_8</v>
      </c>
      <c r="E27" t="str">
        <f>VLOOKUP(F27,[1]HeroData!$A$3:$B$118,2, FALSE)</f>
        <v>LiuBei</v>
      </c>
      <c r="F27" t="s">
        <v>5</v>
      </c>
      <c r="G27" s="3" t="s">
        <v>93</v>
      </c>
    </row>
    <row r="28" spans="1:7" x14ac:dyDescent="0.3">
      <c r="G28"/>
    </row>
    <row r="29" spans="1:7" x14ac:dyDescent="0.3">
      <c r="G29"/>
    </row>
    <row r="30" spans="1:7" x14ac:dyDescent="0.3">
      <c r="G30"/>
    </row>
    <row r="31" spans="1:7" x14ac:dyDescent="0.3">
      <c r="G3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String</vt:lpstr>
      <vt:lpstr>String_Hero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2026-03-20T07:13:58Z</dcterms:modified>
</cp:coreProperties>
</file>