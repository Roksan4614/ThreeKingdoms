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F8418DF0-241E-4B9E-AF1A-3D7F70F64723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5" i="5" l="1"/>
  <c r="E234" i="5"/>
  <c r="E233" i="5"/>
  <c r="E232" i="5"/>
  <c r="E231" i="5"/>
  <c r="E230" i="5"/>
  <c r="E229" i="5"/>
  <c r="E228" i="5"/>
  <c r="E227" i="5"/>
  <c r="E226" i="5"/>
  <c r="E225" i="5"/>
  <c r="B225" i="5"/>
  <c r="B226" i="5" s="1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B238" i="5"/>
  <c r="B239" i="5" s="1"/>
  <c r="B240" i="5" s="1"/>
  <c r="C238" i="5"/>
  <c r="E170" i="5"/>
  <c r="E199" i="5"/>
  <c r="E193" i="5"/>
  <c r="E192" i="5"/>
  <c r="E190" i="5"/>
  <c r="E188" i="5"/>
  <c r="E189" i="5"/>
  <c r="E176" i="5"/>
  <c r="E177" i="5"/>
  <c r="E183" i="5"/>
  <c r="E198" i="5"/>
  <c r="E185" i="5"/>
  <c r="E184" i="5"/>
  <c r="E182" i="5"/>
  <c r="E181" i="5"/>
  <c r="E179" i="5"/>
  <c r="E178" i="5"/>
  <c r="E171" i="5"/>
  <c r="E169" i="5"/>
  <c r="E168" i="5"/>
  <c r="E167" i="5"/>
  <c r="E166" i="5"/>
  <c r="E165" i="5"/>
  <c r="E164" i="5"/>
  <c r="E163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E238" i="5"/>
  <c r="E237" i="5"/>
  <c r="C237" i="5"/>
  <c r="B202" i="5"/>
  <c r="C202" i="5" s="1"/>
  <c r="C201" i="5"/>
  <c r="E162" i="5"/>
  <c r="B162" i="5"/>
  <c r="B163" i="5" s="1"/>
  <c r="C163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C226" i="5" l="1"/>
  <c r="B227" i="5"/>
  <c r="C225" i="5"/>
  <c r="B241" i="5"/>
  <c r="C240" i="5"/>
  <c r="C239" i="5"/>
  <c r="B164" i="5"/>
  <c r="B203" i="5"/>
  <c r="B204" i="5" s="1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28" i="5" l="1"/>
  <c r="C227" i="5"/>
  <c r="B205" i="5"/>
  <c r="C204" i="5"/>
  <c r="C241" i="5"/>
  <c r="B242" i="5"/>
  <c r="B165" i="5"/>
  <c r="C164" i="5"/>
  <c r="C203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228" i="5" l="1"/>
  <c r="B229" i="5"/>
  <c r="C205" i="5"/>
  <c r="B206" i="5"/>
  <c r="C242" i="5"/>
  <c r="B243" i="5"/>
  <c r="B166" i="5"/>
  <c r="C165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B230" i="5" l="1"/>
  <c r="C229" i="5"/>
  <c r="B207" i="5"/>
  <c r="C206" i="5"/>
  <c r="B244" i="5"/>
  <c r="C243" i="5"/>
  <c r="C166" i="5"/>
  <c r="B167" i="5"/>
  <c r="B129" i="5"/>
  <c r="C128" i="5"/>
  <c r="A57" i="5"/>
  <c r="A58" i="5" s="1"/>
  <c r="A5" i="5"/>
  <c r="C230" i="5" l="1"/>
  <c r="B231" i="5"/>
  <c r="B208" i="5"/>
  <c r="B209" i="5" s="1"/>
  <c r="C207" i="5"/>
  <c r="C244" i="5"/>
  <c r="B245" i="5"/>
  <c r="C167" i="5"/>
  <c r="B168" i="5"/>
  <c r="C129" i="5"/>
  <c r="B130" i="5"/>
  <c r="C57" i="5"/>
  <c r="C58" i="5"/>
  <c r="A59" i="5"/>
  <c r="A6" i="5"/>
  <c r="B232" i="5" l="1"/>
  <c r="C231" i="5"/>
  <c r="B210" i="5"/>
  <c r="C209" i="5"/>
  <c r="C208" i="5"/>
  <c r="B246" i="5"/>
  <c r="C245" i="5"/>
  <c r="B169" i="5"/>
  <c r="B170" i="5" s="1"/>
  <c r="C168" i="5"/>
  <c r="C130" i="5"/>
  <c r="B131" i="5"/>
  <c r="C59" i="5"/>
  <c r="A60" i="5"/>
  <c r="A7" i="5"/>
  <c r="B233" i="5" l="1"/>
  <c r="C232" i="5"/>
  <c r="B211" i="5"/>
  <c r="C210" i="5"/>
  <c r="B247" i="5"/>
  <c r="C246" i="5"/>
  <c r="C170" i="5"/>
  <c r="B171" i="5"/>
  <c r="C169" i="5"/>
  <c r="C131" i="5"/>
  <c r="B132" i="5"/>
  <c r="C60" i="5"/>
  <c r="A61" i="5"/>
  <c r="A8" i="5"/>
  <c r="B234" i="5" l="1"/>
  <c r="C233" i="5"/>
  <c r="B212" i="5"/>
  <c r="C211" i="5"/>
  <c r="B248" i="5"/>
  <c r="C247" i="5"/>
  <c r="B172" i="5"/>
  <c r="C171" i="5"/>
  <c r="C132" i="5"/>
  <c r="B133" i="5"/>
  <c r="A62" i="5"/>
  <c r="C61" i="5"/>
  <c r="A9" i="5"/>
  <c r="B235" i="5" l="1"/>
  <c r="C235" i="5" s="1"/>
  <c r="C234" i="5"/>
  <c r="C212" i="5"/>
  <c r="B213" i="5"/>
  <c r="B249" i="5"/>
  <c r="C248" i="5"/>
  <c r="C172" i="5"/>
  <c r="B173" i="5"/>
  <c r="B134" i="5"/>
  <c r="C133" i="5"/>
  <c r="A63" i="5"/>
  <c r="C62" i="5"/>
  <c r="A10" i="5"/>
  <c r="B214" i="5" l="1"/>
  <c r="C213" i="5"/>
  <c r="B250" i="5"/>
  <c r="C249" i="5"/>
  <c r="C173" i="5"/>
  <c r="B174" i="5"/>
  <c r="C134" i="5"/>
  <c r="B135" i="5"/>
  <c r="C63" i="5"/>
  <c r="A64" i="5"/>
  <c r="A11" i="5"/>
  <c r="B215" i="5" l="1"/>
  <c r="C214" i="5"/>
  <c r="B251" i="5"/>
  <c r="C250" i="5"/>
  <c r="C174" i="5"/>
  <c r="B17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215" i="5" l="1"/>
  <c r="B216" i="5"/>
  <c r="B252" i="5"/>
  <c r="C251" i="5"/>
  <c r="B176" i="5"/>
  <c r="C175" i="5"/>
  <c r="B137" i="5"/>
  <c r="C136" i="5"/>
  <c r="B7" i="5"/>
  <c r="C7" i="5" s="1"/>
  <c r="C6" i="5"/>
  <c r="C5" i="5"/>
  <c r="C65" i="5"/>
  <c r="A66" i="5"/>
  <c r="B8" i="5"/>
  <c r="A30" i="5"/>
  <c r="B217" i="5" l="1"/>
  <c r="C216" i="5"/>
  <c r="B253" i="5"/>
  <c r="C252" i="5"/>
  <c r="C176" i="5"/>
  <c r="B177" i="5"/>
  <c r="B138" i="5"/>
  <c r="C137" i="5"/>
  <c r="C66" i="5"/>
  <c r="A67" i="5"/>
  <c r="C8" i="5"/>
  <c r="B9" i="5"/>
  <c r="A31" i="5"/>
  <c r="B218" i="5" l="1"/>
  <c r="C217" i="5"/>
  <c r="C253" i="5"/>
  <c r="B254" i="5"/>
  <c r="B178" i="5"/>
  <c r="C177" i="5"/>
  <c r="C138" i="5"/>
  <c r="B139" i="5"/>
  <c r="C67" i="5"/>
  <c r="A68" i="5"/>
  <c r="C9" i="5"/>
  <c r="B10" i="5"/>
  <c r="A32" i="5"/>
  <c r="C218" i="5" l="1"/>
  <c r="B219" i="5"/>
  <c r="C254" i="5"/>
  <c r="B255" i="5"/>
  <c r="B179" i="5"/>
  <c r="C178" i="5"/>
  <c r="B140" i="5"/>
  <c r="C139" i="5"/>
  <c r="C68" i="5"/>
  <c r="A69" i="5"/>
  <c r="C10" i="5"/>
  <c r="B11" i="5"/>
  <c r="A33" i="5"/>
  <c r="B220" i="5" l="1"/>
  <c r="C219" i="5"/>
  <c r="C255" i="5"/>
  <c r="B256" i="5"/>
  <c r="B180" i="5"/>
  <c r="C179" i="5"/>
  <c r="B141" i="5"/>
  <c r="C140" i="5"/>
  <c r="A70" i="5"/>
  <c r="C69" i="5"/>
  <c r="C11" i="5"/>
  <c r="B12" i="5"/>
  <c r="A34" i="5"/>
  <c r="C220" i="5" l="1"/>
  <c r="B221" i="5"/>
  <c r="B257" i="5"/>
  <c r="C256" i="5"/>
  <c r="B181" i="5"/>
  <c r="C180" i="5"/>
  <c r="B142" i="5"/>
  <c r="C141" i="5"/>
  <c r="C70" i="5"/>
  <c r="A71" i="5"/>
  <c r="B13" i="5"/>
  <c r="C12" i="5"/>
  <c r="A35" i="5"/>
  <c r="B222" i="5" l="1"/>
  <c r="C221" i="5"/>
  <c r="B258" i="5"/>
  <c r="C257" i="5"/>
  <c r="B182" i="5"/>
  <c r="C181" i="5"/>
  <c r="B143" i="5"/>
  <c r="C142" i="5"/>
  <c r="C71" i="5"/>
  <c r="A72" i="5"/>
  <c r="B14" i="5"/>
  <c r="C13" i="5"/>
  <c r="A36" i="5"/>
  <c r="C222" i="5" l="1"/>
  <c r="B223" i="5"/>
  <c r="C258" i="5"/>
  <c r="B259" i="5"/>
  <c r="B183" i="5"/>
  <c r="C182" i="5"/>
  <c r="C143" i="5"/>
  <c r="B144" i="5"/>
  <c r="A73" i="5"/>
  <c r="C72" i="5"/>
  <c r="C14" i="5"/>
  <c r="B15" i="5"/>
  <c r="A37" i="5"/>
  <c r="B224" i="5" l="1"/>
  <c r="C223" i="5"/>
  <c r="C259" i="5"/>
  <c r="B260" i="5"/>
  <c r="C183" i="5"/>
  <c r="B184" i="5"/>
  <c r="B145" i="5"/>
  <c r="C144" i="5"/>
  <c r="C73" i="5"/>
  <c r="A74" i="5"/>
  <c r="A75" i="5" s="1"/>
  <c r="B16" i="5"/>
  <c r="C15" i="5"/>
  <c r="A38" i="5"/>
  <c r="C224" i="5" l="1"/>
  <c r="B261" i="5"/>
  <c r="C260" i="5"/>
  <c r="C184" i="5"/>
  <c r="B185" i="5"/>
  <c r="C145" i="5"/>
  <c r="B146" i="5"/>
  <c r="C75" i="5"/>
  <c r="A76" i="5"/>
  <c r="C74" i="5"/>
  <c r="C16" i="5"/>
  <c r="B17" i="5"/>
  <c r="A39" i="5"/>
  <c r="C261" i="5" l="1"/>
  <c r="B262" i="5"/>
  <c r="B186" i="5"/>
  <c r="C185" i="5"/>
  <c r="B147" i="5"/>
  <c r="C146" i="5"/>
  <c r="C76" i="5"/>
  <c r="A77" i="5"/>
  <c r="B18" i="5"/>
  <c r="C17" i="5"/>
  <c r="A40" i="5"/>
  <c r="B263" i="5" l="1"/>
  <c r="C262" i="5"/>
  <c r="B187" i="5"/>
  <c r="C186" i="5"/>
  <c r="C147" i="5"/>
  <c r="B148" i="5"/>
  <c r="C77" i="5"/>
  <c r="A78" i="5"/>
  <c r="A79" i="5" s="1"/>
  <c r="C18" i="5"/>
  <c r="B19" i="5"/>
  <c r="A41" i="5"/>
  <c r="C263" i="5" l="1"/>
  <c r="B264" i="5"/>
  <c r="B188" i="5"/>
  <c r="C187" i="5"/>
  <c r="B149" i="5"/>
  <c r="C148" i="5"/>
  <c r="A80" i="5"/>
  <c r="C79" i="5"/>
  <c r="C78" i="5"/>
  <c r="B20" i="5"/>
  <c r="C19" i="5"/>
  <c r="A42" i="5"/>
  <c r="B265" i="5" l="1"/>
  <c r="C264" i="5"/>
  <c r="B189" i="5"/>
  <c r="C188" i="5"/>
  <c r="B150" i="5"/>
  <c r="C149" i="5"/>
  <c r="A81" i="5"/>
  <c r="C80" i="5"/>
  <c r="B21" i="5"/>
  <c r="C20" i="5"/>
  <c r="A43" i="5"/>
  <c r="B266" i="5" l="1"/>
  <c r="C265" i="5"/>
  <c r="C189" i="5"/>
  <c r="B190" i="5"/>
  <c r="C150" i="5"/>
  <c r="B151" i="5"/>
  <c r="A82" i="5"/>
  <c r="C81" i="5"/>
  <c r="C21" i="5"/>
  <c r="B22" i="5"/>
  <c r="A44" i="5"/>
  <c r="B267" i="5" l="1"/>
  <c r="C266" i="5"/>
  <c r="B191" i="5"/>
  <c r="C190" i="5"/>
  <c r="B152" i="5"/>
  <c r="C151" i="5"/>
  <c r="A83" i="5"/>
  <c r="C82" i="5"/>
  <c r="C22" i="5"/>
  <c r="B23" i="5"/>
  <c r="A45" i="5"/>
  <c r="B268" i="5" l="1"/>
  <c r="C267" i="5"/>
  <c r="B192" i="5"/>
  <c r="C191" i="5"/>
  <c r="B153" i="5"/>
  <c r="C152" i="5"/>
  <c r="A84" i="5"/>
  <c r="C83" i="5"/>
  <c r="C23" i="5"/>
  <c r="B24" i="5"/>
  <c r="A46" i="5"/>
  <c r="C268" i="5" l="1"/>
  <c r="B269" i="5"/>
  <c r="C192" i="5"/>
  <c r="B193" i="5"/>
  <c r="B194" i="5" s="1"/>
  <c r="C153" i="5"/>
  <c r="B154" i="5"/>
  <c r="A85" i="5"/>
  <c r="C84" i="5"/>
  <c r="B25" i="5"/>
  <c r="C24" i="5"/>
  <c r="A47" i="5"/>
  <c r="B270" i="5" l="1"/>
  <c r="C269" i="5"/>
  <c r="B195" i="5"/>
  <c r="C194" i="5"/>
  <c r="C193" i="5"/>
  <c r="C154" i="5"/>
  <c r="B155" i="5"/>
  <c r="C85" i="5"/>
  <c r="A86" i="5"/>
  <c r="B26" i="5"/>
  <c r="C26" i="5" s="1"/>
  <c r="C25" i="5"/>
  <c r="A48" i="5"/>
  <c r="B271" i="5" l="1"/>
  <c r="C270" i="5"/>
  <c r="C195" i="5"/>
  <c r="B196" i="5"/>
  <c r="B197" i="5" s="1"/>
  <c r="C155" i="5"/>
  <c r="B156" i="5"/>
  <c r="C86" i="5"/>
  <c r="A87" i="5"/>
  <c r="A49" i="5"/>
  <c r="B272" i="5" l="1"/>
  <c r="C271" i="5"/>
  <c r="B198" i="5"/>
  <c r="C197" i="5"/>
  <c r="C196" i="5"/>
  <c r="B157" i="5"/>
  <c r="C156" i="5"/>
  <c r="C87" i="5"/>
  <c r="A88" i="5"/>
  <c r="A50" i="5"/>
  <c r="C272" i="5" l="1"/>
  <c r="B273" i="5"/>
  <c r="B199" i="5"/>
  <c r="C199" i="5" s="1"/>
  <c r="C198" i="5"/>
  <c r="B158" i="5"/>
  <c r="C157" i="5"/>
  <c r="A89" i="5"/>
  <c r="C88" i="5"/>
  <c r="A51" i="5"/>
  <c r="B274" i="5" l="1"/>
  <c r="C273" i="5"/>
  <c r="C158" i="5"/>
  <c r="B159" i="5"/>
  <c r="C159" i="5" s="1"/>
  <c r="C89" i="5"/>
  <c r="A90" i="5"/>
  <c r="A52" i="5"/>
  <c r="B29" i="5"/>
  <c r="B30" i="5" s="1"/>
  <c r="C30" i="5" s="1"/>
  <c r="B275" i="5" l="1"/>
  <c r="C274" i="5"/>
  <c r="C29" i="5"/>
  <c r="A91" i="5"/>
  <c r="C90" i="5"/>
  <c r="B31" i="5"/>
  <c r="C275" i="5" l="1"/>
  <c r="B276" i="5"/>
  <c r="A92" i="5"/>
  <c r="C91" i="5"/>
  <c r="C31" i="5"/>
  <c r="B32" i="5"/>
  <c r="B277" i="5" l="1"/>
  <c r="C276" i="5"/>
  <c r="A93" i="5"/>
  <c r="C92" i="5"/>
  <c r="C32" i="5"/>
  <c r="B33" i="5"/>
  <c r="B278" i="5" l="1"/>
  <c r="C277" i="5"/>
  <c r="C93" i="5"/>
  <c r="A94" i="5"/>
  <c r="C33" i="5"/>
  <c r="B34" i="5"/>
  <c r="B279" i="5" l="1"/>
  <c r="C278" i="5"/>
  <c r="C94" i="5"/>
  <c r="A95" i="5"/>
  <c r="B35" i="5"/>
  <c r="C34" i="5"/>
  <c r="C279" i="5" l="1"/>
  <c r="B280" i="5"/>
  <c r="A96" i="5"/>
  <c r="C95" i="5"/>
  <c r="B36" i="5"/>
  <c r="C35" i="5"/>
  <c r="B281" i="5" l="1"/>
  <c r="C281" i="5" s="1"/>
  <c r="C280" i="5"/>
  <c r="C96" i="5"/>
  <c r="A97" i="5"/>
  <c r="B37" i="5"/>
  <c r="C36" i="5"/>
  <c r="C97" i="5" l="1"/>
  <c r="A98" i="5"/>
  <c r="C37" i="5"/>
  <c r="B38" i="5"/>
  <c r="A99" i="5" l="1"/>
  <c r="C98" i="5"/>
  <c r="C38" i="5"/>
  <c r="B39" i="5"/>
  <c r="C99" i="5" l="1"/>
  <c r="A100" i="5"/>
  <c r="B40" i="5"/>
  <c r="C39" i="5"/>
  <c r="A101" i="5" l="1"/>
  <c r="C100" i="5"/>
  <c r="C40" i="5"/>
  <c r="B41" i="5"/>
  <c r="A102" i="5" l="1"/>
  <c r="C101" i="5"/>
  <c r="B42" i="5"/>
  <c r="C41" i="5"/>
  <c r="C102" i="5" l="1"/>
  <c r="A103" i="5"/>
  <c r="C42" i="5"/>
  <c r="B43" i="5"/>
  <c r="C103" i="5" l="1"/>
  <c r="A104" i="5"/>
  <c r="C43" i="5"/>
  <c r="B44" i="5"/>
  <c r="C104" i="5" l="1"/>
  <c r="A105" i="5"/>
  <c r="C44" i="5"/>
  <c r="B45" i="5"/>
  <c r="A106" i="5" l="1"/>
  <c r="C105" i="5"/>
  <c r="C45" i="5"/>
  <c r="B46" i="5"/>
  <c r="C106" i="5" l="1"/>
  <c r="A107" i="5"/>
  <c r="B47" i="5"/>
  <c r="C46" i="5"/>
  <c r="C107" i="5" l="1"/>
  <c r="A108" i="5"/>
  <c r="C47" i="5"/>
  <c r="B48" i="5"/>
  <c r="C108" i="5" l="1"/>
  <c r="A109" i="5"/>
  <c r="C48" i="5"/>
  <c r="B49" i="5"/>
  <c r="A110" i="5" l="1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<sst xmlns="http://schemas.openxmlformats.org/spreadsheetml/2006/main" count="1750" uniqueCount="831">
  <si>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</si>
  <si>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</si>
  <si>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</si>
  <si>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</si>
  <si>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</si>
  <si>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</si>
  <si>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</si>
  <si>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</si>
  <si>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</si>
  <si>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</si>
  <si>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</si>
  <si>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</si>
  <si>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</si>
  <si>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</si>
  <si>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</si>
  <si>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</si>
  <si>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</si>
  <si>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</si>
  <si>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</si>
  <si>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</si>
  <si>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</si>
  <si>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</si>
  <si>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</si>
  <si>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</si>
  <si>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</si>
  <si>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</si>
  <si>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</si>
  <si>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</si>
  <si>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</si>
  <si>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</si>
  <si>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</si>
  <si>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</si>
  <si>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</si>
  <si>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</si>
  <si>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</si>
  <si>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</si>
  <si>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</si>
  <si>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</si>
  <si>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</si>
  <si>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</si>
  <si>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</si>
  <si>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</si>
  <si>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</si>
  <si>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</si>
  <si>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</si>
  <si>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</si>
  <si>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</si>
  <si>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</si>
  <si>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</si>
  <si>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</si>
  <si>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</si>
  <si>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</si>
  <si>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</si>
  <si>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</si>
  <si>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</si>
  <si>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</si>
  <si>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</si>
  <si>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</si>
  <si>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</si>
  <si>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</si>
  <si>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</si>
  <si>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</si>
  <si>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</si>
  <si>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</si>
  <si>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</si>
  <si>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</si>
  <si>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</si>
  <si>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</si>
  <si>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</si>
  <si>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</si>
  <si>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</si>
  <si>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</si>
  <si>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</si>
  <si>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</si>
  <si>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</si>
  <si>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</si>
  <si>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</si>
  <si>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</si>
  <si>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</si>
  <si>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</si>
  <si>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</si>
  <si>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</si>
  <si>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</si>
  <si>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</si>
  <si>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</si>
  <si>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</si>
  <si>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</si>
  <si>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</si>
  <si>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</si>
  <si>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</si>
  <si>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</si>
  <si>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</si>
  <si>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</si>
  <si>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</si>
  <si>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</si>
  <si>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</si>
  <si>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</si>
  <si>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</si>
  <si>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</si>
  <si>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</si>
  <si>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</si>
  <si>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</si>
  <si>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</si>
  <si>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</si>
  <si>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</si>
  <si>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</si>
  <si>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</si>
  <si>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</si>
  <si>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</si>
  <si>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</si>
  <si>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</si>
  <si>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</si>
  <si>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</si>
  <si>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</si>
  <si>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</si>
  <si>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</si>
  <si>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</si>
  <si>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</si>
  <si>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</si>
  <si>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</si>
  <si>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</si>
  <si>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</si>
  <si>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</si>
  <si>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</si>
  <si>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</si>
  <si>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</si>
  <si>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</si>
  <si>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</si>
  <si>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</si>
  <si>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</si>
  <si>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</si>
  <si>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</si>
  <si>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</si>
  <si>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</si>
  <si>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</si>
  <si>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</si>
  <si>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</si>
  <si>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</si>
  <si>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</si>
  <si>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</si>
  <si>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</si>
  <si>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</si>
  <si>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</si>
  <si>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</si>
  <si>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</si>
  <si>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</si>
  <si>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</si>
  <si>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</si>
  <si>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</si>
  <si>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</si>
  <si>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</si>
  <si>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</si>
  <si>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</si>
  <si>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</si>
  <si>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</si>
  <si>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</si>
  <si>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</si>
  <si>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</si>
  <si>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</si>
  <si>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</si>
  <si>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</si>
  <si>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</si>
  <si>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</si>
  <si>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</si>
  <si>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</si>
  <si>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</si>
  <si>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</si>
  <si>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</si>
  <si>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</si>
  <si>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</si>
  <si>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</si>
  <si>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</si>
  <si>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</si>
  <si>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</si>
  <si>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</si>
  <si>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</si>
  <si>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</si>
  <si>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</si>
  <si>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</si>
  <si>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</si>
  <si>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</si>
  <si>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</si>
  <si>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</si>
  <si>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</si>
  <si>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</si>
  <si>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</si>
  <si>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</si>
  <si>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</si>
  <si>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</si>
  <si>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</si>
  <si>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</si>
  <si>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</si>
  <si>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</si>
  <si>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</si>
  <si>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</si>
  <si>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</si>
  <si>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</si>
  <si>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</si>
  <si>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</si>
  <si>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</si>
  <si>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</si>
  <si>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</si>
  <si>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</si>
  <si>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</si>
  <si>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</si>
  <si>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</si>
  <si>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</si>
  <si>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</si>
  <si>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</si>
  <si>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</si>
  <si>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</si>
  <si>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</si>
  <si>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</si>
  <si>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</si>
  <si>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</si>
  <si>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</si>
  <si>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</si>
  <si>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</si>
  <si>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</si>
  <si>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</si>
  <si>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</si>
  <si>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</si>
  <si>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</si>
  <si>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</si>
  <si>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</si>
  <si>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</si>
  <si>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</si>
  <si>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</si>
  <si>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</si>
  <si>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</si>
  <si>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</si>
  <si>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</si>
  <si>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</si>
  <si>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</si>
  <si>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</si>
  <si>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</si>
  <si>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</si>
  <si>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</si>
  <si>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</si>
  <si>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</si>
  <si>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</si>
  <si>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</si>
  <si>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</si>
  <si>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</si>
  <si>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</si>
  <si>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</si>
  <si>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</si>
  <si>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</si>
  <si>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</si>
  <si>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</si>
  <si>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</si>
  <si>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</si>
  <si>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</si>
  <si>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</si>
  <si>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</si>
  <si>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</si>
  <si>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</si>
  <si>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</si>
  <si>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</si>
  <si>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</si>
  <si>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</si>
  <si>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</si>
  <si>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</si>
  <si>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</si>
  <si>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</si>
  <si>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</si>
  <si>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</si>
  <si>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</si>
  <si>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</si>
  <si>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</si>
  <si>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</si>
  <si>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</si>
  <si>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</si>
  <si>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</si>
  <si>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</si>
  <si>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</si>
  <si>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</si>
  <si>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</si>
  <si>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</si>
  <si>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</si>
  <si>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</si>
  <si>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</si>
  <si>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</si>
  <si>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</si>
  <si>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</si>
  <si>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</si>
  <si>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</si>
  <si>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</si>
  <si>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</si>
  <si>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</si>
  <si>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</si>
  <si>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</si>
  <si>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</si>
  <si>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</si>
  <si>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</si>
  <si>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</si>
  <si>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</si>
  <si>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</si>
  <si>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</si>
  <si>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</si>
  <si>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</si>
  <si>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</si>
  <si>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</si>
  <si>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</si>
  <si>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</si>
  <si>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</si>
  <si>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</si>
  <si>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</si>
  <si>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</si>
  <si>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</si>
  <si>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</si>
  <si>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</si>
  <si>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</si>
  <si>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</si>
  <si>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</si>
  <si>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</si>
  <si>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</si>
  <si>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</si>
  <si>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</si>
  <si>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</si>
  <si>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</si>
  <si>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</si>
  <si>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</si>
  <si>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</si>
  <si>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</si>
  <si>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</si>
  <si>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</si>
  <si>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</si>
  <si>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</si>
  <si>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</si>
  <si>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</si>
  <si>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</si>
  <si>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</si>
  <si>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</si>
  <si>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</si>
  <si>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</si>
  <si>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</si>
  <si>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</si>
  <si>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</si>
  <si>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</si>
  <si>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</si>
  <si>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</si>
  <si>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</si>
  <si>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</si>
  <si>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</si>
  <si>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</si>
  <si>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</si>
  <si>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</si>
  <si>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</si>
  <si>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</si>
  <si>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</si>
  <si>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</si>
  <si>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</si>
  <si>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</si>
  <si>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</si>
  <si>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</si>
  <si>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</si>
  <si>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</si>
  <si>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</si>
  <si>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</si>
  <si>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</si>
  <si>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</si>
  <si>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</si>
  <si>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</si>
  <si>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</si>
  <si>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</si>
  <si>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</si>
  <si>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</si>
  <si>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</si>
  <si>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</si>
  <si>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</si>
  <si>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</si>
  <si>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</si>
  <si>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</si>
  <si>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</si>
  <si>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</si>
  <si>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</si>
  <si>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</si>
  <si>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</si>
  <si>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</si>
  <si>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</si>
  <si>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</si>
  <si>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</si>
  <si>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</si>
  <si>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</si>
  <si>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</si>
  <si>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</si>
  <si>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</si>
  <si>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</si>
  <si>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</si>
  <si>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</si>
  <si>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</si>
  <si>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</si>
  <si>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</si>
  <si>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</si>
  <si>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</si>
  <si>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</si>
  <si>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</si>
  <si>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</si>
  <si>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</si>
  <si>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</si>
  <si>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</si>
  <si>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</si>
  <si>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</si>
  <si>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</si>
  <si>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</si>
  <si>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</si>
  <si>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</si>
  <si>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</si>
  <si>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</si>
  <si>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</si>
  <si>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</si>
  <si>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</si>
  <si>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</si>
  <si>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</si>
  <si>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</si>
  <si>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</si>
  <si>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</si>
  <si>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</si>
  <si>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</si>
  <si>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</si>
  <si>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</si>
  <si>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</si>
  <si>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</si>
  <si>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</si>
  <si>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</si>
  <si>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</si>
  <si>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</si>
  <si>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</si>
  <si>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</si>
  <si>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</si>
  <si>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</si>
  <si>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</si>
  <si>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</si>
  <si>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</si>
  <si>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</si>
  <si>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</si>
  <si>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</si>
  <si>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</si>
  <si>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</si>
  <si>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</si>
  <si>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</si>
  <si>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</si>
  <si>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</si>
  <si>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</si>
  <si>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</si>
  <si>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</si>
  <si>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</si>
  <si>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</si>
  <si>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</si>
  <si>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</si>
  <si>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</si>
  <si>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</si>
  <si>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</si>
  <si>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</si>
  <si>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</si>
  <si>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</si>
  <si>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</si>
  <si>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</si>
  <si>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</si>
  <si>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</si>
  <si>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</si>
  <si>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</si>
  <si>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</si>
  <si>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</si>
  <si>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</si>
  <si>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</si>
  <si>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</si>
  <si>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</si>
  <si>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</si>
  <si>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</si>
  <si>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</si>
  <si>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</si>
  <si>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</si>
  <si>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</si>
  <si>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</si>
  <si>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</si>
  <si>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</si>
  <si>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</si>
  <si>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</si>
  <si>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</si>
  <si>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</si>
  <si>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</si>
  <si>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</si>
  <si>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</si>
  <si>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</si>
  <si>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</si>
  <si>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</si>
  <si>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</si>
  <si>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</si>
  <si>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</si>
  <si>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</si>
  <si>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</si>
  <si>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</si>
  <si>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</si>
  <si>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</si>
  <si>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</si>
  <si>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</si>
  <si>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</si>
  <si>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</si>
  <si>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</si>
  <si>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</si>
  <si>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</si>
  <si>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</si>
  <si>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</si>
  <si>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</si>
  <si>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</si>
  <si>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</si>
  <si>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</si>
  <si>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</si>
  <si>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</si>
  <si>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</si>
  <si>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</si>
  <si>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</si>
  <si>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</si>
  <si>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</si>
  <si>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</si>
  <si>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</si>
  <si>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</si>
  <si>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</si>
  <si>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</si>
  <si>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</si>
  <si>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</si>
  <si>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</si>
  <si>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</si>
  <si>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</si>
  <si>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</si>
  <si>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</si>
  <si>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</si>
  <si>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</si>
  <si>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</si>
  <si>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</si>
  <si>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</si>
  <si>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</si>
  <si>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</si>
  <si>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</si>
  <si>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</si>
  <si>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</si>
  <si>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</si>
  <si>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</si>
  <si>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</si>
  <si>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</si>
  <si>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</si>
  <si>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</si>
  <si>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</si>
  <si>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</si>
  <si>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</si>
  <si>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</si>
  <si>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</si>
  <si>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</si>
  <si>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</si>
  <si>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</si>
  <si>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</si>
  <si>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</si>
  <si>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</si>
  <si>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</si>
  <si>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</si>
  <si>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</si>
  <si>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</si>
  <si>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</si>
  <si>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</si>
  <si>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</si>
  <si>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</si>
  <si>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</si>
  <si>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</si>
  <si>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</si>
  <si>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</si>
  <si>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</si>
  <si>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</si>
  <si>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</si>
  <si>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</si>
  <si>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</si>
  <si>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</si>
  <si>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</si>
  <si>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</si>
  <si>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</si>
  <si>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</si>
  <si>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</si>
  <si>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</si>
  <si>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</si>
  <si>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</si>
  <si>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</si>
  <si>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</si>
  <si>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</si>
  <si>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</si>
  <si>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</si>
  <si>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</si>
  <si>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</si>
  <si>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</si>
  <si>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</si>
  <si>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</si>
  <si>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</si>
  <si>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</si>
  <si>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</si>
  <si>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</si>
  <si>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</si>
  <si>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</si>
  <si>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</si>
  <si>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</si>
  <si>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</si>
  <si>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</si>
  <si>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</si>
  <si>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흥! 대체 안량이 어떻게..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</si>
  <si>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</si>
  <si>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</si>
  <si>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</si>
  <si>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</si>
  <si>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</si>
  <si>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명공! 조조는 원래 저를 시기하여
명공의 손을 빌려 저를 죽이려는 것입니다.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</si>
  <si>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</si>
  <si>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</si>
  <si>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</si>
  <si>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</si>
  <si>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</si>
  <si>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</si>
  <si>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</si>
  <si>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</si>
  <si>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</si>
  <si>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유비.. 네 놈 때문에 내가 제일 아끼는
장수 두명을 잃었다.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</si>
  <si>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</si>
  <si>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</si>
  <si>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안량, 문추를 잃은 것은 
안타까운..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</si>
  <si>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</si>
  <si>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</si>
  <si>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</si>
  <si>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</si>
  <si>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</si>
  <si>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</si>
  <si>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</si>
  <si>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</si>
  <si>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</si>
  <si>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</si>
  <si>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</si>
  <si>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</si>
  <si>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</si>
  <si>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</si>
  <si>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</si>
  <si>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</si>
  <si>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</si>
  <si>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</si>
  <si>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</si>
  <si>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</si>
  <si>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</si>
  <si>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</si>
  <si>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</si>
  <si>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</si>
  <si>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</si>
  <si>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</si>
  <si>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</si>
  <si>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안량을 벤 자가 누구더냐!
분명 무슨 암수를 썻을테지!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</si>
  <si>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</si>
  <si>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</si>
  <si>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</si>
  <si>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</si>
  <si>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</si>
  <si>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</si>
  <si>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</si>
  <si>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</si>
  <si>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</si>
  <si>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</si>
  <si>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</si>
  <si>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</si>
  <si>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</si>
  <si>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</si>
  <si>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</si>
  <si>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</si>
  <si>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</si>
  <si>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</si>
  <si>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</si>
  <si>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</si>
  <si>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</si>
  <si>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</si>
  <si>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</si>
  <si>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</si>
  <si>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</si>
  <si>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</si>
  <si>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</si>
  <si>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</si>
  <si>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</si>
  <si>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</si>
  <si>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</si>
  <si>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</si>
  <si>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</si>
  <si>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</si>
  <si>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</si>
  <si>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</si>
  <si>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</si>
  <si>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시끄럽다!! 첫째 형님을 죽음으로 몰고,
역적 조조에게 붙어버린 배신자놈!!</t>
    <phoneticPr fontId="1" type="noConversion"/>
  </si>
  <si>
    <t>ㅋㅋㅋ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</si>
  <si>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</si>
  <si>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</si>
  <si>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</si>
  <si>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</si>
  <si>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</si>
  <si>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백성들에게는 그런 신의 존재가 필요하다.
그러니 네가..</t>
    <phoneticPr fontId="1" type="noConversion"/>
  </si>
  <si>
    <t>하하.. 잡았다..</t>
    <phoneticPr fontId="1" type="noConversion"/>
  </si>
  <si>
    <t>.. 막내야??</t>
    <phoneticPr fontId="1" type="noConversion"/>
  </si>
  <si>
    <t>이..이런!!</t>
    <phoneticPr fontId="1" type="noConversion"/>
  </si>
  <si>
    <t>아으.. 바쁘다 바빠!!</t>
    <phoneticPr fontId="1" type="noConversion"/>
  </si>
  <si>
    <t>신선이 되자마자
무르게 생겼네..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</si>
  <si>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</si>
  <si>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</si>
  <si>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</si>
  <si>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</si>
  <si>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</si>
  <si>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</si>
  <si>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</si>
  <si>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</si>
  <si>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</si>
  <si>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</si>
  <si>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</si>
  <si>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</si>
  <si>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</si>
  <si>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</si>
  <si>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</si>
  <si>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</si>
  <si>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</si>
  <si>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</si>
  <si>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</si>
  <si>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</si>
  <si>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네 놈의 목을 쳐그들의
원한을 풀어주겠다.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</si>
  <si>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</si>
  <si>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</si>
  <si>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자 그럼, 다음에 또 보자고~</t>
    <phoneticPr fontId="1" type="noConversion"/>
  </si>
  <si>
    <t>일단 악귀가 소환되는
것은 막아야지..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</si>
  <si>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</si>
  <si>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</si>
  <si>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</si>
  <si>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</si>
  <si>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</si>
  <si>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</si>
  <si>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</si>
  <si>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</si>
  <si>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</si>
  <si>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</si>
  <si>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</si>
  <si>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</si>
  <si>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</si>
  <si>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</si>
  <si>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</si>
  <si>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</si>
  <si>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</si>
  <si>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</si>
  <si>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</si>
  <si>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</si>
  <si>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</si>
  <si>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</si>
  <si>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</si>
  <si>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</si>
  <si>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</si>
  <si>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</si>
  <si>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</si>
  <si>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</si>
  <si>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</si>
  <si>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</si>
  <si>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</si>
  <si>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</si>
  <si>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</si>
  <si>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</si>
  <si>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</si>
  <si>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</si>
  <si>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</si>
  <si>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</si>
  <si>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</si>
  <si>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</si>
  <si>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</si>
  <si>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</si>
  <si>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</si>
  <si>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뭐하는거요, 장군.
그자는 그저 농사꾼이지 않소.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</si>
  <si>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</si>
  <si>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</si>
  <si>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</si>
  <si>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</si>
  <si>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</si>
  <si>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</si>
  <si>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</si>
  <si>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</si>
  <si>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</si>
  <si>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(누구였지? 아무런 기척도
못 느꼈었는데..)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</si>
  <si>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</si>
  <si>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</si>
  <si>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</si>
  <si>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</si>
  <si>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</si>
  <si>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</si>
  <si>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</si>
  <si>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</si>
  <si>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</si>
  <si>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</si>
  <si>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</si>
  <si>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하하하. 역시 관 장군이오.
대단하십니다!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</si>
  <si>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</si>
  <si>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</si>
  <si>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</si>
  <si>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멈추어라! 폐하가 머무는
곳에서 살육이라니!</t>
    <phoneticPr fontId="1" type="noConversion"/>
  </si>
  <si>
    <t>흥! 역적 놈이 어디서
폐하 운운하느냐!</t>
    <phoneticPr fontId="1" type="noConversion"/>
  </si>
  <si>
    <t>역적이라고??</t>
    <phoneticPr fontId="1" type="noConversion"/>
  </si>
  <si>
    <t>동소라고 했던가? 네놈을 위왕에
봉하라는 상소를 올렸다지?</t>
    <phoneticPr fontId="1" type="noConversion"/>
  </si>
  <si>
    <t>흥, 난 한 나라의 신하일 뿐,
천하를 편안하게 하는 것 외엔 관심없다!</t>
    <phoneticPr fontId="1" type="noConversion"/>
  </si>
  <si>
    <t>으읔</t>
    <phoneticPr fontId="1" type="noConversion"/>
  </si>
  <si>
    <t>..? 관 장군?</t>
    <phoneticPr fontId="1" type="noConversion"/>
  </si>
  <si>
    <t>이번에는 번개가 안치는군요, 승상.</t>
    <phoneticPr fontId="1" type="noConversion"/>
  </si>
  <si>
    <t>3년동안 제삿밥만 먹더니
살이 많이 빠졌구나, 막내야.</t>
    <phoneticPr fontId="1" type="noConversion"/>
  </si>
  <si>
    <t>!? 어..어떻게 안 것이냐!!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</si>
  <si>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</si>
  <si>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</si>
  <si>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</si>
  <si>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</si>
  <si>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겨우 이정도가 장익덕의 힘이더냐?</t>
    <phoneticPr fontId="1" type="noConversion"/>
  </si>
  <si>
    <t>크윽..</t>
    <phoneticPr fontId="1" type="noConversion"/>
  </si>
  <si>
    <t>이제야 안심이구나ㅋ</t>
    <phoneticPr fontId="1" type="noConversion"/>
  </si>
  <si>
    <t>너는.. 그 악귀를 물리친
영웅이 되는 것이다.. 크읔</t>
    <phoneticPr fontId="1" type="noConversion"/>
  </si>
  <si>
    <t>내가 이 괴물같은 녀석의
심장을 뚫었다!!</t>
    <phoneticPr fontId="1" type="noConversion"/>
  </si>
  <si>
    <t>크읔.. 혀..형님..</t>
    <phoneticPr fontId="1" type="noConversion"/>
  </si>
  <si>
    <t>이제 이 세계는 끝이야..</t>
    <phoneticPr fontId="1" type="noConversion"/>
  </si>
  <si>
    <t>관우님도 느끼고 있으실 것입니다.
아수라의 기운을..</t>
    <phoneticPr fontId="1" type="noConversion"/>
  </si>
  <si>
    <t>크..큰일났다!!
아수라가.. 소환된다..</t>
    <phoneticPr fontId="1" type="noConversion"/>
  </si>
  <si>
    <t>곧 죽을 놈이 말이 많구나!!</t>
    <phoneticPr fontId="1" type="noConversion"/>
  </si>
  <si>
    <t>역시 전장의 귀신! 관 장군이오!!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</si>
  <si>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</si>
  <si>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</si>
  <si>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</si>
  <si>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</si>
  <si>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</si>
  <si>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</si>
  <si>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그럴 수만은 없다네..</t>
    <phoneticPr fontId="1" type="noConversion"/>
  </si>
  <si>
    <t>알고 있네. 혹시..
만약에 말일세..</t>
    <phoneticPr fontId="1" type="noConversion"/>
  </si>
  <si>
    <t>괴물치고는..
급소는 모두 피했군.</t>
    <phoneticPr fontId="1" type="noConversion"/>
  </si>
  <si>
    <t>으으.. 관 장군..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</si>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</sst>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2"/>
  <sheetViews>
    <sheetView topLeftCell="A82" workbookViewId="0">
      <selection activeCell="D105" sqref="D105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625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626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627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629</v>
      </c>
      <c r="C90" s="27" t="s">
        <v>449</v>
      </c>
      <c r="D90" s="27" t="str">
        <f t="shared" si="2"/>
        <v>NAME_ETC_SONGXIAN</v>
      </c>
      <c r="E90" s="27" t="s">
        <v>628</v>
      </c>
      <c r="F90" s="38"/>
    </row>
    <row r="91" spans="1:6" x14ac:dyDescent="0.3">
      <c r="A91" s="27" t="s">
        <v>451</v>
      </c>
      <c r="B91" s="27" t="s">
        <v>631</v>
      </c>
      <c r="C91" s="27" t="s">
        <v>449</v>
      </c>
      <c r="D91" s="27" t="str">
        <f t="shared" si="2"/>
        <v>NAME_ETC_WEIXU</v>
      </c>
      <c r="E91" s="27" t="s">
        <v>630</v>
      </c>
      <c r="F91" s="38"/>
    </row>
    <row r="92" spans="1:6" x14ac:dyDescent="0.3">
      <c r="A92" s="27" t="s">
        <v>451</v>
      </c>
      <c r="B92" s="27" t="s">
        <v>633</v>
      </c>
      <c r="C92" s="27" t="s">
        <v>447</v>
      </c>
      <c r="D92" s="27" t="str">
        <f t="shared" si="2"/>
        <v>NAME_WEI_XUHUANG</v>
      </c>
      <c r="E92" s="27" t="s">
        <v>632</v>
      </c>
      <c r="F92" s="38"/>
    </row>
    <row r="93" spans="1:6" x14ac:dyDescent="0.3">
      <c r="A93" s="27" t="s">
        <v>451</v>
      </c>
      <c r="B93" s="27" t="s">
        <v>713</v>
      </c>
      <c r="C93" s="27" t="s">
        <v>449</v>
      </c>
      <c r="D93" s="27" t="str">
        <f t="shared" si="2"/>
        <v>NAME_ETC_FANJIANG</v>
      </c>
      <c r="E93" s="38" t="s">
        <v>702</v>
      </c>
      <c r="F93" s="38"/>
    </row>
    <row r="94" spans="1:6" x14ac:dyDescent="0.3">
      <c r="A94" s="27" t="s">
        <v>451</v>
      </c>
      <c r="B94" s="27" t="s">
        <v>714</v>
      </c>
      <c r="C94" s="27" t="s">
        <v>449</v>
      </c>
      <c r="D94" s="27" t="str">
        <f t="shared" si="2"/>
        <v>NAME_ETC_ZHANGDA</v>
      </c>
      <c r="E94" s="38" t="s">
        <v>703</v>
      </c>
      <c r="F94" s="38"/>
    </row>
    <row r="95" spans="1:6" x14ac:dyDescent="0.3">
      <c r="A95" s="27" t="s">
        <v>479</v>
      </c>
      <c r="B95" s="27" t="s">
        <v>625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634</v>
      </c>
      <c r="F95" s="38"/>
    </row>
    <row r="96" spans="1:6" x14ac:dyDescent="0.3">
      <c r="A96" s="27" t="s">
        <v>479</v>
      </c>
      <c r="B96" s="27" t="s">
        <v>626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627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633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625</v>
      </c>
      <c r="C99" s="27" t="s">
        <v>449</v>
      </c>
      <c r="D99" s="27" t="str">
        <f t="shared" si="2"/>
        <v>DESC_TALK_ETC_YUANSHAO</v>
      </c>
      <c r="E99" s="38" t="s">
        <v>635</v>
      </c>
      <c r="F99" s="38"/>
    </row>
    <row r="100" spans="1:6" ht="33" x14ac:dyDescent="0.3">
      <c r="A100" s="27" t="s">
        <v>464</v>
      </c>
      <c r="B100" s="27" t="s">
        <v>626</v>
      </c>
      <c r="C100" s="27" t="s">
        <v>449</v>
      </c>
      <c r="D100" s="27" t="str">
        <f t="shared" si="2"/>
        <v>DESC_TALK_ETC_YANLIANG</v>
      </c>
      <c r="E100" s="38" t="s">
        <v>636</v>
      </c>
      <c r="F100" s="38"/>
    </row>
    <row r="101" spans="1:6" ht="33" x14ac:dyDescent="0.3">
      <c r="A101" s="27" t="s">
        <v>464</v>
      </c>
      <c r="B101" s="27" t="s">
        <v>627</v>
      </c>
      <c r="C101" s="27" t="s">
        <v>449</v>
      </c>
      <c r="D101" s="27" t="str">
        <f t="shared" si="2"/>
        <v>DESC_TALK_ETC_WENCHOU</v>
      </c>
      <c r="E101" s="38" t="s">
        <v>637</v>
      </c>
      <c r="F101" s="38"/>
    </row>
    <row r="102" spans="1:6" ht="33" x14ac:dyDescent="0.3">
      <c r="A102" s="27" t="s">
        <v>464</v>
      </c>
      <c r="B102" s="27" t="s">
        <v>633</v>
      </c>
      <c r="C102" s="27" t="s">
        <v>447</v>
      </c>
      <c r="D102" s="27" t="str">
        <f t="shared" si="2"/>
        <v>DESC_TALK_WEI_XUHUANG</v>
      </c>
      <c r="E102" s="38" t="s">
        <v>638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81"/>
  <sheetViews>
    <sheetView tabSelected="1" topLeftCell="A217" workbookViewId="0">
      <selection activeCell="A224" sqref="A224:E235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623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624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667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739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658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640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655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668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641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642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644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735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785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786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645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643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647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749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737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654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646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657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648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639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ht="33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649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650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602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603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604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716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605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606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607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738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608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609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610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611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612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653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652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651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613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614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615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616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617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618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619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620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621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720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622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721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717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656</v>
      </c>
    </row>
    <row r="121" spans="1:10" x14ac:dyDescent="0.3">
      <c r="A121" t="s">
        <v>671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718</v>
      </c>
    </row>
    <row r="122" spans="1:10" ht="33" x14ac:dyDescent="0.3">
      <c r="A122" t="s">
        <v>671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733</v>
      </c>
    </row>
    <row r="123" spans="1:10" ht="33" x14ac:dyDescent="0.3">
      <c r="A123" t="s">
        <v>671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715</v>
      </c>
    </row>
    <row r="124" spans="1:10" x14ac:dyDescent="0.3">
      <c r="A124" t="s">
        <v>671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730</v>
      </c>
    </row>
    <row r="125" spans="1:10" ht="33" x14ac:dyDescent="0.3">
      <c r="A125" t="s">
        <v>671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731</v>
      </c>
      <c r="J125" s="3"/>
    </row>
    <row r="126" spans="1:10" x14ac:dyDescent="0.3">
      <c r="A126" t="s">
        <v>671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787</v>
      </c>
    </row>
    <row r="127" spans="1:10" x14ac:dyDescent="0.3">
      <c r="A127" t="s">
        <v>671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659</v>
      </c>
    </row>
    <row r="128" spans="1:10" x14ac:dyDescent="0.3">
      <c r="A128" t="s">
        <v>671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660</v>
      </c>
    </row>
    <row r="129" spans="1:7" ht="33" x14ac:dyDescent="0.3">
      <c r="A129" t="s">
        <v>671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736</v>
      </c>
    </row>
    <row r="130" spans="1:7" x14ac:dyDescent="0.3">
      <c r="A130" t="s">
        <v>671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725</v>
      </c>
    </row>
    <row r="131" spans="1:7" x14ac:dyDescent="0.3">
      <c r="A131" t="s">
        <v>671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661</v>
      </c>
    </row>
    <row r="132" spans="1:7" ht="33" x14ac:dyDescent="0.3">
      <c r="A132" t="s">
        <v>671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740</v>
      </c>
    </row>
    <row r="133" spans="1:7" ht="33" x14ac:dyDescent="0.3">
      <c r="A133" t="s">
        <v>671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745</v>
      </c>
    </row>
    <row r="134" spans="1:7" ht="33" x14ac:dyDescent="0.3">
      <c r="A134" t="s">
        <v>671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741</v>
      </c>
    </row>
    <row r="135" spans="1:7" x14ac:dyDescent="0.3">
      <c r="A135" t="s">
        <v>671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663</v>
      </c>
    </row>
    <row r="136" spans="1:7" x14ac:dyDescent="0.3">
      <c r="A136" t="s">
        <v>671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662</v>
      </c>
      <c r="G136" s="3" t="s">
        <v>788</v>
      </c>
    </row>
    <row r="137" spans="1:7" ht="33" x14ac:dyDescent="0.3">
      <c r="A137" t="s">
        <v>671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662</v>
      </c>
      <c r="G137" s="3" t="s">
        <v>719</v>
      </c>
    </row>
    <row r="138" spans="1:7" x14ac:dyDescent="0.3">
      <c r="A138" t="s">
        <v>671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726</v>
      </c>
    </row>
    <row r="139" spans="1:7" ht="49.5" x14ac:dyDescent="0.3">
      <c r="A139" t="s">
        <v>671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662</v>
      </c>
      <c r="G139" s="3" t="s">
        <v>742</v>
      </c>
    </row>
    <row r="140" spans="1:7" x14ac:dyDescent="0.3">
      <c r="A140" t="s">
        <v>671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662</v>
      </c>
      <c r="G140" s="3" t="s">
        <v>664</v>
      </c>
    </row>
    <row r="141" spans="1:7" x14ac:dyDescent="0.3">
      <c r="A141" t="s">
        <v>671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684</v>
      </c>
    </row>
    <row r="142" spans="1:7" x14ac:dyDescent="0.3">
      <c r="A142" t="s">
        <v>671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662</v>
      </c>
      <c r="G142" s="3" t="s">
        <v>727</v>
      </c>
    </row>
    <row r="143" spans="1:7" ht="33" x14ac:dyDescent="0.3">
      <c r="A143" t="s">
        <v>671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666</v>
      </c>
    </row>
    <row r="144" spans="1:7" x14ac:dyDescent="0.3">
      <c r="A144" t="s">
        <v>671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671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665</v>
      </c>
    </row>
    <row r="146" spans="1:7" ht="33" x14ac:dyDescent="0.3">
      <c r="A146" t="s">
        <v>671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743</v>
      </c>
    </row>
    <row r="147" spans="1:7" x14ac:dyDescent="0.3">
      <c r="A147" t="s">
        <v>671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732</v>
      </c>
    </row>
    <row r="148" spans="1:7" ht="33" x14ac:dyDescent="0.3">
      <c r="A148" t="s">
        <v>671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669</v>
      </c>
    </row>
    <row r="149" spans="1:7" ht="33" x14ac:dyDescent="0.3">
      <c r="A149" t="s">
        <v>671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670</v>
      </c>
    </row>
    <row r="150" spans="1:7" ht="33" x14ac:dyDescent="0.3">
      <c r="A150" t="s">
        <v>671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746</v>
      </c>
    </row>
    <row r="151" spans="1:7" ht="33" x14ac:dyDescent="0.3">
      <c r="A151" t="s">
        <v>671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747</v>
      </c>
    </row>
    <row r="152" spans="1:7" x14ac:dyDescent="0.3">
      <c r="A152" t="s">
        <v>671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662</v>
      </c>
      <c r="G152" s="3" t="s">
        <v>728</v>
      </c>
    </row>
    <row r="153" spans="1:7" x14ac:dyDescent="0.3">
      <c r="A153" t="s">
        <v>671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744</v>
      </c>
    </row>
    <row r="154" spans="1:7" x14ac:dyDescent="0.3">
      <c r="A154" t="s">
        <v>671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671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734</v>
      </c>
    </row>
    <row r="156" spans="1:7" x14ac:dyDescent="0.3">
      <c r="A156" t="s">
        <v>671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672</v>
      </c>
    </row>
    <row r="157" spans="1:7" ht="33" x14ac:dyDescent="0.3">
      <c r="A157" t="s">
        <v>671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729</v>
      </c>
    </row>
    <row r="158" spans="1:7" x14ac:dyDescent="0.3">
      <c r="A158" t="s">
        <v>671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673</v>
      </c>
    </row>
    <row r="159" spans="1:7" x14ac:dyDescent="0.3">
      <c r="A159" t="s">
        <v>671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674</v>
      </c>
    </row>
    <row r="161" spans="1:7" x14ac:dyDescent="0.3">
      <c r="A161" t="s">
        <v>681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789</v>
      </c>
    </row>
    <row r="162" spans="1:7" ht="33" x14ac:dyDescent="0.3">
      <c r="A162" t="s">
        <v>681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675</v>
      </c>
    </row>
    <row r="163" spans="1:7" ht="33" x14ac:dyDescent="0.3">
      <c r="A163" t="s">
        <v>681</v>
      </c>
      <c r="B163">
        <f t="shared" si="16"/>
        <v>2</v>
      </c>
      <c r="C163" t="str">
        <f t="shared" ref="C163:C169" si="17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676</v>
      </c>
    </row>
    <row r="164" spans="1:7" ht="33" x14ac:dyDescent="0.3">
      <c r="A164" t="s">
        <v>681</v>
      </c>
      <c r="B164">
        <f t="shared" si="16"/>
        <v>3</v>
      </c>
      <c r="C164" t="str">
        <f t="shared" si="17"/>
        <v>NODE_28_3</v>
      </c>
      <c r="E164" t="str">
        <f>VLOOKUP(F164,[1]HeroData!$A$3:$B$118,2, FALSE)</f>
        <v>XiahouDun</v>
      </c>
      <c r="F164" t="s">
        <v>406</v>
      </c>
      <c r="G164" s="3" t="s">
        <v>790</v>
      </c>
    </row>
    <row r="165" spans="1:7" x14ac:dyDescent="0.3">
      <c r="A165" t="s">
        <v>681</v>
      </c>
      <c r="B165">
        <f t="shared" si="16"/>
        <v>4</v>
      </c>
      <c r="C165" t="str">
        <f t="shared" si="17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">
        <v>681</v>
      </c>
      <c r="B166">
        <f t="shared" si="16"/>
        <v>5</v>
      </c>
      <c r="C166" t="str">
        <f t="shared" si="17"/>
        <v>NODE_28_5</v>
      </c>
      <c r="E166" t="str">
        <f>VLOOKUP(F166,[1]HeroData!$A$3:$B$118,2, FALSE)</f>
        <v>XiahouDun</v>
      </c>
      <c r="F166" t="s">
        <v>406</v>
      </c>
      <c r="G166" s="3" t="s">
        <v>677</v>
      </c>
    </row>
    <row r="167" spans="1:7" x14ac:dyDescent="0.3">
      <c r="A167" t="s">
        <v>681</v>
      </c>
      <c r="B167">
        <f t="shared" si="16"/>
        <v>6</v>
      </c>
      <c r="C167" t="str">
        <f t="shared" si="17"/>
        <v>NODE_28_6</v>
      </c>
      <c r="E167" t="str">
        <f>VLOOKUP(F167,[1]HeroData!$A$3:$B$118,2, FALSE)</f>
        <v>XiahouDun</v>
      </c>
      <c r="F167" t="s">
        <v>406</v>
      </c>
      <c r="G167" s="3" t="s">
        <v>750</v>
      </c>
    </row>
    <row r="168" spans="1:7" ht="33" x14ac:dyDescent="0.3">
      <c r="A168" t="s">
        <v>681</v>
      </c>
      <c r="B168">
        <f t="shared" si="16"/>
        <v>7</v>
      </c>
      <c r="C168" t="str">
        <f t="shared" si="17"/>
        <v>NODE_28_7</v>
      </c>
      <c r="E168" t="str">
        <f>VLOOKUP(F168,[1]HeroData!$A$3:$B$118,2, FALSE)</f>
        <v>XiahouYuan</v>
      </c>
      <c r="F168" t="s">
        <v>407</v>
      </c>
      <c r="G168" s="3" t="s">
        <v>748</v>
      </c>
    </row>
    <row r="169" spans="1:7" ht="33" x14ac:dyDescent="0.3">
      <c r="A169" t="s">
        <v>681</v>
      </c>
      <c r="B169">
        <f t="shared" si="16"/>
        <v>8</v>
      </c>
      <c r="C169" t="str">
        <f t="shared" si="17"/>
        <v>NODE_28_8</v>
      </c>
      <c r="E169" t="str">
        <f>VLOOKUP(F169,[1]HeroData!$A$3:$B$118,2, FALSE)</f>
        <v>GuanYu</v>
      </c>
      <c r="F169" t="s">
        <v>7</v>
      </c>
      <c r="G169" s="3" t="s">
        <v>682</v>
      </c>
    </row>
    <row r="170" spans="1:7" x14ac:dyDescent="0.3">
      <c r="A170" t="s">
        <v>681</v>
      </c>
      <c r="B170">
        <f t="shared" si="16"/>
        <v>9</v>
      </c>
      <c r="C170" t="str">
        <f t="shared" ref="C170:C193" si="18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728</v>
      </c>
    </row>
    <row r="171" spans="1:7" x14ac:dyDescent="0.3">
      <c r="A171" t="s">
        <v>681</v>
      </c>
      <c r="B171">
        <f t="shared" si="16"/>
        <v>10</v>
      </c>
      <c r="C171" t="str">
        <f t="shared" si="18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">
        <v>681</v>
      </c>
      <c r="B172">
        <f t="shared" si="16"/>
        <v>11</v>
      </c>
      <c r="C172" t="str">
        <f t="shared" si="18"/>
        <v>NODE_28_11</v>
      </c>
    </row>
    <row r="173" spans="1:7" x14ac:dyDescent="0.3">
      <c r="A173" t="s">
        <v>681</v>
      </c>
      <c r="B173">
        <f t="shared" si="16"/>
        <v>12</v>
      </c>
      <c r="C173" t="str">
        <f t="shared" si="18"/>
        <v>NODE_28_12</v>
      </c>
      <c r="E173" t="s">
        <v>751</v>
      </c>
      <c r="F173" t="s">
        <v>751</v>
      </c>
      <c r="G173" s="3" t="s">
        <v>759</v>
      </c>
    </row>
    <row r="174" spans="1:7" x14ac:dyDescent="0.3">
      <c r="A174" t="s">
        <v>681</v>
      </c>
      <c r="B174">
        <f t="shared" si="16"/>
        <v>13</v>
      </c>
      <c r="C174" t="str">
        <f t="shared" si="18"/>
        <v>NODE_28_13</v>
      </c>
      <c r="E174" t="s">
        <v>751</v>
      </c>
      <c r="F174" t="s">
        <v>751</v>
      </c>
      <c r="G174" s="3" t="s">
        <v>760</v>
      </c>
    </row>
    <row r="175" spans="1:7" x14ac:dyDescent="0.3">
      <c r="A175" t="s">
        <v>681</v>
      </c>
      <c r="B175">
        <f t="shared" si="16"/>
        <v>14</v>
      </c>
      <c r="C175" t="str">
        <f t="shared" si="18"/>
        <v>NODE_28_14</v>
      </c>
      <c r="E175" t="s">
        <v>751</v>
      </c>
      <c r="F175" t="s">
        <v>751</v>
      </c>
      <c r="G175" s="3" t="s">
        <v>762</v>
      </c>
    </row>
    <row r="176" spans="1:7" x14ac:dyDescent="0.3">
      <c r="A176" t="s">
        <v>681</v>
      </c>
      <c r="B176">
        <f t="shared" si="16"/>
        <v>15</v>
      </c>
      <c r="C176" t="str">
        <f t="shared" si="18"/>
        <v>NODE_28_15</v>
      </c>
      <c r="E176" t="str">
        <f>VLOOKUP(F176,[1]HeroData!$A$3:$B$118,2, FALSE)</f>
        <v>GuanYu</v>
      </c>
      <c r="F176" t="s">
        <v>7</v>
      </c>
      <c r="G176" s="3" t="s">
        <v>761</v>
      </c>
    </row>
    <row r="177" spans="1:7" ht="33" x14ac:dyDescent="0.3">
      <c r="A177" t="s">
        <v>681</v>
      </c>
      <c r="B177">
        <f t="shared" si="16"/>
        <v>16</v>
      </c>
      <c r="C177" t="str">
        <f t="shared" si="18"/>
        <v>NODE_28_16</v>
      </c>
      <c r="E177" t="str">
        <f>VLOOKUP(F177,[1]HeroData!$A$3:$B$118,2, FALSE)</f>
        <v>ZhangLiao</v>
      </c>
      <c r="F177" t="s">
        <v>591</v>
      </c>
      <c r="G177" s="3" t="s">
        <v>755</v>
      </c>
    </row>
    <row r="178" spans="1:7" x14ac:dyDescent="0.3">
      <c r="A178" t="s">
        <v>681</v>
      </c>
      <c r="B178">
        <f t="shared" si="16"/>
        <v>17</v>
      </c>
      <c r="C178" t="str">
        <f t="shared" si="18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">
        <v>681</v>
      </c>
      <c r="B179">
        <f t="shared" si="16"/>
        <v>18</v>
      </c>
      <c r="C179" t="str">
        <f t="shared" si="18"/>
        <v>NODE_28_18</v>
      </c>
      <c r="E179" t="str">
        <f>VLOOKUP(F179,[1]HeroData!$A$3:$B$118,2, FALSE)</f>
        <v>ZhangLiao</v>
      </c>
      <c r="F179" t="s">
        <v>591</v>
      </c>
      <c r="G179" s="3" t="s">
        <v>756</v>
      </c>
    </row>
    <row r="180" spans="1:7" x14ac:dyDescent="0.3">
      <c r="A180" t="s">
        <v>681</v>
      </c>
      <c r="B180">
        <f t="shared" si="16"/>
        <v>19</v>
      </c>
      <c r="C180" t="str">
        <f t="shared" si="18"/>
        <v>NODE_28_19</v>
      </c>
      <c r="E180" t="s">
        <v>415</v>
      </c>
      <c r="F180" t="s">
        <v>415</v>
      </c>
      <c r="G180" s="3" t="s">
        <v>757</v>
      </c>
    </row>
    <row r="181" spans="1:7" ht="33" x14ac:dyDescent="0.3">
      <c r="A181" t="s">
        <v>681</v>
      </c>
      <c r="B181">
        <f t="shared" si="16"/>
        <v>20</v>
      </c>
      <c r="C181" t="str">
        <f t="shared" si="18"/>
        <v>NODE_28_20</v>
      </c>
      <c r="E181" t="str">
        <f>VLOOKUP(F181,[1]HeroData!$A$3:$B$118,2, FALSE)</f>
        <v>XiahouDun</v>
      </c>
      <c r="F181" t="s">
        <v>406</v>
      </c>
      <c r="G181" s="3" t="s">
        <v>768</v>
      </c>
    </row>
    <row r="182" spans="1:7" ht="33" x14ac:dyDescent="0.3">
      <c r="A182" t="s">
        <v>681</v>
      </c>
      <c r="B182">
        <f t="shared" si="16"/>
        <v>21</v>
      </c>
      <c r="C182" t="str">
        <f t="shared" si="18"/>
        <v>NODE_28_21</v>
      </c>
      <c r="E182" t="str">
        <f>VLOOKUP(F182,[1]HeroData!$A$3:$B$118,2, FALSE)</f>
        <v>GuanYu</v>
      </c>
      <c r="F182" t="s">
        <v>7</v>
      </c>
      <c r="G182" s="3" t="s">
        <v>752</v>
      </c>
    </row>
    <row r="183" spans="1:7" x14ac:dyDescent="0.3">
      <c r="A183" t="s">
        <v>681</v>
      </c>
      <c r="B183">
        <f t="shared" si="16"/>
        <v>22</v>
      </c>
      <c r="C183" t="str">
        <f t="shared" si="18"/>
        <v>NODE_28_22</v>
      </c>
      <c r="E183" t="str">
        <f>VLOOKUP(F183,[1]HeroData!$A$3:$B$118,2, FALSE)</f>
        <v>XiahouDun</v>
      </c>
      <c r="F183" t="s">
        <v>406</v>
      </c>
      <c r="G183" s="3" t="s">
        <v>769</v>
      </c>
    </row>
    <row r="184" spans="1:7" x14ac:dyDescent="0.3">
      <c r="A184" t="s">
        <v>681</v>
      </c>
      <c r="B184">
        <f t="shared" si="16"/>
        <v>23</v>
      </c>
      <c r="C184" t="str">
        <f t="shared" si="18"/>
        <v>NODE_28_23</v>
      </c>
      <c r="E184" t="str">
        <f>VLOOKUP(F184,[1]HeroData!$A$3:$B$118,2, FALSE)</f>
        <v>ZhangLiao</v>
      </c>
      <c r="F184" t="s">
        <v>591</v>
      </c>
      <c r="G184" s="3" t="s">
        <v>753</v>
      </c>
    </row>
    <row r="185" spans="1:7" x14ac:dyDescent="0.3">
      <c r="A185" t="s">
        <v>681</v>
      </c>
      <c r="B185">
        <f t="shared" si="16"/>
        <v>24</v>
      </c>
      <c r="C185" t="str">
        <f t="shared" si="18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">
        <v>681</v>
      </c>
      <c r="B186">
        <f t="shared" si="16"/>
        <v>25</v>
      </c>
      <c r="C186" t="str">
        <f t="shared" si="18"/>
        <v>NODE_28_25</v>
      </c>
      <c r="E186" t="s">
        <v>679</v>
      </c>
      <c r="F186" t="s">
        <v>679</v>
      </c>
      <c r="G186" s="3" t="s">
        <v>765</v>
      </c>
    </row>
    <row r="187" spans="1:7" x14ac:dyDescent="0.3">
      <c r="A187" t="s">
        <v>681</v>
      </c>
      <c r="B187">
        <f t="shared" si="16"/>
        <v>26</v>
      </c>
      <c r="C187" t="str">
        <f t="shared" si="18"/>
        <v>NODE_28_26</v>
      </c>
      <c r="E187" t="s">
        <v>679</v>
      </c>
      <c r="F187" t="s">
        <v>679</v>
      </c>
      <c r="G187" s="3" t="s">
        <v>754</v>
      </c>
    </row>
    <row r="188" spans="1:7" x14ac:dyDescent="0.3">
      <c r="A188" t="s">
        <v>681</v>
      </c>
      <c r="B188">
        <f t="shared" si="16"/>
        <v>27</v>
      </c>
      <c r="C188" t="str">
        <f t="shared" si="18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">
        <v>681</v>
      </c>
      <c r="B189">
        <f t="shared" si="16"/>
        <v>28</v>
      </c>
      <c r="C189" t="str">
        <f t="shared" si="18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">
        <v>681</v>
      </c>
      <c r="B190">
        <f t="shared" si="16"/>
        <v>29</v>
      </c>
      <c r="C190" t="str">
        <f t="shared" si="18"/>
        <v>NODE_28_29</v>
      </c>
      <c r="E190" t="str">
        <f>VLOOKUP(F190,[1]HeroData!$A$3:$B$118,2, FALSE)</f>
        <v>ZhangLiao</v>
      </c>
      <c r="F190" t="s">
        <v>591</v>
      </c>
      <c r="G190" s="3" t="s">
        <v>680</v>
      </c>
    </row>
    <row r="191" spans="1:7" ht="33" x14ac:dyDescent="0.3">
      <c r="A191" t="s">
        <v>681</v>
      </c>
      <c r="B191">
        <f t="shared" si="16"/>
        <v>30</v>
      </c>
      <c r="C191" t="str">
        <f t="shared" si="18"/>
        <v>NODE_28_30</v>
      </c>
      <c r="E191" t="s">
        <v>679</v>
      </c>
      <c r="F191" t="s">
        <v>679</v>
      </c>
      <c r="G191" s="3" t="s">
        <v>770</v>
      </c>
    </row>
    <row r="192" spans="1:7" ht="33" x14ac:dyDescent="0.3">
      <c r="A192" t="s">
        <v>681</v>
      </c>
      <c r="B192">
        <f t="shared" si="16"/>
        <v>31</v>
      </c>
      <c r="C192" t="str">
        <f t="shared" si="18"/>
        <v>NODE_28_31</v>
      </c>
      <c r="E192" t="str">
        <f>VLOOKUP(F192,[1]HeroData!$A$3:$B$118,2, FALSE)</f>
        <v>GuanYu</v>
      </c>
      <c r="F192" t="s">
        <v>7</v>
      </c>
      <c r="G192" s="3" t="s">
        <v>763</v>
      </c>
    </row>
    <row r="193" spans="1:7" ht="33" x14ac:dyDescent="0.3">
      <c r="A193" t="s">
        <v>681</v>
      </c>
      <c r="B193">
        <f t="shared" si="16"/>
        <v>32</v>
      </c>
      <c r="C193" t="str">
        <f t="shared" si="18"/>
        <v>NODE_28_32</v>
      </c>
      <c r="E193" t="str">
        <f>VLOOKUP(F193,[1]HeroData!$A$3:$B$118,2, FALSE)</f>
        <v>GuanYu</v>
      </c>
      <c r="F193" t="s">
        <v>7</v>
      </c>
      <c r="G193" s="3" t="s">
        <v>766</v>
      </c>
    </row>
    <row r="194" spans="1:7" x14ac:dyDescent="0.3">
      <c r="A194" t="s">
        <v>681</v>
      </c>
      <c r="B194">
        <f t="shared" si="16"/>
        <v>33</v>
      </c>
      <c r="C194" t="str">
        <f t="shared" ref="C194:C196" si="19">CONCATENATE(A194, "_", B194, IF(D194&lt;&gt;"", "_"&amp;D194, ""))</f>
        <v>NODE_28_33</v>
      </c>
      <c r="E194" t="s">
        <v>679</v>
      </c>
      <c r="F194" t="s">
        <v>679</v>
      </c>
      <c r="G194" s="3" t="s">
        <v>597</v>
      </c>
    </row>
    <row r="195" spans="1:7" ht="33" x14ac:dyDescent="0.3">
      <c r="A195" t="s">
        <v>681</v>
      </c>
      <c r="B195">
        <f t="shared" si="16"/>
        <v>34</v>
      </c>
      <c r="C195" t="str">
        <f t="shared" si="19"/>
        <v>NODE_28_34</v>
      </c>
      <c r="E195" t="s">
        <v>679</v>
      </c>
      <c r="F195" t="s">
        <v>679</v>
      </c>
      <c r="G195" s="3" t="s">
        <v>771</v>
      </c>
    </row>
    <row r="196" spans="1:7" ht="33" x14ac:dyDescent="0.3">
      <c r="A196" t="s">
        <v>681</v>
      </c>
      <c r="B196">
        <f t="shared" si="16"/>
        <v>35</v>
      </c>
      <c r="C196" t="str">
        <f t="shared" si="19"/>
        <v>NODE_28_35</v>
      </c>
      <c r="E196" t="s">
        <v>679</v>
      </c>
      <c r="F196" t="s">
        <v>679</v>
      </c>
      <c r="G196" s="3" t="s">
        <v>764</v>
      </c>
    </row>
    <row r="197" spans="1:7" x14ac:dyDescent="0.3">
      <c r="A197" t="s">
        <v>681</v>
      </c>
      <c r="B197">
        <f t="shared" si="16"/>
        <v>36</v>
      </c>
      <c r="C197" t="str">
        <f t="shared" ref="C197:C199" si="20">CONCATENATE(A197, "_", B197, IF(D197&lt;&gt;"", "_"&amp;D197, ""))</f>
        <v>NODE_28_36</v>
      </c>
      <c r="E197" t="s">
        <v>679</v>
      </c>
      <c r="F197" t="s">
        <v>679</v>
      </c>
      <c r="G197" s="3" t="s">
        <v>805</v>
      </c>
    </row>
    <row r="198" spans="1:7" x14ac:dyDescent="0.3">
      <c r="A198" t="s">
        <v>681</v>
      </c>
      <c r="B198">
        <f t="shared" si="16"/>
        <v>37</v>
      </c>
      <c r="C198" t="str">
        <f t="shared" si="20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">
        <v>681</v>
      </c>
      <c r="B199">
        <f t="shared" si="16"/>
        <v>38</v>
      </c>
      <c r="C199" t="str">
        <f t="shared" si="20"/>
        <v>NODE_28_38</v>
      </c>
      <c r="E199" t="str">
        <f>VLOOKUP(F199,[1]HeroData!$A$3:$B$118,2, FALSE)</f>
        <v>XiahouDun</v>
      </c>
      <c r="F199" t="s">
        <v>406</v>
      </c>
      <c r="G199" s="3" t="s">
        <v>767</v>
      </c>
    </row>
    <row r="201" spans="1:7" ht="33" x14ac:dyDescent="0.3">
      <c r="A201" t="s">
        <v>683</v>
      </c>
      <c r="B201">
        <v>0</v>
      </c>
      <c r="C201" t="str">
        <f t="shared" ref="C201:C202" si="21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772</v>
      </c>
    </row>
    <row r="202" spans="1:7" x14ac:dyDescent="0.3">
      <c r="A202" t="s">
        <v>683</v>
      </c>
      <c r="B202">
        <f>B201+1</f>
        <v>1</v>
      </c>
      <c r="C202" t="str">
        <f t="shared" si="21"/>
        <v>NODE_29_1</v>
      </c>
      <c r="E202" t="str">
        <f>VLOOKUP(F202,[1]HeroData!$A$3:$B$118,2, FALSE)</f>
        <v>XiahouDun</v>
      </c>
      <c r="F202" t="s">
        <v>406</v>
      </c>
      <c r="G202" s="3" t="s">
        <v>818</v>
      </c>
    </row>
    <row r="203" spans="1:7" x14ac:dyDescent="0.3">
      <c r="A203" t="s">
        <v>683</v>
      </c>
      <c r="B203">
        <f t="shared" ref="B203:B235" si="22">B202+1</f>
        <v>2</v>
      </c>
      <c r="C203" t="str">
        <f t="shared" ref="C203" si="23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">
        <v>683</v>
      </c>
      <c r="B204">
        <f t="shared" si="22"/>
        <v>3</v>
      </c>
      <c r="C204" t="str">
        <f t="shared" ref="C204:C208" si="24">CONCATENATE(A204, "_", B204, IF(D204&lt;&gt;"", "_"&amp;D204, ""))</f>
        <v>NODE_29_3</v>
      </c>
      <c r="E204" t="str">
        <f>VLOOKUP(F204,[1]HeroData!$A$3:$B$118,2, FALSE)</f>
        <v>XiahouDun</v>
      </c>
      <c r="F204" t="s">
        <v>406</v>
      </c>
      <c r="G204" s="3" t="s">
        <v>819</v>
      </c>
    </row>
    <row r="205" spans="1:7" ht="33" x14ac:dyDescent="0.3">
      <c r="A205" t="s">
        <v>683</v>
      </c>
      <c r="B205">
        <f t="shared" si="22"/>
        <v>4</v>
      </c>
      <c r="C205" t="str">
        <f t="shared" si="24"/>
        <v>NODE_29_4</v>
      </c>
      <c r="E205" t="str">
        <f>VLOOKUP(F205,[1]HeroData!$A$3:$B$118,2, FALSE)</f>
        <v>GuanYu</v>
      </c>
      <c r="F205" t="s">
        <v>7</v>
      </c>
      <c r="G205" s="3" t="s">
        <v>820</v>
      </c>
    </row>
    <row r="206" spans="1:7" ht="33" x14ac:dyDescent="0.3">
      <c r="A206" t="s">
        <v>683</v>
      </c>
      <c r="B206">
        <f t="shared" si="22"/>
        <v>5</v>
      </c>
      <c r="C206" t="str">
        <f t="shared" si="24"/>
        <v>NODE_29_5</v>
      </c>
      <c r="E206" t="str">
        <f>VLOOKUP(F206,[1]HeroData!$A$3:$B$118,2, FALSE)</f>
        <v>XiahouDun</v>
      </c>
      <c r="F206" t="s">
        <v>406</v>
      </c>
      <c r="G206" s="3" t="s">
        <v>791</v>
      </c>
    </row>
    <row r="207" spans="1:7" x14ac:dyDescent="0.3">
      <c r="A207" t="s">
        <v>683</v>
      </c>
      <c r="B207">
        <f t="shared" si="22"/>
        <v>6</v>
      </c>
      <c r="C207" t="str">
        <f t="shared" si="24"/>
        <v>NODE_29_6</v>
      </c>
      <c r="E207" t="str">
        <f>VLOOKUP(F207,[1]HeroData!$A$3:$B$118,2, FALSE)</f>
        <v>XiahouYuan</v>
      </c>
      <c r="F207" t="s">
        <v>407</v>
      </c>
      <c r="G207" s="3" t="s">
        <v>773</v>
      </c>
    </row>
    <row r="208" spans="1:7" x14ac:dyDescent="0.3">
      <c r="A208" t="s">
        <v>683</v>
      </c>
      <c r="B208">
        <f t="shared" si="22"/>
        <v>7</v>
      </c>
      <c r="C208" t="str">
        <f t="shared" si="24"/>
        <v>NODE_29_7</v>
      </c>
      <c r="E208" t="str">
        <f>VLOOKUP(F208,[1]HeroData!$A$3:$B$118,2, FALSE)</f>
        <v>ZhangLiao</v>
      </c>
      <c r="F208" t="s">
        <v>591</v>
      </c>
      <c r="G208" s="3" t="s">
        <v>610</v>
      </c>
    </row>
    <row r="209" spans="1:7" x14ac:dyDescent="0.3">
      <c r="A209" t="s">
        <v>683</v>
      </c>
      <c r="B209">
        <f t="shared" si="22"/>
        <v>8</v>
      </c>
      <c r="C209" t="str">
        <f t="shared" ref="C209:C232" si="25">CONCATENATE(A209, "_", B209, IF(D209&lt;&gt;"", "_"&amp;D209, ""))</f>
        <v>NODE_29_8</v>
      </c>
      <c r="E209" t="str">
        <f>VLOOKUP(F209,[1]HeroData!$A$3:$B$118,2, FALSE)</f>
        <v>ZhaoYun</v>
      </c>
      <c r="F209" t="s">
        <v>11</v>
      </c>
      <c r="G209" s="3" t="s">
        <v>821</v>
      </c>
    </row>
    <row r="210" spans="1:7" x14ac:dyDescent="0.3">
      <c r="A210" t="s">
        <v>683</v>
      </c>
      <c r="B210">
        <f t="shared" si="22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822</v>
      </c>
    </row>
    <row r="211" spans="1:7" ht="33" x14ac:dyDescent="0.3">
      <c r="A211" t="s">
        <v>683</v>
      </c>
      <c r="B211">
        <f t="shared" si="22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685</v>
      </c>
    </row>
    <row r="212" spans="1:7" x14ac:dyDescent="0.3">
      <c r="A212" t="s">
        <v>683</v>
      </c>
      <c r="B212">
        <f t="shared" si="22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825</v>
      </c>
    </row>
    <row r="213" spans="1:7" ht="33" x14ac:dyDescent="0.3">
      <c r="A213" t="s">
        <v>683</v>
      </c>
      <c r="B213">
        <f t="shared" si="22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815</v>
      </c>
    </row>
    <row r="214" spans="1:7" ht="33" x14ac:dyDescent="0.3">
      <c r="A214" t="s">
        <v>683</v>
      </c>
      <c r="B214">
        <f t="shared" si="22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774</v>
      </c>
    </row>
    <row r="215" spans="1:7" ht="33" x14ac:dyDescent="0.3">
      <c r="A215" t="s">
        <v>683</v>
      </c>
      <c r="B215">
        <f t="shared" si="22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775</v>
      </c>
    </row>
    <row r="216" spans="1:7" x14ac:dyDescent="0.3">
      <c r="A216" t="s">
        <v>683</v>
      </c>
      <c r="B216">
        <f t="shared" si="22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776</v>
      </c>
    </row>
    <row r="217" spans="1:7" x14ac:dyDescent="0.3">
      <c r="A217" t="s">
        <v>683</v>
      </c>
      <c r="B217">
        <f t="shared" si="22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823</v>
      </c>
    </row>
    <row r="218" spans="1:7" x14ac:dyDescent="0.3">
      <c r="A218" t="s">
        <v>683</v>
      </c>
      <c r="B218">
        <f t="shared" si="22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792</v>
      </c>
    </row>
    <row r="219" spans="1:7" x14ac:dyDescent="0.3">
      <c r="A219" t="s">
        <v>683</v>
      </c>
      <c r="B219">
        <f t="shared" si="22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824</v>
      </c>
    </row>
    <row r="220" spans="1:7" x14ac:dyDescent="0.3">
      <c r="A220" t="s">
        <v>683</v>
      </c>
      <c r="B220">
        <f t="shared" si="22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">
        <v>683</v>
      </c>
      <c r="B221">
        <f t="shared" si="22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777</v>
      </c>
    </row>
    <row r="222" spans="1:7" ht="33" x14ac:dyDescent="0.3">
      <c r="A222" t="s">
        <v>683</v>
      </c>
      <c r="B222">
        <f t="shared" si="22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826</v>
      </c>
    </row>
    <row r="223" spans="1:7" x14ac:dyDescent="0.3">
      <c r="A223" t="s">
        <v>683</v>
      </c>
      <c r="B223">
        <f t="shared" si="22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678</v>
      </c>
    </row>
    <row r="224" spans="1:7" ht="33" x14ac:dyDescent="0.3">
      <c r="A224" t="s">
        <v>683</v>
      </c>
      <c r="B224">
        <f t="shared" si="22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829</v>
      </c>
    </row>
    <row r="225" spans="1:7" x14ac:dyDescent="0.3">
      <c r="A225" t="s">
        <v>683</v>
      </c>
      <c r="B225">
        <f t="shared" si="22"/>
        <v>24</v>
      </c>
      <c r="C225" t="str">
        <f t="shared" ref="C225:C235" si="26">CONCATENATE(A225, "_", B225, IF(D225&lt;&gt;"", "_"&amp;D225, ""))</f>
        <v>NODE_29_24</v>
      </c>
      <c r="E225" t="str">
        <f>VLOOKUP(F225,[1]HeroData!$A$3:$B$118,2, FALSE)</f>
        <v>GuanYu</v>
      </c>
      <c r="F225" t="s">
        <v>7</v>
      </c>
      <c r="G225" s="3" t="s">
        <v>830</v>
      </c>
    </row>
    <row r="226" spans="1:7" ht="33" x14ac:dyDescent="0.3">
      <c r="A226" t="s">
        <v>683</v>
      </c>
      <c r="B226">
        <f t="shared" si="22"/>
        <v>25</v>
      </c>
      <c r="C226" t="str">
        <f t="shared" si="26"/>
        <v>NODE_29_25</v>
      </c>
      <c r="E226" t="str">
        <f>VLOOKUP(F226,[1]HeroData!$A$3:$B$118,2, FALSE)</f>
        <v>ZhangLiao</v>
      </c>
      <c r="F226" t="s">
        <v>591</v>
      </c>
      <c r="G226" s="3" t="s">
        <v>778</v>
      </c>
    </row>
    <row r="227" spans="1:7" x14ac:dyDescent="0.3">
      <c r="A227" t="s">
        <v>683</v>
      </c>
      <c r="B227">
        <f t="shared" si="22"/>
        <v>26</v>
      </c>
      <c r="C227" t="str">
        <f t="shared" si="26"/>
        <v>NODE_29_26</v>
      </c>
      <c r="E227" t="str">
        <f>VLOOKUP(F227,[1]HeroData!$A$3:$B$118,2, FALSE)</f>
        <v>GuanYu</v>
      </c>
      <c r="F227" t="s">
        <v>7</v>
      </c>
      <c r="G227" s="3" t="s">
        <v>793</v>
      </c>
    </row>
    <row r="228" spans="1:7" ht="33" x14ac:dyDescent="0.3">
      <c r="A228" t="s">
        <v>683</v>
      </c>
      <c r="B228">
        <f t="shared" si="22"/>
        <v>27</v>
      </c>
      <c r="C228" t="str">
        <f t="shared" si="26"/>
        <v>NODE_29_27</v>
      </c>
      <c r="E228" t="str">
        <f>VLOOKUP(F228,[1]HeroData!$A$3:$B$118,2, FALSE)</f>
        <v>ZhangLiao</v>
      </c>
      <c r="F228" t="s">
        <v>591</v>
      </c>
      <c r="G228" s="3" t="s">
        <v>779</v>
      </c>
    </row>
    <row r="229" spans="1:7" x14ac:dyDescent="0.3">
      <c r="A229" t="s">
        <v>683</v>
      </c>
      <c r="B229">
        <f t="shared" si="22"/>
        <v>28</v>
      </c>
      <c r="C229" t="str">
        <f t="shared" si="26"/>
        <v>NODE_29_28</v>
      </c>
      <c r="E229" t="str">
        <f>VLOOKUP(F229,[1]HeroData!$A$3:$B$118,2, FALSE)</f>
        <v>GuanYu</v>
      </c>
      <c r="F229" t="s">
        <v>7</v>
      </c>
      <c r="G229" s="3" t="s">
        <v>780</v>
      </c>
    </row>
    <row r="230" spans="1:7" ht="33" x14ac:dyDescent="0.3">
      <c r="A230" t="s">
        <v>683</v>
      </c>
      <c r="B230">
        <f t="shared" si="22"/>
        <v>29</v>
      </c>
      <c r="C230" t="str">
        <f t="shared" si="26"/>
        <v>NODE_29_29</v>
      </c>
      <c r="E230" t="str">
        <f>VLOOKUP(F230,[1]HeroData!$A$3:$B$118,2, FALSE)</f>
        <v>ZhangLiao</v>
      </c>
      <c r="F230" t="s">
        <v>591</v>
      </c>
      <c r="G230" s="3" t="s">
        <v>781</v>
      </c>
    </row>
    <row r="231" spans="1:7" ht="33" x14ac:dyDescent="0.3">
      <c r="A231" t="s">
        <v>683</v>
      </c>
      <c r="B231">
        <f t="shared" si="22"/>
        <v>30</v>
      </c>
      <c r="C231" t="str">
        <f t="shared" si="26"/>
        <v>NODE_29_30</v>
      </c>
      <c r="E231" t="str">
        <f>VLOOKUP(F231,[1]HeroData!$A$3:$B$118,2, FALSE)</f>
        <v>ZhangLiao</v>
      </c>
      <c r="F231" t="s">
        <v>591</v>
      </c>
      <c r="G231" s="3" t="s">
        <v>782</v>
      </c>
    </row>
    <row r="232" spans="1:7" x14ac:dyDescent="0.3">
      <c r="A232" t="s">
        <v>683</v>
      </c>
      <c r="B232">
        <f t="shared" si="22"/>
        <v>31</v>
      </c>
      <c r="C232" t="str">
        <f t="shared" si="26"/>
        <v>NODE_29_31</v>
      </c>
      <c r="E232" t="str">
        <f>VLOOKUP(F232,[1]HeroData!$A$3:$B$118,2, FALSE)</f>
        <v>GuanYu</v>
      </c>
      <c r="F232" t="s">
        <v>7</v>
      </c>
      <c r="G232" s="3" t="s">
        <v>783</v>
      </c>
    </row>
    <row r="233" spans="1:7" x14ac:dyDescent="0.3">
      <c r="A233" t="s">
        <v>683</v>
      </c>
      <c r="B233">
        <f t="shared" si="22"/>
        <v>32</v>
      </c>
      <c r="C233" t="str">
        <f t="shared" si="26"/>
        <v>NODE_29_32</v>
      </c>
      <c r="E233" t="str">
        <f>VLOOKUP(F233,[1]HeroData!$A$3:$B$118,2, FALSE)</f>
        <v>XiahouDun</v>
      </c>
      <c r="F233" t="s">
        <v>406</v>
      </c>
      <c r="G233" s="3" t="s">
        <v>828</v>
      </c>
    </row>
    <row r="234" spans="1:7" ht="33" x14ac:dyDescent="0.3">
      <c r="A234" t="s">
        <v>683</v>
      </c>
      <c r="B234">
        <f t="shared" si="22"/>
        <v>33</v>
      </c>
      <c r="C234" t="str">
        <f t="shared" si="26"/>
        <v>NODE_29_33</v>
      </c>
      <c r="E234" t="str">
        <f>VLOOKUP(F234,[1]HeroData!$A$3:$B$118,2, FALSE)</f>
        <v>GuanYu</v>
      </c>
      <c r="F234" t="s">
        <v>7</v>
      </c>
      <c r="G234" s="3" t="s">
        <v>827</v>
      </c>
    </row>
    <row r="235" spans="1:7" x14ac:dyDescent="0.3">
      <c r="A235" t="s">
        <v>683</v>
      </c>
      <c r="B235">
        <f t="shared" si="22"/>
        <v>34</v>
      </c>
      <c r="C235" t="str">
        <f t="shared" si="26"/>
        <v>NODE_29_34</v>
      </c>
      <c r="E235" t="str">
        <f>VLOOKUP(F235,[1]HeroData!$A$3:$B$118,2, FALSE)</f>
        <v>GuanYu</v>
      </c>
      <c r="F235" t="s">
        <v>7</v>
      </c>
      <c r="G235" s="3" t="s">
        <v>784</v>
      </c>
    </row>
    <row r="237" spans="1:7" ht="33" x14ac:dyDescent="0.3">
      <c r="A237" t="s">
        <v>704</v>
      </c>
      <c r="B237">
        <v>0</v>
      </c>
      <c r="C237" t="str">
        <f>CONCATENATE(A237, "_", B237, IF(D237&lt;&gt;"", "_"&amp;D237, ""))</f>
        <v>NODE_31_0</v>
      </c>
      <c r="E237" t="str">
        <f>VLOOKUP(F237,[1]HeroData!$A$3:$B$118,2, FALSE)</f>
        <v>CaoCao</v>
      </c>
      <c r="F237" t="s">
        <v>51</v>
      </c>
      <c r="G237" s="3" t="s">
        <v>794</v>
      </c>
    </row>
    <row r="238" spans="1:7" ht="33" x14ac:dyDescent="0.3">
      <c r="A238" t="s">
        <v>704</v>
      </c>
      <c r="B238">
        <f t="shared" ref="B238:B281" si="27">B237+1</f>
        <v>1</v>
      </c>
      <c r="C238" t="str">
        <f t="shared" ref="C238" si="28">CONCATENATE(A238, "_", B238, IF(D238&lt;&gt;"", "_"&amp;D238, ""))</f>
        <v>NODE_31_1</v>
      </c>
      <c r="E238" t="str">
        <f>VLOOKUP(F238,[1]HeroData!$A$3:$B$118,2, FALSE)</f>
        <v>ZhangFei</v>
      </c>
      <c r="F238" t="s">
        <v>9</v>
      </c>
      <c r="G238" s="3" t="s">
        <v>795</v>
      </c>
    </row>
    <row r="239" spans="1:7" x14ac:dyDescent="0.3">
      <c r="A239" t="s">
        <v>704</v>
      </c>
      <c r="B239">
        <f t="shared" si="27"/>
        <v>2</v>
      </c>
      <c r="C239" t="str">
        <f t="shared" ref="C239:C281" si="29">CONCATENATE(A239, "_", B239, IF(D239&lt;&gt;"", "_"&amp;D239, ""))</f>
        <v>NODE_31_2</v>
      </c>
      <c r="E239" t="str">
        <f>VLOOKUP(F239,[1]HeroData!$A$3:$B$118,2, FALSE)</f>
        <v>CaoCao</v>
      </c>
      <c r="F239" t="s">
        <v>51</v>
      </c>
      <c r="G239" s="3" t="s">
        <v>796</v>
      </c>
    </row>
    <row r="240" spans="1:7" ht="33" x14ac:dyDescent="0.3">
      <c r="A240" t="s">
        <v>704</v>
      </c>
      <c r="B240">
        <f t="shared" si="27"/>
        <v>3</v>
      </c>
      <c r="C240" t="str">
        <f t="shared" si="29"/>
        <v>NODE_31_3</v>
      </c>
      <c r="E240" t="str">
        <f>VLOOKUP(F240,[1]HeroData!$A$3:$B$118,2, FALSE)</f>
        <v>ZhangFei</v>
      </c>
      <c r="F240" t="s">
        <v>9</v>
      </c>
      <c r="G240" s="3" t="s">
        <v>797</v>
      </c>
    </row>
    <row r="241" spans="1:7" ht="33" x14ac:dyDescent="0.3">
      <c r="A241" t="s">
        <v>704</v>
      </c>
      <c r="B241">
        <f t="shared" si="27"/>
        <v>4</v>
      </c>
      <c r="C241" t="str">
        <f t="shared" si="29"/>
        <v>NODE_31_4</v>
      </c>
      <c r="E241" t="str">
        <f>VLOOKUP(F241,[1]HeroData!$A$3:$B$118,2, FALSE)</f>
        <v>CaoCao</v>
      </c>
      <c r="F241" t="s">
        <v>51</v>
      </c>
      <c r="G241" s="3" t="s">
        <v>798</v>
      </c>
    </row>
    <row r="242" spans="1:7" x14ac:dyDescent="0.3">
      <c r="A242" t="s">
        <v>704</v>
      </c>
      <c r="B242">
        <f t="shared" si="27"/>
        <v>5</v>
      </c>
      <c r="C242" t="str">
        <f t="shared" si="29"/>
        <v>NODE_31_5</v>
      </c>
      <c r="E242" t="str">
        <f>VLOOKUP(F242,[1]HeroData!$A$3:$B$118,2, FALSE)</f>
        <v>GuanYu</v>
      </c>
      <c r="F242" t="s">
        <v>7</v>
      </c>
      <c r="G242" s="3" t="s">
        <v>597</v>
      </c>
    </row>
    <row r="243" spans="1:7" x14ac:dyDescent="0.3">
      <c r="A243" t="s">
        <v>704</v>
      </c>
      <c r="B243">
        <f t="shared" si="27"/>
        <v>6</v>
      </c>
      <c r="C243" t="str">
        <f t="shared" si="29"/>
        <v>NODE_31_6</v>
      </c>
      <c r="E243" t="str">
        <f>VLOOKUP(F243,[1]HeroData!$A$3:$B$118,2, FALSE)</f>
        <v>ZhangFei</v>
      </c>
      <c r="F243" t="s">
        <v>9</v>
      </c>
      <c r="G243" s="3" t="s">
        <v>817</v>
      </c>
    </row>
    <row r="244" spans="1:7" x14ac:dyDescent="0.3">
      <c r="A244" t="s">
        <v>704</v>
      </c>
      <c r="B244">
        <f t="shared" si="27"/>
        <v>7</v>
      </c>
      <c r="C244" t="str">
        <f t="shared" si="29"/>
        <v>NODE_31_7</v>
      </c>
      <c r="E244" t="str">
        <f>VLOOKUP(F244,[1]HeroData!$A$3:$B$118,2, FALSE)</f>
        <v>CaoCao</v>
      </c>
      <c r="F244" t="s">
        <v>51</v>
      </c>
      <c r="G244" s="3" t="s">
        <v>799</v>
      </c>
    </row>
    <row r="245" spans="1:7" x14ac:dyDescent="0.3">
      <c r="A245" t="s">
        <v>704</v>
      </c>
      <c r="B245">
        <f t="shared" si="27"/>
        <v>8</v>
      </c>
      <c r="C245" t="str">
        <f t="shared" si="29"/>
        <v>NODE_31_8</v>
      </c>
      <c r="E245" t="str">
        <f>VLOOKUP(F245,[1]HeroData!$A$3:$B$118,2, FALSE)</f>
        <v>CaoCao</v>
      </c>
      <c r="F245" t="s">
        <v>51</v>
      </c>
      <c r="G245" s="3" t="s">
        <v>800</v>
      </c>
    </row>
    <row r="246" spans="1:7" x14ac:dyDescent="0.3">
      <c r="A246" t="s">
        <v>704</v>
      </c>
      <c r="B246">
        <f t="shared" si="27"/>
        <v>9</v>
      </c>
      <c r="C246" t="str">
        <f t="shared" si="29"/>
        <v>NODE_31_9</v>
      </c>
      <c r="E246" t="str">
        <f>VLOOKUP(F246,[1]HeroData!$A$3:$B$118,2, FALSE)</f>
        <v>GuanYu</v>
      </c>
      <c r="F246" t="s">
        <v>7</v>
      </c>
      <c r="G246" s="3" t="s">
        <v>801</v>
      </c>
    </row>
    <row r="247" spans="1:7" x14ac:dyDescent="0.3">
      <c r="A247" t="s">
        <v>704</v>
      </c>
      <c r="B247">
        <f t="shared" si="27"/>
        <v>10</v>
      </c>
      <c r="C247" t="str">
        <f t="shared" si="29"/>
        <v>NODE_31_10</v>
      </c>
      <c r="E247" t="str">
        <f>VLOOKUP(F247,[1]HeroData!$A$3:$B$118,2, FALSE)</f>
        <v>CaoCao</v>
      </c>
      <c r="F247" t="s">
        <v>51</v>
      </c>
      <c r="G247" s="3" t="s">
        <v>679</v>
      </c>
    </row>
    <row r="248" spans="1:7" x14ac:dyDescent="0.3">
      <c r="A248" t="s">
        <v>704</v>
      </c>
      <c r="B248">
        <f t="shared" si="27"/>
        <v>11</v>
      </c>
      <c r="C248" t="str">
        <f t="shared" si="29"/>
        <v>NODE_31_11</v>
      </c>
      <c r="E248" t="str">
        <f>VLOOKUP(F248,[1]HeroData!$A$3:$B$118,2, FALSE)</f>
        <v>ZhangFei</v>
      </c>
      <c r="F248" t="s">
        <v>9</v>
      </c>
      <c r="G248" s="3" t="s">
        <v>804</v>
      </c>
    </row>
    <row r="249" spans="1:7" ht="33" x14ac:dyDescent="0.3">
      <c r="A249" t="s">
        <v>704</v>
      </c>
      <c r="B249">
        <f t="shared" si="27"/>
        <v>12</v>
      </c>
      <c r="C249" t="str">
        <f t="shared" si="29"/>
        <v>NODE_31_12</v>
      </c>
      <c r="E249" t="str">
        <f>VLOOKUP(F249,[1]HeroData!$A$3:$B$118,2, FALSE)</f>
        <v>GuanYu</v>
      </c>
      <c r="F249" t="s">
        <v>7</v>
      </c>
      <c r="G249" s="3" t="s">
        <v>802</v>
      </c>
    </row>
    <row r="250" spans="1:7" x14ac:dyDescent="0.3">
      <c r="A250" t="s">
        <v>704</v>
      </c>
      <c r="B250">
        <f t="shared" si="27"/>
        <v>13</v>
      </c>
      <c r="C250" t="str">
        <f t="shared" si="29"/>
        <v>NODE_31_13</v>
      </c>
      <c r="E250" t="str">
        <f>VLOOKUP(F250,[1]HeroData!$A$3:$B$118,2, FALSE)</f>
        <v>ZhangFei</v>
      </c>
      <c r="F250" t="s">
        <v>9</v>
      </c>
      <c r="G250" s="3" t="s">
        <v>803</v>
      </c>
    </row>
    <row r="251" spans="1:7" ht="33" x14ac:dyDescent="0.3">
      <c r="A251" t="s">
        <v>704</v>
      </c>
      <c r="B251">
        <f t="shared" si="27"/>
        <v>14</v>
      </c>
      <c r="C251" t="str">
        <f t="shared" si="29"/>
        <v>NODE_31_14</v>
      </c>
      <c r="E251" t="str">
        <f>VLOOKUP(F251,[1]HeroData!$A$3:$B$118,2, FALSE)</f>
        <v>GuanYu</v>
      </c>
      <c r="F251" t="s">
        <v>7</v>
      </c>
      <c r="G251" s="3" t="s">
        <v>686</v>
      </c>
    </row>
    <row r="252" spans="1:7" ht="33" x14ac:dyDescent="0.3">
      <c r="A252" t="s">
        <v>704</v>
      </c>
      <c r="B252">
        <f t="shared" si="27"/>
        <v>15</v>
      </c>
      <c r="C252" t="str">
        <f t="shared" si="29"/>
        <v>NODE_31_15</v>
      </c>
      <c r="E252" t="str">
        <f>VLOOKUP(F252,[1]HeroData!$A$3:$B$118,2, FALSE)</f>
        <v>ZhangFei</v>
      </c>
      <c r="F252" t="s">
        <v>9</v>
      </c>
      <c r="G252" s="3" t="s">
        <v>687</v>
      </c>
    </row>
    <row r="253" spans="1:7" x14ac:dyDescent="0.3">
      <c r="A253" t="s">
        <v>704</v>
      </c>
      <c r="B253">
        <f t="shared" si="27"/>
        <v>16</v>
      </c>
      <c r="C253" t="str">
        <f t="shared" si="29"/>
        <v>NODE_31_16</v>
      </c>
      <c r="E253" t="str">
        <f>VLOOKUP(F253,[1]HeroData!$A$3:$B$118,2, FALSE)</f>
        <v>GuanYu</v>
      </c>
      <c r="F253" t="s">
        <v>7</v>
      </c>
      <c r="G253" s="3" t="s">
        <v>688</v>
      </c>
    </row>
    <row r="254" spans="1:7" ht="33" x14ac:dyDescent="0.3">
      <c r="A254" t="s">
        <v>704</v>
      </c>
      <c r="B254">
        <f t="shared" si="27"/>
        <v>17</v>
      </c>
      <c r="C254" t="str">
        <f t="shared" si="29"/>
        <v>NODE_31_17</v>
      </c>
      <c r="E254" t="str">
        <f>VLOOKUP(F254,[1]HeroData!$A$3:$B$118,2, FALSE)</f>
        <v>ZhangFei</v>
      </c>
      <c r="F254" t="s">
        <v>9</v>
      </c>
      <c r="G254" s="3" t="s">
        <v>689</v>
      </c>
    </row>
    <row r="255" spans="1:7" ht="33" x14ac:dyDescent="0.3">
      <c r="A255" t="s">
        <v>704</v>
      </c>
      <c r="B255">
        <f t="shared" si="27"/>
        <v>18</v>
      </c>
      <c r="C255" t="str">
        <f t="shared" si="29"/>
        <v>NODE_31_18</v>
      </c>
      <c r="E255" t="str">
        <f>VLOOKUP(F255,[1]HeroData!$A$3:$B$118,2, FALSE)</f>
        <v>GuanYu</v>
      </c>
      <c r="F255" t="s">
        <v>7</v>
      </c>
      <c r="G255" s="3" t="s">
        <v>807</v>
      </c>
    </row>
    <row r="256" spans="1:7" x14ac:dyDescent="0.3">
      <c r="A256" t="s">
        <v>704</v>
      </c>
      <c r="B256">
        <f t="shared" si="27"/>
        <v>19</v>
      </c>
      <c r="C256" t="str">
        <f t="shared" si="29"/>
        <v>NODE_31_19</v>
      </c>
      <c r="E256" t="str">
        <f>VLOOKUP(F256,[1]HeroData!$A$3:$B$118,2, FALSE)</f>
        <v>GuanYu</v>
      </c>
      <c r="F256" t="s">
        <v>7</v>
      </c>
      <c r="G256" s="3" t="s">
        <v>808</v>
      </c>
    </row>
    <row r="257" spans="1:7" x14ac:dyDescent="0.3">
      <c r="A257" t="s">
        <v>704</v>
      </c>
      <c r="B257">
        <f t="shared" si="27"/>
        <v>20</v>
      </c>
      <c r="C257" t="str">
        <f t="shared" si="29"/>
        <v>NODE_31_20</v>
      </c>
      <c r="E257" t="str">
        <f>VLOOKUP(F257,[1]HeroData!$A$3:$B$118,2, FALSE)</f>
        <v>ZhangFei</v>
      </c>
      <c r="F257" t="s">
        <v>9</v>
      </c>
      <c r="G257" s="3" t="s">
        <v>804</v>
      </c>
    </row>
    <row r="258" spans="1:7" x14ac:dyDescent="0.3">
      <c r="A258" t="s">
        <v>704</v>
      </c>
      <c r="B258">
        <f t="shared" si="27"/>
        <v>21</v>
      </c>
      <c r="C258" t="str">
        <f t="shared" si="29"/>
        <v>NODE_31_21</v>
      </c>
      <c r="E258" t="str">
        <f>VLOOKUP(F258,[1]HeroData!$A$3:$B$118,2, FALSE)</f>
        <v>GuanYu</v>
      </c>
      <c r="F258" t="s">
        <v>7</v>
      </c>
      <c r="G258" s="3" t="s">
        <v>809</v>
      </c>
    </row>
    <row r="259" spans="1:7" ht="33" x14ac:dyDescent="0.3">
      <c r="A259" t="s">
        <v>704</v>
      </c>
      <c r="B259">
        <f t="shared" si="27"/>
        <v>22</v>
      </c>
      <c r="C259" t="str">
        <f t="shared" si="29"/>
        <v>NODE_31_22</v>
      </c>
      <c r="E259" t="str">
        <f>VLOOKUP(F259,[1]HeroData!$A$3:$B$118,2, FALSE)</f>
        <v>ZhangFei</v>
      </c>
      <c r="F259" t="s">
        <v>9</v>
      </c>
      <c r="G259" s="3" t="s">
        <v>690</v>
      </c>
    </row>
    <row r="260" spans="1:7" x14ac:dyDescent="0.3">
      <c r="A260" t="s">
        <v>704</v>
      </c>
      <c r="B260">
        <f t="shared" si="27"/>
        <v>23</v>
      </c>
      <c r="C260" t="str">
        <f t="shared" si="29"/>
        <v>NODE_31_23</v>
      </c>
      <c r="E260" t="str">
        <f>VLOOKUP(F260,[1]HeroData!$A$3:$B$118,2, FALSE)</f>
        <v>GuanYu</v>
      </c>
      <c r="F260" t="s">
        <v>7</v>
      </c>
      <c r="G260" s="3" t="s">
        <v>810</v>
      </c>
    </row>
    <row r="261" spans="1:7" x14ac:dyDescent="0.3">
      <c r="A261" t="s">
        <v>704</v>
      </c>
      <c r="B261">
        <f t="shared" si="27"/>
        <v>24</v>
      </c>
      <c r="C261" t="str">
        <f t="shared" si="29"/>
        <v>NODE_31_24</v>
      </c>
      <c r="E261" t="str">
        <f>VLOOKUP(F261,[1]HeroData!$A$3:$B$118,2, FALSE)</f>
        <v>ZhangFei</v>
      </c>
      <c r="F261" t="s">
        <v>9</v>
      </c>
      <c r="G261" s="3" t="s">
        <v>691</v>
      </c>
    </row>
    <row r="262" spans="1:7" ht="33" x14ac:dyDescent="0.3">
      <c r="A262" t="s">
        <v>704</v>
      </c>
      <c r="B262">
        <f t="shared" si="27"/>
        <v>25</v>
      </c>
      <c r="C262" t="str">
        <f t="shared" si="29"/>
        <v>NODE_31_25</v>
      </c>
      <c r="E262" t="str">
        <f>VLOOKUP(F262,[1]HeroData!$A$3:$B$118,2, FALSE)</f>
        <v>GuanYu</v>
      </c>
      <c r="F262" t="s">
        <v>7</v>
      </c>
      <c r="G262" s="3" t="s">
        <v>806</v>
      </c>
    </row>
    <row r="263" spans="1:7" ht="33" x14ac:dyDescent="0.3">
      <c r="A263" t="s">
        <v>704</v>
      </c>
      <c r="B263">
        <f t="shared" si="27"/>
        <v>26</v>
      </c>
      <c r="C263" t="str">
        <f t="shared" si="29"/>
        <v>NODE_31_26</v>
      </c>
      <c r="E263" t="str">
        <f>VLOOKUP(F263,[1]HeroData!$A$3:$B$118,2, FALSE)</f>
        <v>GuanYu</v>
      </c>
      <c r="F263" t="s">
        <v>7</v>
      </c>
      <c r="G263" s="3" t="s">
        <v>811</v>
      </c>
    </row>
    <row r="264" spans="1:7" ht="33" x14ac:dyDescent="0.3">
      <c r="A264" t="s">
        <v>704</v>
      </c>
      <c r="B264">
        <f t="shared" si="27"/>
        <v>27</v>
      </c>
      <c r="C264" t="str">
        <f t="shared" si="29"/>
        <v>NODE_31_27</v>
      </c>
      <c r="E264" t="str">
        <f>VLOOKUP(F264,[1]HeroData!$A$3:$B$118,2, FALSE)</f>
        <v>ZhangFei</v>
      </c>
      <c r="F264" t="s">
        <v>9</v>
      </c>
      <c r="G264" s="3" t="s">
        <v>692</v>
      </c>
    </row>
    <row r="265" spans="1:7" ht="49.5" x14ac:dyDescent="0.3">
      <c r="A265" t="s">
        <v>704</v>
      </c>
      <c r="B265">
        <f t="shared" si="27"/>
        <v>28</v>
      </c>
      <c r="C265" t="str">
        <f t="shared" si="29"/>
        <v>NODE_31_28</v>
      </c>
      <c r="E265" t="str">
        <f>VLOOKUP(F265,[1]HeroData!$A$3:$B$118,2, FALSE)</f>
        <v>GuanYu</v>
      </c>
      <c r="F265" t="s">
        <v>7</v>
      </c>
      <c r="G265" s="3" t="s">
        <v>722</v>
      </c>
    </row>
    <row r="266" spans="1:7" x14ac:dyDescent="0.3">
      <c r="A266" t="s">
        <v>704</v>
      </c>
      <c r="B266">
        <f t="shared" si="27"/>
        <v>29</v>
      </c>
      <c r="C266" t="str">
        <f t="shared" si="29"/>
        <v>NODE_31_29</v>
      </c>
      <c r="E266" t="str">
        <f>VLOOKUP(F266,[1]HeroData!$A$3:$B$118,2, FALSE)</f>
        <v>ZhangFei</v>
      </c>
      <c r="F266" t="s">
        <v>9</v>
      </c>
      <c r="G266" s="3" t="s">
        <v>693</v>
      </c>
    </row>
    <row r="267" spans="1:7" ht="33" x14ac:dyDescent="0.3">
      <c r="A267" t="s">
        <v>704</v>
      </c>
      <c r="B267">
        <f t="shared" si="27"/>
        <v>30</v>
      </c>
      <c r="C267" t="str">
        <f t="shared" si="29"/>
        <v>NODE_31_30</v>
      </c>
      <c r="E267" t="str">
        <f>VLOOKUP(F267,[1]HeroData!$A$3:$B$118,2, FALSE)</f>
        <v>GuanYu</v>
      </c>
      <c r="F267" t="s">
        <v>7</v>
      </c>
      <c r="G267" s="3" t="s">
        <v>694</v>
      </c>
    </row>
    <row r="268" spans="1:7" x14ac:dyDescent="0.3">
      <c r="A268" t="s">
        <v>704</v>
      </c>
      <c r="B268">
        <f t="shared" si="27"/>
        <v>31</v>
      </c>
      <c r="C268" t="str">
        <f t="shared" si="29"/>
        <v>NODE_31_31</v>
      </c>
      <c r="E268" t="str">
        <f>VLOOKUP(F268,[1]HeroData!$A$3:$B$118,2, FALSE)</f>
        <v>ZhangFei</v>
      </c>
      <c r="F268" t="s">
        <v>9</v>
      </c>
      <c r="G268" s="3" t="s">
        <v>594</v>
      </c>
    </row>
    <row r="269" spans="1:7" x14ac:dyDescent="0.3">
      <c r="A269" t="s">
        <v>704</v>
      </c>
      <c r="B269">
        <f t="shared" si="27"/>
        <v>32</v>
      </c>
      <c r="C269" t="str">
        <f t="shared" si="29"/>
        <v>NODE_31_32</v>
      </c>
      <c r="E269" t="str">
        <f>VLOOKUP(F269,[1]HeroData!$A$3:$B$118,2, FALSE)</f>
        <v>FanJiang</v>
      </c>
      <c r="F269" t="s">
        <v>702</v>
      </c>
      <c r="G269" s="3" t="s">
        <v>695</v>
      </c>
    </row>
    <row r="270" spans="1:7" ht="33" x14ac:dyDescent="0.3">
      <c r="A270" t="s">
        <v>704</v>
      </c>
      <c r="B270">
        <f t="shared" si="27"/>
        <v>33</v>
      </c>
      <c r="C270" t="str">
        <f t="shared" si="29"/>
        <v>NODE_31_33</v>
      </c>
      <c r="E270" t="str">
        <f>VLOOKUP(F270,[1]HeroData!$A$3:$B$118,2, FALSE)</f>
        <v>ZhangDa</v>
      </c>
      <c r="F270" t="s">
        <v>703</v>
      </c>
      <c r="G270" s="3" t="s">
        <v>812</v>
      </c>
    </row>
    <row r="271" spans="1:7" x14ac:dyDescent="0.3">
      <c r="A271" t="s">
        <v>704</v>
      </c>
      <c r="B271">
        <f t="shared" si="27"/>
        <v>34</v>
      </c>
      <c r="C271" t="str">
        <f t="shared" si="29"/>
        <v>NODE_31_34</v>
      </c>
      <c r="E271" t="str">
        <f>VLOOKUP(F271,[1]HeroData!$A$3:$B$118,2, FALSE)</f>
        <v>ZhangFei</v>
      </c>
      <c r="F271" t="s">
        <v>9</v>
      </c>
      <c r="G271" s="3" t="s">
        <v>813</v>
      </c>
    </row>
    <row r="272" spans="1:7" x14ac:dyDescent="0.3">
      <c r="A272" t="s">
        <v>704</v>
      </c>
      <c r="B272">
        <f t="shared" si="27"/>
        <v>35</v>
      </c>
      <c r="C272" t="str">
        <f t="shared" si="29"/>
        <v>NODE_31_35</v>
      </c>
      <c r="E272" t="str">
        <f>VLOOKUP(F272,[1]HeroData!$A$3:$B$118,2, FALSE)</f>
        <v>GuanYu</v>
      </c>
      <c r="F272" t="s">
        <v>7</v>
      </c>
      <c r="G272" s="3" t="s">
        <v>696</v>
      </c>
    </row>
    <row r="273" spans="1:7" x14ac:dyDescent="0.3">
      <c r="A273" t="s">
        <v>704</v>
      </c>
      <c r="B273">
        <f t="shared" si="27"/>
        <v>36</v>
      </c>
      <c r="C273" t="str">
        <f t="shared" si="29"/>
        <v>NODE_31_36</v>
      </c>
      <c r="E273" t="str">
        <f>VLOOKUP(F273,[1]HeroData!$A$3:$B$118,2, FALSE)</f>
        <v>ZhaoYun</v>
      </c>
      <c r="F273" t="s">
        <v>11</v>
      </c>
      <c r="G273" s="3" t="s">
        <v>697</v>
      </c>
    </row>
    <row r="274" spans="1:7" ht="33" x14ac:dyDescent="0.3">
      <c r="A274" t="s">
        <v>704</v>
      </c>
      <c r="B274">
        <f t="shared" si="27"/>
        <v>37</v>
      </c>
      <c r="C274" t="str">
        <f t="shared" si="29"/>
        <v>NODE_31_37</v>
      </c>
      <c r="E274" t="str">
        <f>VLOOKUP(F274,[1]HeroData!$A$3:$B$118,2, FALSE)</f>
        <v>ZhaoYun</v>
      </c>
      <c r="F274" t="s">
        <v>11</v>
      </c>
      <c r="G274" s="3" t="s">
        <v>816</v>
      </c>
    </row>
    <row r="275" spans="1:7" x14ac:dyDescent="0.3">
      <c r="A275" t="s">
        <v>704</v>
      </c>
      <c r="B275">
        <f t="shared" si="27"/>
        <v>38</v>
      </c>
      <c r="C275" t="str">
        <f t="shared" si="29"/>
        <v>NODE_31_38</v>
      </c>
      <c r="E275" t="str">
        <f>VLOOKUP(F275,[1]HeroData!$A$3:$B$118,2, FALSE)</f>
        <v>ZhaoYun</v>
      </c>
      <c r="F275" t="s">
        <v>11</v>
      </c>
      <c r="G275" s="3" t="s">
        <v>814</v>
      </c>
    </row>
    <row r="276" spans="1:7" x14ac:dyDescent="0.3">
      <c r="A276" t="s">
        <v>704</v>
      </c>
      <c r="B276">
        <f t="shared" si="27"/>
        <v>39</v>
      </c>
      <c r="C276" t="str">
        <f t="shared" si="29"/>
        <v>NODE_31_39</v>
      </c>
      <c r="E276" t="str">
        <f>VLOOKUP(F276,[1]HeroData!$A$3:$B$118,2, FALSE)</f>
        <v>LiuBei</v>
      </c>
      <c r="F276" t="s">
        <v>5</v>
      </c>
      <c r="G276" s="3" t="s">
        <v>698</v>
      </c>
    </row>
    <row r="277" spans="1:7" ht="33" x14ac:dyDescent="0.3">
      <c r="A277" t="s">
        <v>704</v>
      </c>
      <c r="B277">
        <f t="shared" si="27"/>
        <v>40</v>
      </c>
      <c r="C277" t="str">
        <f t="shared" si="29"/>
        <v>NODE_31_40</v>
      </c>
      <c r="E277" t="str">
        <f>VLOOKUP(F277,[1]HeroData!$A$3:$B$118,2, FALSE)</f>
        <v>LiuBei</v>
      </c>
      <c r="F277" t="s">
        <v>5</v>
      </c>
      <c r="G277" s="3" t="s">
        <v>699</v>
      </c>
    </row>
    <row r="278" spans="1:7" ht="33" x14ac:dyDescent="0.3">
      <c r="A278" t="s">
        <v>704</v>
      </c>
      <c r="B278">
        <f t="shared" si="27"/>
        <v>41</v>
      </c>
      <c r="C278" t="str">
        <f t="shared" si="29"/>
        <v>NODE_31_41</v>
      </c>
      <c r="E278" t="str">
        <f>VLOOKUP(F278,[1]HeroData!$A$3:$B$118,2, FALSE)</f>
        <v>LiuBei</v>
      </c>
      <c r="F278" t="s">
        <v>5</v>
      </c>
      <c r="G278" s="3" t="s">
        <v>724</v>
      </c>
    </row>
    <row r="279" spans="1:7" ht="33" x14ac:dyDescent="0.3">
      <c r="A279" t="s">
        <v>704</v>
      </c>
      <c r="B279">
        <f t="shared" si="27"/>
        <v>42</v>
      </c>
      <c r="C279" t="str">
        <f t="shared" si="29"/>
        <v>NODE_31_42</v>
      </c>
      <c r="E279" t="str">
        <f>VLOOKUP(F279,[1]HeroData!$A$3:$B$118,2, FALSE)</f>
        <v>LiuBei</v>
      </c>
      <c r="F279" t="s">
        <v>5</v>
      </c>
      <c r="G279" s="3" t="s">
        <v>700</v>
      </c>
    </row>
    <row r="280" spans="1:7" ht="33" x14ac:dyDescent="0.3">
      <c r="A280" t="s">
        <v>704</v>
      </c>
      <c r="B280">
        <f t="shared" si="27"/>
        <v>43</v>
      </c>
      <c r="C280" t="str">
        <f t="shared" si="29"/>
        <v>NODE_31_43</v>
      </c>
      <c r="E280" t="str">
        <f>VLOOKUP(F280,[1]HeroData!$A$3:$B$118,2, FALSE)</f>
        <v>LiuBei</v>
      </c>
      <c r="F280" t="s">
        <v>5</v>
      </c>
      <c r="G280" s="3" t="s">
        <v>701</v>
      </c>
    </row>
    <row r="281" spans="1:7" x14ac:dyDescent="0.3">
      <c r="A281" t="s">
        <v>704</v>
      </c>
      <c r="B281">
        <f t="shared" si="27"/>
        <v>44</v>
      </c>
      <c r="C281" t="str">
        <f t="shared" si="29"/>
        <v>NODE_31_44</v>
      </c>
      <c r="E281" t="str">
        <f>VLOOKUP(F281,[1]HeroData!$A$3:$B$118,2, FALSE)</f>
        <v>LiuBei</v>
      </c>
      <c r="F281" t="s">
        <v>5</v>
      </c>
      <c r="G281" s="3" t="s">
        <v>723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6"/>
  <sheetViews>
    <sheetView topLeftCell="A52" workbookViewId="0">
      <selection activeCell="E75" sqref="E75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706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707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708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705</v>
      </c>
      <c r="C40" s="19"/>
      <c r="D40" s="20" t="str">
        <f t="shared" si="2"/>
        <v>NODE_31_TITLE</v>
      </c>
      <c r="E40" s="28" t="s">
        <v>709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710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711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758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705</v>
      </c>
      <c r="C78" s="19"/>
      <c r="D78" s="20" t="str">
        <f>UPPER(B78)&amp;"_DESC"</f>
        <v>NODE_31_DESC</v>
      </c>
      <c r="E78" s="33" t="s">
        <v>712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2026-07-23T14:12:57Z</dcterms:modified>
</cp:coreProperties>
</file>