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1B2BB692-FF43-4D8D-BECC-4B318E541E2C}" xr6:coauthVersionLast="47" xr6:coauthVersionMax="47" xr10:uidLastSave="{00000000-0000-0000-0000-000000000000}"/>
  <bookViews>
    <workbookView xWindow="-28920" yWindow="1395" windowWidth="29040" windowHeight="16440" activeTab="6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00" i="5" l="1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C242" i="5" l="1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249" i="5" l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1" i="4"/>
  <c r="B50" i="4"/>
  <c r="B49" i="4"/>
  <c r="B48" i="4"/>
  <c r="B52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165" i="5" l="1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249" i="5" l="1"/>
  <c r="C248" i="5"/>
  <c r="C247" i="5"/>
  <c r="A167" i="5"/>
  <c r="C166" i="5"/>
  <c r="C246" i="5"/>
  <c r="B208" i="5"/>
  <c r="C207" i="5"/>
  <c r="B129" i="5"/>
  <c r="C128" i="5"/>
  <c r="A57" i="5"/>
  <c r="A58" i="5" s="1"/>
  <c r="A5" i="5"/>
  <c r="A250" i="5" l="1"/>
  <c r="C249" i="5"/>
  <c r="C167" i="5"/>
  <c r="A168" i="5"/>
  <c r="B209" i="5"/>
  <c r="C208" i="5"/>
  <c r="C129" i="5"/>
  <c r="B130" i="5"/>
  <c r="C57" i="5"/>
  <c r="C58" i="5"/>
  <c r="A59" i="5"/>
  <c r="A6" i="5"/>
  <c r="A251" i="5" l="1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<sst xmlns="http://schemas.openxmlformats.org/spreadsheetml/2006/main" count="1672" uniqueCount="848">
  <si>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</si>
  <si>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</si>
  <si>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</si>
  <si>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</si>
  <si>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</si>
  <si>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</si>
  <si>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</si>
  <si>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</si>
  <si>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</si>
  <si>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</si>
  <si>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</si>
  <si>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</si>
  <si>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</si>
  <si>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</si>
  <si>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</si>
  <si>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</si>
  <si>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</si>
  <si>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</si>
  <si>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</si>
  <si>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</si>
  <si>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</si>
  <si>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</si>
  <si>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</si>
  <si>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</si>
  <si>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</si>
  <si>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</si>
  <si>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</si>
  <si>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</si>
  <si>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</si>
  <si>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</si>
  <si>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</si>
  <si>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</si>
  <si>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</si>
  <si>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</si>
  <si>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</si>
  <si>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</si>
  <si>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</si>
  <si>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</si>
  <si>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</si>
  <si>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</si>
  <si>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</si>
  <si>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</si>
  <si>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</si>
  <si>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</si>
  <si>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</si>
  <si>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</si>
  <si>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</si>
  <si>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</si>
  <si>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</si>
  <si>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</si>
  <si>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</si>
  <si>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</si>
  <si>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</si>
  <si>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</si>
  <si>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</si>
  <si>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</si>
  <si>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</si>
  <si>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</si>
  <si>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</si>
  <si>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</si>
  <si>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</si>
  <si>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</si>
  <si>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</si>
  <si>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</si>
  <si>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</si>
  <si>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</si>
  <si>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</si>
  <si>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</si>
  <si>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</si>
  <si>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</si>
  <si>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</si>
  <si>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</si>
  <si>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</si>
  <si>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</si>
  <si>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</si>
  <si>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</si>
  <si>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</si>
  <si>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</si>
  <si>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</si>
  <si>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</si>
  <si>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</si>
  <si>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</si>
  <si>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</si>
  <si>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</si>
  <si>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</si>
  <si>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</si>
  <si>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</si>
  <si>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</si>
  <si>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</si>
  <si>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</si>
  <si>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</si>
  <si>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</si>
  <si>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</si>
  <si>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</si>
  <si>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</si>
  <si>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</si>
  <si>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</si>
  <si>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</si>
  <si>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</si>
  <si>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</si>
  <si>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</si>
  <si>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</si>
  <si>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</si>
  <si>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</si>
  <si>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</si>
  <si>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</si>
  <si>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</si>
  <si>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</si>
  <si>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</si>
  <si>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</si>
  <si>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</si>
  <si>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</si>
  <si>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</si>
  <si>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</si>
  <si>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</si>
  <si>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</si>
  <si>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</si>
  <si>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</si>
  <si>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</si>
  <si>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</si>
  <si>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</si>
  <si>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</si>
  <si>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</si>
  <si>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</si>
  <si>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</si>
  <si>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</si>
  <si>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</si>
  <si>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</si>
  <si>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</si>
  <si>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</si>
  <si>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</si>
  <si>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</si>
  <si>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</si>
  <si>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</si>
  <si>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</si>
  <si>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</si>
  <si>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</si>
  <si>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</si>
  <si>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</si>
  <si>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</si>
  <si>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</si>
  <si>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</si>
  <si>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</si>
  <si>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</si>
  <si>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</si>
  <si>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</si>
  <si>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</si>
  <si>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</si>
  <si>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</si>
  <si>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</si>
  <si>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</si>
  <si>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</si>
  <si>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</si>
  <si>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</si>
  <si>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</si>
  <si>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</si>
  <si>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</si>
  <si>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</si>
  <si>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</si>
  <si>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</si>
  <si>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</si>
  <si>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</si>
  <si>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</si>
  <si>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</si>
  <si>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</si>
  <si>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</si>
  <si>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</si>
  <si>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</si>
  <si>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</si>
  <si>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</si>
  <si>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</si>
  <si>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</si>
  <si>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</si>
  <si>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</si>
  <si>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</si>
  <si>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</si>
  <si>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</si>
  <si>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</si>
  <si>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</si>
  <si>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</si>
  <si>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</si>
  <si>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</si>
  <si>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</si>
  <si>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</si>
  <si>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</si>
  <si>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</si>
  <si>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</si>
  <si>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</si>
  <si>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</si>
  <si>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</si>
  <si>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</si>
  <si>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</si>
  <si>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</si>
  <si>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</si>
  <si>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</si>
  <si>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</si>
  <si>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</si>
  <si>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</si>
  <si>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</si>
  <si>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</si>
  <si>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</si>
  <si>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</si>
  <si>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</si>
  <si>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</si>
  <si>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</si>
  <si>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</si>
  <si>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</si>
  <si>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</si>
  <si>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</si>
  <si>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</si>
  <si>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</si>
  <si>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</si>
  <si>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</si>
  <si>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</si>
  <si>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</si>
  <si>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</si>
  <si>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</si>
  <si>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</si>
  <si>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</si>
  <si>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</si>
  <si>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</si>
  <si>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</si>
  <si>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</si>
  <si>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</si>
  <si>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</si>
  <si>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</si>
  <si>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</si>
  <si>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</si>
  <si>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</si>
  <si>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</si>
  <si>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</si>
  <si>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</si>
  <si>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</si>
  <si>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</si>
  <si>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</si>
  <si>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</si>
  <si>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</si>
  <si>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</si>
  <si>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</si>
  <si>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</si>
  <si>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</si>
  <si>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</si>
  <si>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</si>
  <si>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</si>
  <si>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</si>
  <si>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</si>
  <si>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</si>
  <si>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</si>
  <si>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</si>
  <si>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</si>
  <si>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</si>
  <si>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</si>
  <si>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</si>
  <si>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</si>
  <si>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</si>
  <si>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</si>
  <si>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</si>
  <si>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</si>
  <si>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</si>
  <si>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</si>
  <si>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</si>
  <si>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</si>
  <si>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</si>
  <si>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</si>
  <si>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</si>
  <si>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</si>
  <si>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</si>
  <si>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</si>
  <si>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</si>
  <si>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</si>
  <si>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</si>
  <si>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</si>
  <si>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</si>
  <si>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</si>
  <si>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</si>
  <si>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</si>
  <si>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</si>
  <si>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</si>
  <si>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</si>
  <si>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</si>
  <si>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</si>
  <si>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</si>
  <si>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</si>
  <si>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</si>
  <si>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</si>
  <si>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</si>
  <si>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</si>
  <si>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</si>
  <si>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</si>
  <si>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</si>
  <si>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</si>
  <si>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</si>
  <si>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</si>
  <si>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</si>
  <si>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</si>
  <si>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</si>
  <si>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</si>
  <si>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</si>
  <si>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</si>
  <si>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</si>
  <si>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</si>
  <si>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</si>
  <si>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</si>
  <si>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</si>
  <si>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</si>
  <si>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</si>
  <si>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</si>
  <si>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</si>
  <si>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</si>
  <si>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</si>
  <si>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</si>
  <si>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</si>
  <si>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</si>
  <si>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</si>
  <si>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</si>
  <si>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</si>
  <si>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</si>
  <si>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</si>
  <si>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</si>
  <si>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</si>
  <si>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</si>
  <si>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</si>
  <si>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</si>
  <si>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</si>
  <si>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</si>
  <si>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</si>
  <si>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</si>
  <si>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</si>
  <si>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</si>
  <si>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</si>
  <si>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</si>
  <si>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</si>
  <si>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</si>
  <si>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</si>
  <si>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</si>
  <si>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</si>
  <si>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</si>
  <si>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</si>
  <si>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</si>
  <si>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</si>
  <si>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</si>
  <si>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</si>
  <si>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</si>
  <si>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</si>
  <si>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</si>
  <si>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</si>
  <si>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</si>
  <si>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</si>
  <si>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</si>
  <si>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</si>
  <si>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</si>
  <si>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</si>
  <si>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</si>
  <si>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</si>
  <si>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</si>
  <si>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</si>
  <si>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</si>
  <si>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</si>
  <si>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</si>
  <si>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</si>
  <si>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</si>
  <si>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</si>
  <si>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</si>
  <si>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</si>
  <si>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</si>
  <si>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</si>
  <si>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</si>
  <si>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</si>
  <si>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</si>
  <si>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</si>
  <si>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</si>
  <si>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</si>
  <si>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</si>
  <si>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</si>
  <si>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</si>
  <si>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</si>
  <si>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</si>
  <si>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</si>
  <si>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</si>
  <si>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</si>
  <si>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</si>
  <si>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</si>
  <si>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</si>
  <si>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</si>
  <si>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</si>
  <si>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</si>
  <si>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</si>
  <si>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</si>
  <si>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</si>
  <si>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</si>
  <si>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</si>
  <si>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</si>
  <si>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</si>
  <si>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</si>
  <si>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</si>
  <si>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</si>
  <si>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</si>
  <si>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</si>
  <si>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</si>
  <si>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</si>
  <si>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</si>
  <si>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</si>
  <si>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</si>
  <si>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</si>
  <si>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</si>
  <si>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</si>
  <si>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</si>
  <si>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</si>
  <si>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</si>
  <si>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</si>
  <si>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</si>
  <si>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</si>
  <si>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</si>
  <si>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</si>
  <si>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</si>
  <si>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</si>
  <si>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</si>
  <si>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</si>
  <si>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</si>
  <si>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</si>
  <si>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</si>
  <si>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</si>
  <si>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</si>
  <si>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</si>
  <si>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</si>
  <si>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</si>
  <si>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</si>
  <si>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</si>
  <si>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</si>
  <si>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</si>
  <si>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</si>
  <si>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</si>
  <si>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</si>
  <si>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</si>
  <si>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</si>
  <si>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</si>
  <si>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</si>
  <si>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</si>
  <si>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</si>
  <si>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</si>
  <si>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</si>
  <si>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</si>
  <si>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</si>
  <si>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</si>
  <si>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</si>
  <si>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</si>
  <si>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</si>
  <si>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</si>
  <si>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</si>
  <si>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</si>
  <si>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</si>
  <si>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</si>
  <si>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</si>
  <si>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</si>
  <si>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</si>
  <si>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</si>
  <si>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</si>
  <si>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</si>
  <si>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</si>
  <si>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</si>
  <si>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</si>
  <si>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</si>
  <si>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</si>
  <si>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</si>
  <si>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</si>
  <si>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</si>
  <si>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</si>
  <si>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</si>
  <si>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</si>
  <si>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</si>
  <si>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</si>
  <si>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</si>
  <si>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</si>
  <si>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</si>
  <si>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</si>
  <si>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</si>
  <si>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</si>
  <si>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</si>
  <si>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</si>
  <si>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</si>
  <si>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</si>
  <si>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</si>
  <si>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</si>
  <si>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</si>
  <si>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</si>
  <si>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</si>
  <si>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</si>
  <si>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</si>
  <si>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</si>
  <si>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</si>
  <si>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</si>
  <si>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</si>
  <si>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</si>
  <si>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</si>
  <si>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</si>
  <si>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</si>
  <si>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</si>
  <si>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</si>
  <si>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</si>
  <si>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</si>
  <si>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</si>
  <si>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</si>
  <si>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</si>
  <si>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</si>
  <si>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</si>
  <si>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</si>
  <si>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</si>
  <si>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</si>
  <si>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</si>
  <si>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</si>
  <si>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</si>
  <si>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</si>
  <si>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</si>
  <si>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</si>
  <si>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</si>
  <si>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</si>
  <si>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</si>
  <si>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</si>
  <si>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</si>
  <si>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</si>
  <si>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</si>
  <si>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</si>
  <si>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</si>
  <si>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</si>
  <si>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</si>
  <si>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</si>
  <si>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</si>
  <si>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</si>
  <si>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</si>
  <si>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</si>
  <si>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</si>
  <si>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</si>
  <si>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</si>
  <si>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</si>
  <si>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</si>
  <si>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</si>
  <si>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</si>
  <si>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</si>
  <si>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</si>
  <si>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</si>
  <si>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</si>
  <si>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</si>
  <si>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</si>
  <si>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</si>
  <si>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</si>
  <si>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</si>
  <si>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</si>
  <si>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</si>
  <si>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</si>
  <si>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</si>
  <si>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</si>
  <si>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</si>
  <si>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</si>
  <si>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</si>
  <si>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</si>
  <si>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</si>
  <si>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</si>
  <si>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</si>
  <si>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</si>
  <si>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</si>
  <si>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</si>
  <si>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</si>
  <si>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</si>
  <si>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</si>
  <si>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</si>
  <si>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</si>
  <si>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</si>
  <si>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</si>
  <si>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</si>
  <si>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</si>
  <si>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</si>
  <si>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</si>
  <si>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</si>
  <si>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</si>
  <si>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</si>
  <si>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</si>
  <si>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</si>
  <si>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</si>
  <si>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</si>
  <si>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</si>
  <si>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</si>
  <si>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</si>
  <si>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</si>
  <si>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</si>
  <si>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</si>
  <si>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</si>
  <si>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</si>
  <si>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</si>
  <si>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</si>
  <si>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</si>
  <si>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</si>
  <si>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</si>
  <si>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</si>
  <si>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</si>
  <si>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</si>
  <si>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</si>
  <si>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</si>
  <si>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</si>
  <si>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</si>
  <si>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</si>
  <si>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</si>
  <si>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</si>
  <si>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</si>
  <si>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</si>
  <si>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</si>
  <si>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</si>
  <si>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</si>
  <si>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</si>
  <si>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</si>
  <si>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</si>
  <si>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</si>
  <si>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</si>
  <si>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</si>
  <si>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</si>
  <si>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</si>
  <si>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</si>
  <si>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</si>
  <si>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</si>
  <si>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</si>
  <si>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</si>
  <si>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</si>
  <si>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</si>
  <si>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</si>
  <si>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</si>
  <si>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</si>
  <si>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</si>
  <si>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</si>
  <si>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</si>
  <si>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</si>
  <si>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</si>
  <si>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</si>
  <si>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</si>
  <si>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</si>
  <si>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</si>
  <si>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</si>
  <si>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</si>
  <si>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</si>
  <si>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</si>
  <si>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</si>
  <si>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</si>
  <si>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</si>
  <si>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</si>
  <si>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</si>
  <si>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</si>
  <si>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</si>
  <si>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</si>
  <si>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</si>
  <si>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</si>
  <si>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</si>
  <si>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</si>
  <si>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</si>
  <si>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</si>
  <si>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</si>
  <si>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</si>
  <si>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</si>
  <si>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</si>
  <si>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</si>
  <si>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</si>
  <si>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</si>
  <si>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</si>
  <si>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</si>
  <si>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</si>
  <si>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</si>
  <si>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</si>
  <si>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</si>
  <si>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</si>
  <si>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</si>
  <si>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</si>
  <si>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</si>
  <si>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</si>
  <si>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</si>
  <si>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</si>
  <si>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</si>
  <si>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</si>
  <si>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</si>
  <si>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</si>
  <si>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</si>
  <si>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</si>
  <si>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</si>
  <si>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</si>
  <si>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</si>
  <si>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</si>
  <si>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</si>
  <si>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</si>
  <si>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</si>
  <si>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</si>
  <si>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</si>
  <si>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</si>
  <si>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</si>
  <si>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</si>
  <si>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</si>
  <si>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</si>
  <si>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</si>
  <si>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</si>
  <si>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</si>
  <si>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</si>
  <si>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</si>
  <si>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</si>
  <si>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</si>
  <si>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</si>
  <si>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</si>
  <si>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</si>
  <si>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</si>
  <si>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</si>
  <si>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</si>
  <si>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</si>
  <si>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</si>
  <si>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</si>
  <si>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</si>
  <si>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</si>
  <si>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</si>
  <si>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</si>
  <si>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</si>
  <si>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</si>
  <si>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</si>
  <si>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</si>
  <si>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</si>
  <si>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</si>
  <si>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</si>
  <si>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</si>
  <si>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</si>
  <si>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</si>
  <si>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</si>
  <si>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</si>
  <si>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</si>
  <si>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</si>
  <si>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</si>
  <si>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</si>
  <si>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</si>
  <si>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</si>
  <si>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</si>
  <si>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</si>
  <si>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</si>
  <si>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</si>
  <si>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</si>
  <si>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</si>
  <si>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</si>
  <si>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</si>
  <si>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</si>
  <si>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</si>
  <si>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</si>
  <si>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</si>
  <si>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</si>
  <si>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</si>
  <si>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</si>
  <si>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</si>
  <si>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</si>
  <si>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</si>
  <si>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</si>
  <si>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</si>
  <si>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</si>
  <si>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</si>
  <si>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</si>
  <si>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</si>
  <si>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</si>
  <si>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</si>
  <si>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</si>
  <si>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</si>
  <si>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</si>
  <si>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</si>
  <si>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</si>
  <si>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</si>
  <si>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</si>
  <si>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</si>
  <si>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</si>
  <si>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</si>
  <si>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</si>
  <si>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</si>
  <si>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</si>
  <si>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</si>
  <si>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</si>
  <si>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</si>
  <si>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</si>
  <si>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</si>
  <si>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</si>
  <si>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</si>
  <si>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</si>
  <si>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</si>
  <si>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</si>
  <si>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</si>
  <si>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</si>
  <si>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</si>
  <si>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</si>
  <si>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</si>
  <si>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</si>
  <si>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</si>
  <si>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</si>
  <si>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</si>
  <si>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</si>
  <si>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</si>
  <si>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</si>
  <si>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</si>
  <si>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</si>
  <si>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</si>
  <si>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</si>
  <si>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</si>
  <si>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</si>
  <si>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</si>
  <si>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</si>
  <si>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</si>
  <si>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</si>
  <si>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</si>
  <si>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</si>
  <si>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</si>
  <si>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</si>
  <si>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</si>
  <si>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</si>
  <si>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</si>
  <si>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</si>
  <si>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</si>
  <si>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</si>
  <si>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</si>
  <si>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</si>
  <si>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</si>
  <si>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</si>
  <si>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</si>
  <si>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</si>
  <si>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</si>
  <si>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</si>
  <si>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</si>
  <si>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</si>
  <si>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</si>
  <si>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</si>
  <si>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</si>
  <si>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</si>
  <si>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</si>
  <si>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</si>
  <si>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</si>
  <si>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</si>
  <si>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</si>
  <si>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아수라가.. 현현한다..
이제 이 세계는 끝이야..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</si>
  <si>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</si>
  <si>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</si>
  <si>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</si>
  <si>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</si>
  <si>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</si>
  <si>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</si>
  <si>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</si>
  <si>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</si>
  <si>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</si>
  <si>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</si>
  <si>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</si>
  <si>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</si>
  <si>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</si>
  <si>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</si>
  <si>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오거라.</t>
    <phoneticPr fontId="1" type="noConversion"/>
  </si>
  <si>
    <t>눈에 띄는 건 싫군</t>
    <phoneticPr fontId="1" type="noConversion"/>
  </si>
  <si>
    <t>문추의 목을 높이 들어라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</si>
</sst>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opLeftCell="A40" workbookViewId="0">
      <selection activeCell="D58" sqref="D5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1:4" x14ac:dyDescent="0.3">
      <c r="B33" t="s">
        <v>61</v>
      </c>
      <c r="C33" s="3" t="s">
        <v>62</v>
      </c>
    </row>
    <row r="34" spans="1:4" x14ac:dyDescent="0.3">
      <c r="B34" t="s">
        <v>151</v>
      </c>
      <c r="C34" t="s">
        <v>77</v>
      </c>
    </row>
    <row r="35" spans="1:4" x14ac:dyDescent="0.3">
      <c r="B35" t="s">
        <v>74</v>
      </c>
      <c r="C35" t="s">
        <v>75</v>
      </c>
    </row>
    <row r="36" spans="1:4" x14ac:dyDescent="0.3">
      <c r="B36" t="s">
        <v>150</v>
      </c>
      <c r="C36" t="s">
        <v>79</v>
      </c>
    </row>
    <row r="37" spans="1:4" x14ac:dyDescent="0.3">
      <c r="B37" t="s">
        <v>80</v>
      </c>
      <c r="C37" t="s">
        <v>76</v>
      </c>
    </row>
    <row r="38" spans="1:4" x14ac:dyDescent="0.3">
      <c r="B38" t="s">
        <v>152</v>
      </c>
      <c r="C38" t="s">
        <v>78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164</v>
      </c>
      <c r="C40" t="s">
        <v>165</v>
      </c>
    </row>
    <row r="41" spans="1:4" x14ac:dyDescent="0.3">
      <c r="B41" t="s">
        <v>267</v>
      </c>
      <c r="C41" t="s">
        <v>263</v>
      </c>
    </row>
    <row r="42" spans="1:4" x14ac:dyDescent="0.3">
      <c r="B42" t="s">
        <v>265</v>
      </c>
      <c r="C42" t="s">
        <v>261</v>
      </c>
    </row>
    <row r="43" spans="1:4" x14ac:dyDescent="0.3">
      <c r="B43" t="s">
        <v>264</v>
      </c>
      <c r="C43" t="s">
        <v>260</v>
      </c>
    </row>
    <row r="44" spans="1:4" x14ac:dyDescent="0.3">
      <c r="B44" t="s">
        <v>266</v>
      </c>
      <c r="C44" t="s">
        <v>262</v>
      </c>
    </row>
    <row r="45" spans="1:4" x14ac:dyDescent="0.3">
      <c r="B45" t="s">
        <v>163</v>
      </c>
      <c r="C45" t="s">
        <v>159</v>
      </c>
    </row>
    <row r="46" spans="1:4" x14ac:dyDescent="0.3">
      <c r="B46" t="s">
        <v>161</v>
      </c>
      <c r="C46" t="s">
        <v>158</v>
      </c>
    </row>
    <row r="47" spans="1:4" x14ac:dyDescent="0.3">
      <c r="B47" t="s">
        <v>162</v>
      </c>
      <c r="C47" t="s">
        <v>160</v>
      </c>
    </row>
    <row r="48" spans="1:4" x14ac:dyDescent="0.3">
      <c r="A48" t="s">
        <v>543</v>
      </c>
      <c r="B48" t="str">
        <f>"SORTTYPE_"&amp;A48</f>
        <v>SORTTYPE_CLASS</v>
      </c>
      <c r="C48" t="s">
        <v>548</v>
      </c>
    </row>
    <row r="49" spans="1:4" x14ac:dyDescent="0.3">
      <c r="A49" t="s">
        <v>544</v>
      </c>
      <c r="B49" t="str">
        <f>"SORTTYPE_"&amp;A49</f>
        <v>SORTTYPE_GRADE</v>
      </c>
      <c r="C49" t="s">
        <v>549</v>
      </c>
    </row>
    <row r="50" spans="1:4" x14ac:dyDescent="0.3">
      <c r="A50" t="s">
        <v>545</v>
      </c>
      <c r="B50" t="str">
        <f>"SORTTYPE_"&amp;A50</f>
        <v>SORTTYPE_LEVEL</v>
      </c>
      <c r="C50" t="s">
        <v>550</v>
      </c>
    </row>
    <row r="51" spans="1:4" x14ac:dyDescent="0.3">
      <c r="A51" t="s">
        <v>546</v>
      </c>
      <c r="B51" t="str">
        <f>"SORTTYPE_"&amp;A51</f>
        <v>SORTTYPE_POWER</v>
      </c>
      <c r="C51" t="s">
        <v>551</v>
      </c>
    </row>
    <row r="52" spans="1:4" x14ac:dyDescent="0.3">
      <c r="A52" t="s">
        <v>542</v>
      </c>
      <c r="B52" t="str">
        <f>"SORTTYPE_"&amp;A52</f>
        <v>SORTTYPE_REGION</v>
      </c>
      <c r="C52" t="s">
        <v>547</v>
      </c>
    </row>
    <row r="53" spans="1:4" x14ac:dyDescent="0.3">
      <c r="B53" t="s">
        <v>552</v>
      </c>
      <c r="C53" t="s">
        <v>368</v>
      </c>
    </row>
    <row r="54" spans="1:4" x14ac:dyDescent="0.3">
      <c r="B54" t="s">
        <v>520</v>
      </c>
      <c r="C54" t="s">
        <v>529</v>
      </c>
    </row>
    <row r="55" spans="1:4" x14ac:dyDescent="0.3">
      <c r="B55" t="s">
        <v>516</v>
      </c>
      <c r="C55" t="s">
        <v>523</v>
      </c>
    </row>
    <row r="56" spans="1:4" x14ac:dyDescent="0.3">
      <c r="B56" t="s">
        <v>521</v>
      </c>
      <c r="C56" t="s">
        <v>528</v>
      </c>
    </row>
    <row r="57" spans="1:4" x14ac:dyDescent="0.3">
      <c r="B57" t="s">
        <v>517</v>
      </c>
      <c r="C57" t="s">
        <v>524</v>
      </c>
    </row>
    <row r="58" spans="1:4" x14ac:dyDescent="0.3">
      <c r="B58" t="s">
        <v>519</v>
      </c>
      <c r="C58" t="s">
        <v>526</v>
      </c>
    </row>
    <row r="59" spans="1:4" x14ac:dyDescent="0.3">
      <c r="B59" t="s">
        <v>515</v>
      </c>
      <c r="C59" t="s">
        <v>553</v>
      </c>
    </row>
    <row r="60" spans="1:4" x14ac:dyDescent="0.3">
      <c r="B60" t="s">
        <v>522</v>
      </c>
      <c r="C60" t="s">
        <v>527</v>
      </c>
    </row>
    <row r="61" spans="1:4" x14ac:dyDescent="0.3">
      <c r="B61" t="s">
        <v>518</v>
      </c>
      <c r="C61" t="s">
        <v>525</v>
      </c>
    </row>
    <row r="62" spans="1:4" x14ac:dyDescent="0.3">
      <c r="B62" t="s">
        <v>286</v>
      </c>
      <c r="C62" t="s">
        <v>292</v>
      </c>
      <c r="D62" t="s">
        <v>299</v>
      </c>
    </row>
    <row r="63" spans="1:4" x14ac:dyDescent="0.3">
      <c r="B63" t="s">
        <v>282</v>
      </c>
      <c r="C63" t="s">
        <v>281</v>
      </c>
      <c r="D63" t="s">
        <v>295</v>
      </c>
    </row>
    <row r="64" spans="1:4" x14ac:dyDescent="0.3">
      <c r="B64" t="s">
        <v>287</v>
      </c>
      <c r="C64" t="s">
        <v>293</v>
      </c>
      <c r="D64" t="s">
        <v>300</v>
      </c>
    </row>
    <row r="65" spans="2:4" x14ac:dyDescent="0.3">
      <c r="B65" t="s">
        <v>288</v>
      </c>
      <c r="C65" t="s">
        <v>294</v>
      </c>
      <c r="D65" t="s">
        <v>301</v>
      </c>
    </row>
    <row r="66" spans="2:4" x14ac:dyDescent="0.3">
      <c r="B66" t="s">
        <v>285</v>
      </c>
      <c r="C66" t="s">
        <v>291</v>
      </c>
      <c r="D66" t="s">
        <v>298</v>
      </c>
    </row>
    <row r="67" spans="2:4" x14ac:dyDescent="0.3">
      <c r="B67" t="s">
        <v>283</v>
      </c>
      <c r="C67" t="s">
        <v>289</v>
      </c>
      <c r="D67" t="s">
        <v>296</v>
      </c>
    </row>
    <row r="68" spans="2:4" x14ac:dyDescent="0.3">
      <c r="B68" t="s">
        <v>284</v>
      </c>
      <c r="C68" t="s">
        <v>290</v>
      </c>
      <c r="D68" t="s">
        <v>297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82" workbookViewId="0">
      <selection activeCell="C94" sqref="C94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 x14ac:dyDescent="0.3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 x14ac:dyDescent="0.3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 x14ac:dyDescent="0.3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 x14ac:dyDescent="0.3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 x14ac:dyDescent="0.3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 x14ac:dyDescent="0.3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 x14ac:dyDescent="0.3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 x14ac:dyDescent="0.3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 x14ac:dyDescent="0.3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 x14ac:dyDescent="0.3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 x14ac:dyDescent="0.3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 x14ac:dyDescent="0.3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 x14ac:dyDescent="0.3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 x14ac:dyDescent="0.3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 x14ac:dyDescent="0.3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 x14ac:dyDescent="0.3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 x14ac:dyDescent="0.3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 x14ac:dyDescent="0.3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 x14ac:dyDescent="0.3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621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600</v>
      </c>
      <c r="F87" s="38"/>
    </row>
    <row r="88" spans="1:6" x14ac:dyDescent="0.3">
      <c r="A88" s="27" t="s">
        <v>451</v>
      </c>
      <c r="B88" s="27" t="s">
        <v>622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 x14ac:dyDescent="0.3">
      <c r="A89" s="27" t="s">
        <v>451</v>
      </c>
      <c r="B89" s="27" t="s">
        <v>623</v>
      </c>
      <c r="C89" s="27" t="s">
        <v>449</v>
      </c>
      <c r="D89" s="27" t="str">
        <f t="shared" si="2"/>
        <v>NAME_ETC_WENCHOU</v>
      </c>
      <c r="E89" s="27" t="s">
        <v>599</v>
      </c>
      <c r="F89" s="38"/>
    </row>
    <row r="90" spans="1:6" x14ac:dyDescent="0.3">
      <c r="A90" s="27" t="s">
        <v>451</v>
      </c>
      <c r="B90" s="27" t="s">
        <v>625</v>
      </c>
      <c r="C90" s="27" t="s">
        <v>449</v>
      </c>
      <c r="D90" s="27" t="str">
        <f t="shared" si="2"/>
        <v>NAME_ETC_SONGXIAN</v>
      </c>
      <c r="E90" s="27" t="s">
        <v>624</v>
      </c>
      <c r="F90" s="38"/>
    </row>
    <row r="91" spans="1:6" x14ac:dyDescent="0.3">
      <c r="A91" s="27" t="s">
        <v>451</v>
      </c>
      <c r="B91" s="27" t="s">
        <v>627</v>
      </c>
      <c r="C91" s="27" t="s">
        <v>449</v>
      </c>
      <c r="D91" s="27" t="str">
        <f t="shared" si="2"/>
        <v>NAME_ETC_WEIXU</v>
      </c>
      <c r="E91" s="27" t="s">
        <v>626</v>
      </c>
      <c r="F91" s="38"/>
    </row>
    <row r="92" spans="1:6" x14ac:dyDescent="0.3">
      <c r="A92" s="27" t="s">
        <v>451</v>
      </c>
      <c r="B92" s="27" t="s">
        <v>629</v>
      </c>
      <c r="C92" s="27" t="s">
        <v>447</v>
      </c>
      <c r="D92" s="27" t="str">
        <f t="shared" si="2"/>
        <v>NAME_WEI_XUHUANG</v>
      </c>
      <c r="E92" s="27" t="s">
        <v>628</v>
      </c>
      <c r="F92" s="38"/>
    </row>
    <row r="93" spans="1:6" x14ac:dyDescent="0.3">
      <c r="A93" s="27" t="s">
        <v>451</v>
      </c>
      <c r="B93" s="27" t="s">
        <v>701</v>
      </c>
      <c r="C93" s="27" t="s">
        <v>447</v>
      </c>
      <c r="D93" s="27" t="str">
        <f t="shared" si="2"/>
        <v>NAME_WEI_FANJIANG</v>
      </c>
      <c r="E93" s="38" t="s">
        <v>690</v>
      </c>
      <c r="F93" s="38"/>
    </row>
    <row r="94" spans="1:6" x14ac:dyDescent="0.3">
      <c r="A94" s="27" t="s">
        <v>451</v>
      </c>
      <c r="B94" s="27" t="s">
        <v>702</v>
      </c>
      <c r="C94" s="27" t="s">
        <v>447</v>
      </c>
      <c r="D94" s="27" t="str">
        <f t="shared" si="2"/>
        <v>NAME_WEI_ZHANGDA</v>
      </c>
      <c r="E94" s="38" t="s">
        <v>691</v>
      </c>
      <c r="F94" s="38"/>
    </row>
    <row r="95" spans="1:6" x14ac:dyDescent="0.3">
      <c r="A95" s="27" t="s">
        <v>479</v>
      </c>
      <c r="B95" s="27" t="s">
        <v>621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630</v>
      </c>
      <c r="F95" s="38"/>
    </row>
    <row r="96" spans="1:6" x14ac:dyDescent="0.3">
      <c r="A96" s="27" t="s">
        <v>479</v>
      </c>
      <c r="B96" s="27" t="s">
        <v>622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479</v>
      </c>
      <c r="B97" s="27" t="s">
        <v>623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479</v>
      </c>
      <c r="B98" s="27" t="s">
        <v>629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621</v>
      </c>
      <c r="C99" s="27" t="s">
        <v>449</v>
      </c>
      <c r="D99" s="27" t="str">
        <f t="shared" si="2"/>
        <v>DESC_TALK_ETC_YUANSHAO</v>
      </c>
      <c r="E99" s="38" t="s">
        <v>631</v>
      </c>
      <c r="F99" s="38"/>
    </row>
    <row r="100" spans="1:6" ht="33" x14ac:dyDescent="0.3">
      <c r="A100" s="27" t="s">
        <v>464</v>
      </c>
      <c r="B100" s="27" t="s">
        <v>622</v>
      </c>
      <c r="C100" s="27" t="s">
        <v>449</v>
      </c>
      <c r="D100" s="27" t="str">
        <f t="shared" si="2"/>
        <v>DESC_TALK_ETC_YANLIANG</v>
      </c>
      <c r="E100" s="38" t="s">
        <v>632</v>
      </c>
      <c r="F100" s="38"/>
    </row>
    <row r="101" spans="1:6" ht="33" x14ac:dyDescent="0.3">
      <c r="A101" s="27" t="s">
        <v>464</v>
      </c>
      <c r="B101" s="27" t="s">
        <v>623</v>
      </c>
      <c r="C101" s="27" t="s">
        <v>449</v>
      </c>
      <c r="D101" s="27" t="str">
        <f t="shared" si="2"/>
        <v>DESC_TALK_ETC_WENCHOU</v>
      </c>
      <c r="E101" s="38" t="s">
        <v>633</v>
      </c>
      <c r="F101" s="38"/>
    </row>
    <row r="102" spans="1:6" ht="33" x14ac:dyDescent="0.3">
      <c r="A102" s="27" t="s">
        <v>464</v>
      </c>
      <c r="B102" s="27" t="s">
        <v>629</v>
      </c>
      <c r="C102" s="27" t="s">
        <v>447</v>
      </c>
      <c r="D102" s="27" t="str">
        <f t="shared" si="2"/>
        <v>DESC_TALK_WEI_XUHUANG</v>
      </c>
      <c r="E102" s="38" t="s">
        <v>634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25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94" workbookViewId="0">
      <selection activeCell="G99" sqref="G99:G100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619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620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662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724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653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 x14ac:dyDescent="0.3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594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636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650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663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637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638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640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720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591</v>
      </c>
      <c r="G64" s="3" t="s">
        <v>768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591</v>
      </c>
      <c r="G65" s="3" t="s">
        <v>769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592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641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593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639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643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734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722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591</v>
      </c>
      <c r="G73" s="3" t="s">
        <v>649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642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594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591</v>
      </c>
      <c r="G76" s="3" t="s">
        <v>652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644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595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635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596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597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591</v>
      </c>
      <c r="G82" s="3" t="s">
        <v>598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599</v>
      </c>
      <c r="G83" s="3" t="s">
        <v>824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597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645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600</v>
      </c>
      <c r="G86" s="3" t="s">
        <v>601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599</v>
      </c>
      <c r="G87" s="3" t="s">
        <v>825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599</v>
      </c>
      <c r="G88" s="3" t="s">
        <v>602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599</v>
      </c>
      <c r="G89" s="3" t="s">
        <v>603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597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599</v>
      </c>
      <c r="G91" s="3" t="s">
        <v>704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599</v>
      </c>
      <c r="G92" s="3" t="s">
        <v>604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605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599</v>
      </c>
      <c r="G94" s="3" t="s">
        <v>606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600</v>
      </c>
      <c r="G95" s="3" t="s">
        <v>723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823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600</v>
      </c>
      <c r="G97" s="3" t="s">
        <v>607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608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609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610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648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647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600</v>
      </c>
      <c r="G103" s="3" t="s">
        <v>597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646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611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600</v>
      </c>
      <c r="G106" s="3" t="s">
        <v>612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600</v>
      </c>
      <c r="G107" s="3" t="s">
        <v>613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614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600</v>
      </c>
      <c r="G109" s="3" t="s">
        <v>597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615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600</v>
      </c>
      <c r="G111" s="3" t="s">
        <v>822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616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600</v>
      </c>
      <c r="G113" s="3" t="s">
        <v>617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821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600</v>
      </c>
      <c r="G115" s="3" t="s">
        <v>820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618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600</v>
      </c>
      <c r="G117" s="3" t="s">
        <v>708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705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651</v>
      </c>
    </row>
    <row r="121" spans="1:10" x14ac:dyDescent="0.3">
      <c r="A121" t="s">
        <v>666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706</v>
      </c>
    </row>
    <row r="122" spans="1:10" ht="33" x14ac:dyDescent="0.3">
      <c r="A122" t="s">
        <v>666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591</v>
      </c>
      <c r="G122" s="3" t="s">
        <v>718</v>
      </c>
    </row>
    <row r="123" spans="1:10" ht="33" x14ac:dyDescent="0.3">
      <c r="A123" t="s">
        <v>666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703</v>
      </c>
    </row>
    <row r="124" spans="1:10" x14ac:dyDescent="0.3">
      <c r="A124" t="s">
        <v>666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715</v>
      </c>
    </row>
    <row r="125" spans="1:10" ht="33" x14ac:dyDescent="0.3">
      <c r="A125" t="s">
        <v>666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716</v>
      </c>
      <c r="J125" s="3"/>
    </row>
    <row r="126" spans="1:10" x14ac:dyDescent="0.3">
      <c r="A126" t="s">
        <v>666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591</v>
      </c>
      <c r="G126" s="3" t="s">
        <v>770</v>
      </c>
    </row>
    <row r="127" spans="1:10" x14ac:dyDescent="0.3">
      <c r="A127" t="s">
        <v>666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654</v>
      </c>
    </row>
    <row r="128" spans="1:10" x14ac:dyDescent="0.3">
      <c r="A128" t="s">
        <v>666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655</v>
      </c>
    </row>
    <row r="129" spans="1:7" ht="33" x14ac:dyDescent="0.3">
      <c r="A129" t="s">
        <v>666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721</v>
      </c>
    </row>
    <row r="130" spans="1:7" x14ac:dyDescent="0.3">
      <c r="A130" t="s">
        <v>666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710</v>
      </c>
    </row>
    <row r="131" spans="1:7" x14ac:dyDescent="0.3">
      <c r="A131" t="s">
        <v>666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656</v>
      </c>
    </row>
    <row r="132" spans="1:7" ht="33" x14ac:dyDescent="0.3">
      <c r="A132" t="s">
        <v>666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725</v>
      </c>
    </row>
    <row r="133" spans="1:7" ht="33" x14ac:dyDescent="0.3">
      <c r="A133" t="s">
        <v>666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730</v>
      </c>
    </row>
    <row r="134" spans="1:7" ht="33" x14ac:dyDescent="0.3">
      <c r="A134" t="s">
        <v>666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726</v>
      </c>
    </row>
    <row r="135" spans="1:7" x14ac:dyDescent="0.3">
      <c r="A135" t="s">
        <v>666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658</v>
      </c>
    </row>
    <row r="136" spans="1:7" x14ac:dyDescent="0.3">
      <c r="A136" t="s">
        <v>666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657</v>
      </c>
      <c r="G136" s="3" t="s">
        <v>771</v>
      </c>
    </row>
    <row r="137" spans="1:7" ht="33" x14ac:dyDescent="0.3">
      <c r="A137" t="s">
        <v>666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657</v>
      </c>
      <c r="G137" s="3" t="s">
        <v>707</v>
      </c>
    </row>
    <row r="138" spans="1:7" x14ac:dyDescent="0.3">
      <c r="A138" t="s">
        <v>666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711</v>
      </c>
    </row>
    <row r="139" spans="1:7" ht="49.5" x14ac:dyDescent="0.3">
      <c r="A139" t="s">
        <v>666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657</v>
      </c>
      <c r="G139" s="3" t="s">
        <v>727</v>
      </c>
    </row>
    <row r="140" spans="1:7" x14ac:dyDescent="0.3">
      <c r="A140" t="s">
        <v>666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657</v>
      </c>
      <c r="G140" s="3" t="s">
        <v>659</v>
      </c>
    </row>
    <row r="141" spans="1:7" x14ac:dyDescent="0.3">
      <c r="A141" t="s">
        <v>666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679</v>
      </c>
    </row>
    <row r="142" spans="1:7" x14ac:dyDescent="0.3">
      <c r="A142" t="s">
        <v>666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657</v>
      </c>
      <c r="G142" s="3" t="s">
        <v>712</v>
      </c>
    </row>
    <row r="143" spans="1:7" ht="33" x14ac:dyDescent="0.3">
      <c r="A143" t="s">
        <v>666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661</v>
      </c>
    </row>
    <row r="144" spans="1:7" x14ac:dyDescent="0.3">
      <c r="A144" t="s">
        <v>666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597</v>
      </c>
    </row>
    <row r="145" spans="1:7" ht="33" x14ac:dyDescent="0.3">
      <c r="A145" t="s">
        <v>666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660</v>
      </c>
    </row>
    <row r="146" spans="1:7" ht="33" x14ac:dyDescent="0.3">
      <c r="A146" t="s">
        <v>666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728</v>
      </c>
    </row>
    <row r="147" spans="1:7" x14ac:dyDescent="0.3">
      <c r="A147" t="s">
        <v>666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717</v>
      </c>
    </row>
    <row r="148" spans="1:7" ht="33" x14ac:dyDescent="0.3">
      <c r="A148" t="s">
        <v>666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664</v>
      </c>
    </row>
    <row r="149" spans="1:7" ht="33" x14ac:dyDescent="0.3">
      <c r="A149" t="s">
        <v>666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665</v>
      </c>
    </row>
    <row r="150" spans="1:7" ht="33" x14ac:dyDescent="0.3">
      <c r="A150" t="s">
        <v>666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731</v>
      </c>
    </row>
    <row r="151" spans="1:7" ht="33" x14ac:dyDescent="0.3">
      <c r="A151" t="s">
        <v>666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732</v>
      </c>
    </row>
    <row r="152" spans="1:7" x14ac:dyDescent="0.3">
      <c r="A152" t="s">
        <v>666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657</v>
      </c>
      <c r="G152" s="3" t="s">
        <v>713</v>
      </c>
    </row>
    <row r="153" spans="1:7" x14ac:dyDescent="0.3">
      <c r="A153" t="s">
        <v>666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591</v>
      </c>
      <c r="G153" s="3" t="s">
        <v>729</v>
      </c>
    </row>
    <row r="154" spans="1:7" x14ac:dyDescent="0.3">
      <c r="A154" t="s">
        <v>666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597</v>
      </c>
    </row>
    <row r="155" spans="1:7" ht="33" x14ac:dyDescent="0.3">
      <c r="A155" t="s">
        <v>666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719</v>
      </c>
    </row>
    <row r="156" spans="1:7" x14ac:dyDescent="0.3">
      <c r="A156" t="s">
        <v>666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667</v>
      </c>
    </row>
    <row r="157" spans="1:7" ht="33" x14ac:dyDescent="0.3">
      <c r="A157" t="s">
        <v>666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714</v>
      </c>
    </row>
    <row r="158" spans="1:7" x14ac:dyDescent="0.3">
      <c r="A158" t="s">
        <v>666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591</v>
      </c>
      <c r="G158" s="3" t="s">
        <v>668</v>
      </c>
    </row>
    <row r="159" spans="1:7" x14ac:dyDescent="0.3">
      <c r="A159" t="s">
        <v>666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669</v>
      </c>
    </row>
    <row r="161" spans="1:7" x14ac:dyDescent="0.3">
      <c r="A161" t="s">
        <v>676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591</v>
      </c>
      <c r="G161" s="3" t="s">
        <v>772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591</v>
      </c>
      <c r="G162" s="3" t="s">
        <v>670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671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str">
        <f>VLOOKUP(F164,[1]HeroData!$A$3:$B$118,2, FALSE)</f>
        <v>XiahouDun</v>
      </c>
      <c r="F164" t="s">
        <v>406</v>
      </c>
      <c r="G164" s="3" t="s">
        <v>794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str">
        <f>VLOOKUP(F165,[1]HeroData!$A$3:$B$118,2, FALSE)</f>
        <v>GuanYu</v>
      </c>
      <c r="F165" t="s">
        <v>7</v>
      </c>
      <c r="G165" s="3" t="s">
        <v>597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str">
        <f>VLOOKUP(F166,[1]HeroData!$A$3:$B$118,2, FALSE)</f>
        <v>XiahouDun</v>
      </c>
      <c r="F166" t="s">
        <v>406</v>
      </c>
      <c r="G166" s="3" t="s">
        <v>672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str">
        <f>VLOOKUP(F167,[1]HeroData!$A$3:$B$118,2, FALSE)</f>
        <v>XiahouDun</v>
      </c>
      <c r="F167" t="s">
        <v>406</v>
      </c>
      <c r="G167" s="3" t="s">
        <v>735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str">
        <f>VLOOKUP(F168,[1]HeroData!$A$3:$B$118,2, FALSE)</f>
        <v>XiahouYuan</v>
      </c>
      <c r="F168" t="s">
        <v>407</v>
      </c>
      <c r="G168" s="3" t="s">
        <v>733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str">
        <f>VLOOKUP(F169,[1]HeroData!$A$3:$B$118,2, FALSE)</f>
        <v>GuanYu</v>
      </c>
      <c r="F169" t="s">
        <v>7</v>
      </c>
      <c r="G169" s="3" t="s">
        <v>677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str">
        <f>VLOOKUP(F170,[1]HeroData!$A$3:$B$118,2, FALSE)</f>
        <v>ZhangLiao</v>
      </c>
      <c r="F170" t="s">
        <v>591</v>
      </c>
      <c r="G170" s="3" t="s">
        <v>713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str">
        <f>VLOOKUP(F171,[1]HeroData!$A$3:$B$118,2, FALSE)</f>
        <v>XiahouDun</v>
      </c>
      <c r="F171" t="s">
        <v>406</v>
      </c>
      <c r="G171" s="3" t="s">
        <v>597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736</v>
      </c>
      <c r="F173" t="s">
        <v>736</v>
      </c>
      <c r="G173" s="3" t="s">
        <v>744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736</v>
      </c>
      <c r="F174" t="s">
        <v>736</v>
      </c>
      <c r="G174" s="3" t="s">
        <v>745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736</v>
      </c>
      <c r="F175" t="s">
        <v>736</v>
      </c>
      <c r="G175" s="3" t="s">
        <v>747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str">
        <f>VLOOKUP(F176,[1]HeroData!$A$3:$B$118,2, FALSE)</f>
        <v>GuanYu</v>
      </c>
      <c r="F176" t="s">
        <v>7</v>
      </c>
      <c r="G176" s="3" t="s">
        <v>746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str">
        <f>VLOOKUP(F177,[1]HeroData!$A$3:$B$118,2, FALSE)</f>
        <v>ZhangLiao</v>
      </c>
      <c r="F177" t="s">
        <v>591</v>
      </c>
      <c r="G177" s="3" t="s">
        <v>740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str">
        <f>VLOOKUP(F178,[1]HeroData!$A$3:$B$118,2, FALSE)</f>
        <v>GuanYu</v>
      </c>
      <c r="F178" t="s">
        <v>7</v>
      </c>
      <c r="G178" s="3" t="s">
        <v>594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str">
        <f>VLOOKUP(F179,[1]HeroData!$A$3:$B$118,2, FALSE)</f>
        <v>ZhangLiao</v>
      </c>
      <c r="F179" t="s">
        <v>591</v>
      </c>
      <c r="G179" s="3" t="s">
        <v>741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742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str">
        <f>VLOOKUP(F181,[1]HeroData!$A$3:$B$118,2, FALSE)</f>
        <v>XiahouDun</v>
      </c>
      <c r="F181" t="s">
        <v>406</v>
      </c>
      <c r="G181" s="3" t="s">
        <v>795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str">
        <f>VLOOKUP(F182,[1]HeroData!$A$3:$B$118,2, FALSE)</f>
        <v>GuanYu</v>
      </c>
      <c r="F182" t="s">
        <v>7</v>
      </c>
      <c r="G182" s="3" t="s">
        <v>737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str">
        <f>VLOOKUP(F183,[1]HeroData!$A$3:$B$118,2, FALSE)</f>
        <v>XiahouDun</v>
      </c>
      <c r="F183" t="s">
        <v>406</v>
      </c>
      <c r="G183" s="3" t="s">
        <v>753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str">
        <f>VLOOKUP(F184,[1]HeroData!$A$3:$B$118,2, FALSE)</f>
        <v>ZhangLiao</v>
      </c>
      <c r="F184" t="s">
        <v>591</v>
      </c>
      <c r="G184" s="3" t="s">
        <v>738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str">
        <f>VLOOKUP(F185,[1]HeroData!$A$3:$B$118,2, FALSE)</f>
        <v>GuanYu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674</v>
      </c>
      <c r="F186" t="s">
        <v>674</v>
      </c>
      <c r="G186" s="3" t="s">
        <v>750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674</v>
      </c>
      <c r="F187" t="s">
        <v>674</v>
      </c>
      <c r="G187" s="3" t="s">
        <v>739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str">
        <f>VLOOKUP(F188,[1]HeroData!$A$3:$B$118,2, FALSE)</f>
        <v>GuanYu</v>
      </c>
      <c r="F188" t="s">
        <v>7</v>
      </c>
      <c r="G188" s="3" t="s">
        <v>594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str">
        <f>VLOOKUP(F189,[1]HeroData!$A$3:$B$118,2, FALSE)</f>
        <v>XiahouDun</v>
      </c>
      <c r="F189" t="s">
        <v>406</v>
      </c>
      <c r="G189" s="3" t="s">
        <v>597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str">
        <f>VLOOKUP(F190,[1]HeroData!$A$3:$B$118,2, FALSE)</f>
        <v>ZhangLiao</v>
      </c>
      <c r="F190" t="s">
        <v>591</v>
      </c>
      <c r="G190" s="3" t="s">
        <v>675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674</v>
      </c>
      <c r="F191" t="s">
        <v>674</v>
      </c>
      <c r="G191" s="3" t="s">
        <v>754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str">
        <f>VLOOKUP(F192,[1]HeroData!$A$3:$B$118,2, FALSE)</f>
        <v>GuanYu</v>
      </c>
      <c r="F192" t="s">
        <v>7</v>
      </c>
      <c r="G192" s="3" t="s">
        <v>748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str">
        <f>VLOOKUP(F193,[1]HeroData!$A$3:$B$118,2, FALSE)</f>
        <v>GuanYu</v>
      </c>
      <c r="F193" t="s">
        <v>7</v>
      </c>
      <c r="G193" s="3" t="s">
        <v>751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674</v>
      </c>
      <c r="F194" t="s">
        <v>674</v>
      </c>
      <c r="G194" s="3" t="s">
        <v>597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674</v>
      </c>
      <c r="F195" t="s">
        <v>674</v>
      </c>
      <c r="G195" s="3" t="s">
        <v>755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674</v>
      </c>
      <c r="F196" t="s">
        <v>674</v>
      </c>
      <c r="G196" s="3" t="s">
        <v>749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674</v>
      </c>
      <c r="F197" t="s">
        <v>674</v>
      </c>
      <c r="G197" s="3" t="s">
        <v>778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str">
        <f>VLOOKUP(F198,[1]HeroData!$A$3:$B$118,2, FALSE)</f>
        <v>GuanYu</v>
      </c>
      <c r="F198" t="s">
        <v>7</v>
      </c>
      <c r="G198" s="3" t="s">
        <v>597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str">
        <f>VLOOKUP(F199,[1]HeroData!$A$3:$B$118,2, FALSE)</f>
        <v>XiahouDun</v>
      </c>
      <c r="F199" t="s">
        <v>406</v>
      </c>
      <c r="G199" s="3" t="s">
        <v>752</v>
      </c>
    </row>
    <row r="201" spans="1:7" ht="33" x14ac:dyDescent="0.3">
      <c r="A201" t="s">
        <v>678</v>
      </c>
      <c r="B201">
        <v>0</v>
      </c>
      <c r="C201" t="str">
        <f t="shared" ref="C201:C202" si="22">CONCATENATE(A201, "_", B201, IF(D201&lt;&gt;"", "_"&amp;D201, ""))</f>
        <v>NODE_29_0</v>
      </c>
      <c r="E201" t="str">
        <f>VLOOKUP(F201,[1]HeroData!$A$3:$B$118,2, FALSE)</f>
        <v>XiahouDun</v>
      </c>
      <c r="F201" t="s">
        <v>406</v>
      </c>
      <c r="G201" s="3" t="s">
        <v>756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str">
        <f>VLOOKUP(F202,[1]HeroData!$A$3:$B$118,2, FALSE)</f>
        <v>XiahouDun</v>
      </c>
      <c r="F202" t="s">
        <v>406</v>
      </c>
      <c r="G202" s="3" t="s">
        <v>796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str">
        <f>VLOOKUP(F203,[1]HeroData!$A$3:$B$118,2, FALSE)</f>
        <v>GuanYu</v>
      </c>
      <c r="F203" t="s">
        <v>7</v>
      </c>
      <c r="G203" s="3" t="s">
        <v>597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str">
        <f>VLOOKUP(F204,[1]HeroData!$A$3:$B$118,2, FALSE)</f>
        <v>XiahouDun</v>
      </c>
      <c r="F204" t="s">
        <v>406</v>
      </c>
      <c r="G204" s="3" t="s">
        <v>784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str">
        <f>VLOOKUP(F205,[1]HeroData!$A$3:$B$118,2, FALSE)</f>
        <v>GuanYu</v>
      </c>
      <c r="F205" t="s">
        <v>7</v>
      </c>
      <c r="G205" s="3" t="s">
        <v>785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str">
        <f>VLOOKUP(F206,[1]HeroData!$A$3:$B$118,2, FALSE)</f>
        <v>XiahouDun</v>
      </c>
      <c r="F206" t="s">
        <v>406</v>
      </c>
      <c r="G206" s="3" t="s">
        <v>773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str">
        <f>VLOOKUP(F207,[1]HeroData!$A$3:$B$118,2, FALSE)</f>
        <v>XiahouYuan</v>
      </c>
      <c r="F207" t="s">
        <v>407</v>
      </c>
      <c r="G207" s="3" t="s">
        <v>757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str">
        <f>VLOOKUP(F208,[1]HeroData!$A$3:$B$118,2, FALSE)</f>
        <v>ZhangLiao</v>
      </c>
      <c r="F208" t="s">
        <v>591</v>
      </c>
      <c r="G208" s="3" t="s">
        <v>608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str">
        <f>VLOOKUP(F209,[1]HeroData!$A$3:$B$118,2, FALSE)</f>
        <v>ZhaoYun</v>
      </c>
      <c r="F209" t="s">
        <v>11</v>
      </c>
      <c r="G209" s="3" t="s">
        <v>786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str">
        <f>VLOOKUP(F210,[1]HeroData!$A$3:$B$118,2, FALSE)</f>
        <v>GuanYu</v>
      </c>
      <c r="F210" t="s">
        <v>7</v>
      </c>
      <c r="G210" s="3" t="s">
        <v>787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str">
        <f>VLOOKUP(F211,[1]HeroData!$A$3:$B$118,2, FALSE)</f>
        <v>ZhaoYun</v>
      </c>
      <c r="F211" t="s">
        <v>11</v>
      </c>
      <c r="G211" s="3" t="s">
        <v>680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str">
        <f>VLOOKUP(F212,[1]HeroData!$A$3:$B$118,2, FALSE)</f>
        <v>GuanYu</v>
      </c>
      <c r="F212" t="s">
        <v>7</v>
      </c>
      <c r="G212" s="3" t="s">
        <v>826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str">
        <f>VLOOKUP(F213,[1]HeroData!$A$3:$B$118,2, FALSE)</f>
        <v>ZhaoYun</v>
      </c>
      <c r="F213" t="s">
        <v>11</v>
      </c>
      <c r="G213" s="3" t="s">
        <v>783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str">
        <f>VLOOKUP(F214,[1]HeroData!$A$3:$B$118,2, FALSE)</f>
        <v>GuanYu</v>
      </c>
      <c r="F214" t="s">
        <v>7</v>
      </c>
      <c r="G214" s="3" t="s">
        <v>758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str">
        <f>VLOOKUP(F215,[1]HeroData!$A$3:$B$118,2, FALSE)</f>
        <v>GuanYu</v>
      </c>
      <c r="F215" t="s">
        <v>7</v>
      </c>
      <c r="G215" s="3" t="s">
        <v>759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str">
        <f>VLOOKUP(F216,[1]HeroData!$A$3:$B$118,2, FALSE)</f>
        <v>ZhaoYun</v>
      </c>
      <c r="F216" t="s">
        <v>11</v>
      </c>
      <c r="G216" s="3" t="s">
        <v>760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str">
        <f>VLOOKUP(F217,[1]HeroData!$A$3:$B$118,2, FALSE)</f>
        <v>GuanYu</v>
      </c>
      <c r="F217" t="s">
        <v>7</v>
      </c>
      <c r="G217" s="3" t="s">
        <v>788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str">
        <f>VLOOKUP(F218,[1]HeroData!$A$3:$B$118,2, FALSE)</f>
        <v>ZhaoYun</v>
      </c>
      <c r="F218" t="s">
        <v>11</v>
      </c>
      <c r="G218" s="3" t="s">
        <v>774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str">
        <f>VLOOKUP(F219,[1]HeroData!$A$3:$B$118,2, FALSE)</f>
        <v>GuanYu</v>
      </c>
      <c r="F219" t="s">
        <v>7</v>
      </c>
      <c r="G219" s="3" t="s">
        <v>789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str">
        <f>VLOOKUP(F220,[1]HeroData!$A$3:$B$118,2, FALSE)</f>
        <v>ZhaoYun</v>
      </c>
      <c r="F220" t="s">
        <v>11</v>
      </c>
      <c r="G220" s="3" t="s">
        <v>597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str">
        <f>VLOOKUP(F221,[1]HeroData!$A$3:$B$118,2, FALSE)</f>
        <v>ZhaoYun</v>
      </c>
      <c r="F221" t="s">
        <v>11</v>
      </c>
      <c r="G221" s="3" t="s">
        <v>761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str">
        <f>VLOOKUP(F222,[1]HeroData!$A$3:$B$118,2, FALSE)</f>
        <v>GuanYu</v>
      </c>
      <c r="F222" t="s">
        <v>7</v>
      </c>
      <c r="G222" s="3" t="s">
        <v>790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str">
        <f>VLOOKUP(F223,[1]HeroData!$A$3:$B$118,2, FALSE)</f>
        <v>ZhangLiao</v>
      </c>
      <c r="F223" t="s">
        <v>591</v>
      </c>
      <c r="G223" s="3" t="s">
        <v>673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str">
        <f>VLOOKUP(F224,[1]HeroData!$A$3:$B$118,2, FALSE)</f>
        <v>ZhaoYun</v>
      </c>
      <c r="F224" t="s">
        <v>11</v>
      </c>
      <c r="G224" s="3" t="s">
        <v>791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str">
        <f>VLOOKUP(F225,[1]HeroData!$A$3:$B$118,2, FALSE)</f>
        <v>GuanYu</v>
      </c>
      <c r="F225" t="s">
        <v>7</v>
      </c>
      <c r="G225" s="3" t="s">
        <v>792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str">
        <f>VLOOKUP(F226,[1]HeroData!$A$3:$B$118,2, FALSE)</f>
        <v>ZhangLiao</v>
      </c>
      <c r="F226" t="s">
        <v>591</v>
      </c>
      <c r="G226" s="3" t="s">
        <v>827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str">
        <f>VLOOKUP(F227,[1]HeroData!$A$3:$B$118,2, FALSE)</f>
        <v>GuanYu</v>
      </c>
      <c r="F227" t="s">
        <v>7</v>
      </c>
      <c r="G227" s="3" t="s">
        <v>775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str">
        <f>VLOOKUP(F228,[1]HeroData!$A$3:$B$118,2, FALSE)</f>
        <v>ZhangLiao</v>
      </c>
      <c r="F228" t="s">
        <v>591</v>
      </c>
      <c r="G228" s="3" t="s">
        <v>762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str">
        <f>VLOOKUP(F229,[1]HeroData!$A$3:$B$118,2, FALSE)</f>
        <v>GuanYu</v>
      </c>
      <c r="F229" t="s">
        <v>7</v>
      </c>
      <c r="G229" s="3" t="s">
        <v>763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str">
        <f>VLOOKUP(F230,[1]HeroData!$A$3:$B$118,2, FALSE)</f>
        <v>ZhangLiao</v>
      </c>
      <c r="F230" t="s">
        <v>591</v>
      </c>
      <c r="G230" s="3" t="s">
        <v>764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str">
        <f>VLOOKUP(F231,[1]HeroData!$A$3:$B$118,2, FALSE)</f>
        <v>ZhangLiao</v>
      </c>
      <c r="F231" t="s">
        <v>591</v>
      </c>
      <c r="G231" s="3" t="s">
        <v>765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str">
        <f>VLOOKUP(F232,[1]HeroData!$A$3:$B$118,2, FALSE)</f>
        <v>GuanYu</v>
      </c>
      <c r="F232" t="s">
        <v>7</v>
      </c>
      <c r="G232" s="3" t="s">
        <v>766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str">
        <f>VLOOKUP(F234,[1]HeroData!$A$3:$B$118,2, FALSE)</f>
        <v>GuanYu</v>
      </c>
      <c r="F234" t="s">
        <v>7</v>
      </c>
      <c r="G234" s="3" t="s">
        <v>597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str">
        <f>VLOOKUP(F235,[1]HeroData!$A$3:$B$118,2, FALSE)</f>
        <v>GuanYu</v>
      </c>
      <c r="F235" t="s">
        <v>7</v>
      </c>
      <c r="G235" s="3" t="s">
        <v>828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str">
        <f>VLOOKUP(F236,[1]HeroData!$A$3:$B$118,2, FALSE)</f>
        <v>GuanYu</v>
      </c>
      <c r="F236" t="s">
        <v>7</v>
      </c>
      <c r="G236" s="3" t="s">
        <v>767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str">
        <f>VLOOKUP(F237,[1]HeroData!$A$3:$B$118,2, FALSE)</f>
        <v>XiahouDun</v>
      </c>
      <c r="F237" t="s">
        <v>406</v>
      </c>
      <c r="G237" s="3" t="s">
        <v>793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str">
        <f>VLOOKUP(F238,[1]HeroData!$A$3:$B$118,2, FALSE)</f>
        <v>GuanYu</v>
      </c>
      <c r="F238" t="s">
        <v>7</v>
      </c>
      <c r="G238" s="3" t="s">
        <v>819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str">
        <f>VLOOKUP(F239,[1]HeroData!$A$3:$B$118,2, FALSE)</f>
        <v>XiahouDun</v>
      </c>
      <c r="F239" t="s">
        <v>406</v>
      </c>
      <c r="G239" s="3" t="s">
        <v>811</v>
      </c>
    </row>
    <row r="241" spans="1:7" x14ac:dyDescent="0.3">
      <c r="A241" t="s">
        <v>692</v>
      </c>
      <c r="B241">
        <v>0</v>
      </c>
      <c r="C241" t="str">
        <f>CONCATENATE(A241, "_", B241, IF(D241&lt;&gt;"", "_"&amp;D241, ""))</f>
        <v>NODE_31_0</v>
      </c>
      <c r="E241" t="str">
        <f>VLOOKUP(F241,[1]HeroData!$A$3:$B$118,2, FALSE)</f>
        <v>CaoRen</v>
      </c>
      <c r="F241" t="s">
        <v>403</v>
      </c>
      <c r="G241" s="3" t="s">
        <v>804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str">
        <f>VLOOKUP(F242,[1]HeroData!$A$3:$B$118,2, FALSE)</f>
        <v>CaoRen</v>
      </c>
      <c r="F242" t="s">
        <v>403</v>
      </c>
      <c r="G242" s="3" t="s">
        <v>805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str">
        <f>VLOOKUP(F243,[1]HeroData!$A$3:$B$118,2, FALSE)</f>
        <v>ZhangFei</v>
      </c>
      <c r="F243" t="s">
        <v>9</v>
      </c>
      <c r="G243" s="3" t="s">
        <v>806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str">
        <f>VLOOKUP(F244,[1]HeroData!$A$3:$B$118,2, FALSE)</f>
        <v>CaoCao</v>
      </c>
      <c r="F244" t="s">
        <v>51</v>
      </c>
      <c r="G244" s="3" t="s">
        <v>798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str">
        <f>VLOOKUP(F245,[1]HeroData!$A$3:$B$118,2, FALSE)</f>
        <v>ZhangFei</v>
      </c>
      <c r="F245" t="s">
        <v>9</v>
      </c>
      <c r="G245" s="3" t="s">
        <v>799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str">
        <f>VLOOKUP(F246,[1]HeroData!$A$3:$B$118,2, FALSE)</f>
        <v>CaoCao</v>
      </c>
      <c r="F246" t="s">
        <v>51</v>
      </c>
      <c r="G246" s="3" t="s">
        <v>776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str">
        <f>VLOOKUP(F247,[1]HeroData!$A$3:$B$118,2, FALSE)</f>
        <v>ZhangFei</v>
      </c>
      <c r="F247" t="s">
        <v>9</v>
      </c>
      <c r="G247" s="3" t="s">
        <v>838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str">
        <f>VLOOKUP(F248,[1]HeroData!$A$3:$B$118,2, FALSE)</f>
        <v>CaoCao</v>
      </c>
      <c r="F248" t="s">
        <v>51</v>
      </c>
      <c r="G248" s="3" t="s">
        <v>674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str">
        <f>VLOOKUP(F249,[1]HeroData!$A$3:$B$118,2, FALSE)</f>
        <v>ZhangFei</v>
      </c>
      <c r="F249" t="s">
        <v>9</v>
      </c>
      <c r="G249" s="39" t="s">
        <v>841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str">
        <f>VLOOKUP(F250,[1]HeroData!$A$3:$B$118,2, FALSE)</f>
        <v>CaoCao</v>
      </c>
      <c r="F250" t="s">
        <v>51</v>
      </c>
      <c r="G250" s="3" t="s">
        <v>840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str">
        <f>VLOOKUP(F251,[1]HeroData!$A$3:$B$118,2, FALSE)</f>
        <v>ZhangFei</v>
      </c>
      <c r="F251" t="s">
        <v>9</v>
      </c>
      <c r="G251" s="3" t="s">
        <v>837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str">
        <f>VLOOKUP(F252,[1]HeroData!$A$3:$B$118,2, FALSE)</f>
        <v>CaoCao</v>
      </c>
      <c r="F252" t="s">
        <v>51</v>
      </c>
      <c r="G252" s="3" t="s">
        <v>836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str">
        <f>VLOOKUP(F253,[1]HeroData!$A$3:$B$118,2, FALSE)</f>
        <v>ZhangFei</v>
      </c>
      <c r="F253" t="s">
        <v>9</v>
      </c>
      <c r="G253" s="3" t="s">
        <v>786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str">
        <f>VLOOKUP(F254,[1]HeroData!$A$3:$B$118,2, FALSE)</f>
        <v>CaoCao</v>
      </c>
      <c r="F254" t="s">
        <v>51</v>
      </c>
      <c r="G254" s="3" t="s">
        <v>797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str">
        <f>VLOOKUP(F255,[1]HeroData!$A$3:$B$118,2, FALSE)</f>
        <v>GuanYu</v>
      </c>
      <c r="F255" t="s">
        <v>7</v>
      </c>
      <c r="G255" s="3" t="s">
        <v>809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str">
        <f>VLOOKUP(F256,[1]HeroData!$A$3:$B$118,2, FALSE)</f>
        <v>CaoCao</v>
      </c>
      <c r="F256" t="s">
        <v>51</v>
      </c>
      <c r="G256" s="3" t="s">
        <v>674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str">
        <f>VLOOKUP(F257,[1]HeroData!$A$3:$B$118,2, FALSE)</f>
        <v>ZhangLiao</v>
      </c>
      <c r="F257" t="s">
        <v>591</v>
      </c>
      <c r="G257" s="3" t="s">
        <v>810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str">
        <f>VLOOKUP(F258,[1]HeroData!$A$3:$B$118,2, FALSE)</f>
        <v>CaoCao</v>
      </c>
      <c r="F258" t="s">
        <v>51</v>
      </c>
      <c r="G258" s="3" t="s">
        <v>807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str">
        <f>VLOOKUP(F259,[1]HeroData!$A$3:$B$118,2, FALSE)</f>
        <v>ZhangFei</v>
      </c>
      <c r="F259" t="s">
        <v>9</v>
      </c>
      <c r="G259" s="3" t="s">
        <v>800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str">
        <f>VLOOKUP(F260,[1]HeroData!$A$3:$B$118,2, FALSE)</f>
        <v>GuanYu</v>
      </c>
      <c r="F260" t="s">
        <v>7</v>
      </c>
      <c r="G260" s="3" t="s">
        <v>839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str">
        <f>VLOOKUP(F261,[1]HeroData!$A$3:$B$118,2, FALSE)</f>
        <v>ZhangFei</v>
      </c>
      <c r="F261" t="s">
        <v>9</v>
      </c>
      <c r="G261" s="3" t="s">
        <v>801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str">
        <f>VLOOKUP(F262,[1]HeroData!$A$3:$B$118,2, FALSE)</f>
        <v>ZhangFei</v>
      </c>
      <c r="F262" t="s">
        <v>9</v>
      </c>
      <c r="G262" s="3" t="s">
        <v>802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str">
        <f>VLOOKUP(F263,[1]HeroData!$A$3:$B$118,2, FALSE)</f>
        <v>GuanYu</v>
      </c>
      <c r="F263" t="s">
        <v>7</v>
      </c>
      <c r="G263" s="3" t="s">
        <v>681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str">
        <f>VLOOKUP(F264,[1]HeroData!$A$3:$B$118,2, FALSE)</f>
        <v>ZhangFei</v>
      </c>
      <c r="F264" t="s">
        <v>9</v>
      </c>
      <c r="G264" s="3" t="s">
        <v>808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str">
        <f>VLOOKUP(F265,[1]HeroData!$A$3:$B$118,2, FALSE)</f>
        <v>GuanYu</v>
      </c>
      <c r="F265" t="s">
        <v>7</v>
      </c>
      <c r="G265" s="3" t="s">
        <v>845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  <c r="E266" t="e">
        <f>VLOOKUP(F266,[1]HeroData!$A$3:$B$118,2, FALSE)</f>
        <v>#N/A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str">
        <f>VLOOKUP(F267,[1]HeroData!$A$3:$B$118,2, FALSE)</f>
        <v>ZhangFei</v>
      </c>
      <c r="F267" t="s">
        <v>9</v>
      </c>
      <c r="G267" s="3" t="s">
        <v>674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str">
        <f>VLOOKUP(F268,[1]HeroData!$A$3:$B$118,2, FALSE)</f>
        <v>ZhangFei</v>
      </c>
      <c r="F268" t="s">
        <v>9</v>
      </c>
      <c r="G268" s="3" t="s">
        <v>682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str">
        <f>VLOOKUP(F269,[1]HeroData!$A$3:$B$118,2, FALSE)</f>
        <v>GuanYu</v>
      </c>
      <c r="F269" t="s">
        <v>7</v>
      </c>
      <c r="G269" s="3" t="s">
        <v>780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str">
        <f>VLOOKUP(F270,[1]HeroData!$A$3:$B$118,2, FALSE)</f>
        <v>GuanYu</v>
      </c>
      <c r="F270" t="s">
        <v>7</v>
      </c>
      <c r="G270" s="3" t="s">
        <v>844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str">
        <f>VLOOKUP(F271,[1]HeroData!$A$3:$B$118,2, FALSE)</f>
        <v>ZhangFei</v>
      </c>
      <c r="F271" t="s">
        <v>9</v>
      </c>
      <c r="G271" s="3" t="s">
        <v>777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str">
        <f>VLOOKUP(F272,[1]HeroData!$A$3:$B$118,2, FALSE)</f>
        <v>GuanYu</v>
      </c>
      <c r="F272" t="s">
        <v>7</v>
      </c>
      <c r="G272" s="3" t="s">
        <v>781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str">
        <f>VLOOKUP(F273,[1]HeroData!$A$3:$B$118,2, FALSE)</f>
        <v>ZhangFei</v>
      </c>
      <c r="F273" t="s">
        <v>9</v>
      </c>
      <c r="G273" s="3" t="s">
        <v>683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str">
        <f>VLOOKUP(F274,[1]HeroData!$A$3:$B$118,2, FALSE)</f>
        <v>GuanYu</v>
      </c>
      <c r="F274" t="s">
        <v>7</v>
      </c>
      <c r="G274" s="3" t="s">
        <v>843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str">
        <f>VLOOKUP(F275,[1]HeroData!$A$3:$B$118,2, FALSE)</f>
        <v>ZhangFei</v>
      </c>
      <c r="F275" t="s">
        <v>9</v>
      </c>
      <c r="G275" s="3" t="s">
        <v>684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str">
        <f>VLOOKUP(F276,[1]HeroData!$A$3:$B$118,2, FALSE)</f>
        <v>GuanYu</v>
      </c>
      <c r="F276" t="s">
        <v>7</v>
      </c>
      <c r="G276" s="3" t="s">
        <v>779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str">
        <f>VLOOKUP(F277,[1]HeroData!$A$3:$B$118,2, FALSE)</f>
        <v>GuanYu</v>
      </c>
      <c r="F277" t="s">
        <v>7</v>
      </c>
      <c r="G277" s="3" t="s">
        <v>782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str">
        <f>VLOOKUP(F278,[1]HeroData!$A$3:$B$118,2, FALSE)</f>
        <v>ZhangFei</v>
      </c>
      <c r="F278" t="s">
        <v>9</v>
      </c>
      <c r="G278" s="3" t="s">
        <v>685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str">
        <f>VLOOKUP(F279,[1]HeroData!$A$3:$B$118,2, FALSE)</f>
        <v>GuanYu</v>
      </c>
      <c r="F279" t="s">
        <v>7</v>
      </c>
      <c r="G279" s="3" t="s">
        <v>709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str">
        <f>VLOOKUP(F280,[1]HeroData!$A$3:$B$118,2, FALSE)</f>
        <v>ZhangFei</v>
      </c>
      <c r="F280" t="s">
        <v>9</v>
      </c>
      <c r="G280" s="3" t="s">
        <v>835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str">
        <f>VLOOKUP(F281,[1]HeroData!$A$3:$B$118,2, FALSE)</f>
        <v>GuanYu</v>
      </c>
      <c r="F281" t="s">
        <v>7</v>
      </c>
      <c r="G281" s="3" t="s">
        <v>812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str">
        <f>VLOOKUP(F282,[1]HeroData!$A$3:$B$118,2, FALSE)</f>
        <v>FanJiang</v>
      </c>
      <c r="F282" t="s">
        <v>690</v>
      </c>
      <c r="G282" s="3" t="s">
        <v>833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str">
        <f>VLOOKUP(F283,[1]HeroData!$A$3:$B$118,2, FALSE)</f>
        <v>ZhangFei</v>
      </c>
      <c r="F283" t="s">
        <v>9</v>
      </c>
      <c r="G283" s="3" t="s">
        <v>594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str">
        <f>VLOOKUP(F284,[1]HeroData!$A$3:$B$118,2, FALSE)</f>
        <v>FanJiang</v>
      </c>
      <c r="F284" t="s">
        <v>690</v>
      </c>
      <c r="G284" s="3" t="s">
        <v>817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str">
        <f>VLOOKUP(F285,[1]HeroData!$A$3:$B$118,2, FALSE)</f>
        <v>ZhangDa</v>
      </c>
      <c r="F285" t="s">
        <v>691</v>
      </c>
      <c r="G285" s="3" t="s">
        <v>834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str">
        <f>VLOOKUP(F286,[1]HeroData!$A$3:$B$118,2, FALSE)</f>
        <v>ZhangDa</v>
      </c>
      <c r="F286" t="s">
        <v>691</v>
      </c>
      <c r="G286" s="3" t="s">
        <v>818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str">
        <f>VLOOKUP(F287,[1]HeroData!$A$3:$B$118,2, FALSE)</f>
        <v>ZhangFei</v>
      </c>
      <c r="F287" t="s">
        <v>9</v>
      </c>
      <c r="G287" s="3" t="s">
        <v>813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str">
        <f>VLOOKUP(F288,[1]HeroData!$A$3:$B$118,2, FALSE)</f>
        <v>GuanYu</v>
      </c>
      <c r="F288" t="s">
        <v>7</v>
      </c>
      <c r="G288" s="3" t="s">
        <v>814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str">
        <f>VLOOKUP(F289,[1]HeroData!$A$3:$B$118,2, FALSE)</f>
        <v>GuanYu</v>
      </c>
      <c r="F289" t="s">
        <v>7</v>
      </c>
      <c r="G289" s="3" t="s">
        <v>815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str">
        <f>VLOOKUP(F290,[1]HeroData!$A$3:$B$118,2, FALSE)</f>
        <v>GuanYu</v>
      </c>
      <c r="F290" t="s">
        <v>7</v>
      </c>
      <c r="G290" s="3" t="s">
        <v>816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str">
        <f>VLOOKUP(F291,[1]HeroData!$A$3:$B$118,2, FALSE)</f>
        <v>ZhaoYun</v>
      </c>
      <c r="F291" t="s">
        <v>11</v>
      </c>
      <c r="G291" s="3" t="s">
        <v>686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str">
        <f>VLOOKUP(F292,[1]HeroData!$A$3:$B$118,2, FALSE)</f>
        <v>ZhaoYun</v>
      </c>
      <c r="F292" t="s">
        <v>11</v>
      </c>
      <c r="G292" s="3" t="s">
        <v>829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str">
        <f>VLOOKUP(F293,[1]HeroData!$A$3:$B$118,2, FALSE)</f>
        <v>ZhaoYun</v>
      </c>
      <c r="F293" t="s">
        <v>11</v>
      </c>
      <c r="G293" s="3" t="s">
        <v>830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str">
        <f>VLOOKUP(F294,[1]HeroData!$A$3:$B$118,2, FALSE)</f>
        <v>LiuBei</v>
      </c>
      <c r="F294" t="s">
        <v>5</v>
      </c>
      <c r="G294" s="3" t="s">
        <v>687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str">
        <f>VLOOKUP(F295,[1]HeroData!$A$3:$B$118,2, FALSE)</f>
        <v>LiuBei</v>
      </c>
      <c r="F295" t="s">
        <v>5</v>
      </c>
      <c r="G295" s="3" t="s">
        <v>803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str">
        <f>VLOOKUP(F296,[1]HeroData!$A$3:$B$118,2, FALSE)</f>
        <v>LiuBei</v>
      </c>
      <c r="F296" t="s">
        <v>5</v>
      </c>
      <c r="G296" s="3" t="s">
        <v>831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str">
        <f>VLOOKUP(F297,[1]HeroData!$A$3:$B$118,2, FALSE)</f>
        <v>LiuBei</v>
      </c>
      <c r="F297" t="s">
        <v>5</v>
      </c>
      <c r="G297" s="3" t="s">
        <v>832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str">
        <f>VLOOKUP(F298,[1]HeroData!$A$3:$B$118,2, FALSE)</f>
        <v>LiuBei</v>
      </c>
      <c r="F298" t="s">
        <v>5</v>
      </c>
      <c r="G298" s="3" t="s">
        <v>688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str">
        <f>VLOOKUP(F299,[1]HeroData!$A$3:$B$118,2, FALSE)</f>
        <v>LiuBei</v>
      </c>
      <c r="F299" t="s">
        <v>5</v>
      </c>
      <c r="G299" s="3" t="s">
        <v>689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str">
        <f>VLOOKUP(F300,[1]HeroData!$A$3:$B$118,2, FALSE)</f>
        <v>LiuBei</v>
      </c>
      <c r="F300" t="s">
        <v>5</v>
      </c>
      <c r="G300" s="3" t="s">
        <v>842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abSelected="1"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694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695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696</v>
      </c>
      <c r="F36" s="21"/>
    </row>
    <row r="37" spans="1:6" x14ac:dyDescent="0.3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 x14ac:dyDescent="0.3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 x14ac:dyDescent="0.3">
      <c r="A40" s="21" t="s">
        <v>364</v>
      </c>
      <c r="B40" s="19" t="s">
        <v>693</v>
      </c>
      <c r="C40" s="19"/>
      <c r="D40" s="20" t="str">
        <f t="shared" si="2"/>
        <v>NODE_31_TITLE</v>
      </c>
      <c r="E40" s="28" t="s">
        <v>697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698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699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743</v>
      </c>
      <c r="F74" s="21"/>
    </row>
    <row r="75" spans="1:7" x14ac:dyDescent="0.3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 x14ac:dyDescent="0.3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 x14ac:dyDescent="0.3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 x14ac:dyDescent="0.3">
      <c r="A78" s="27" t="s">
        <v>369</v>
      </c>
      <c r="B78" s="19" t="s">
        <v>693</v>
      </c>
      <c r="C78" s="19"/>
      <c r="D78" s="20" t="str">
        <f>UPPER(B78)&amp;"_DESC"</f>
        <v>NODE_31_DESC</v>
      </c>
      <c r="E78" s="33" t="s">
        <v>700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609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610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846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847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2026-07-27T12:20:20Z</dcterms:modified>
</cp:coreProperties>
</file>