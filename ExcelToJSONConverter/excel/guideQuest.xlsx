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0585ABF-8BED-41F6-9E3F-C42A7D4D99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1" r:id="rId1"/>
    <sheet name="s_quest_reward" sheetId="8" r:id="rId2"/>
    <sheet name="s_quest" sheetId="6" r:id="rId3"/>
    <sheet name="s_guide_quest" sheetId="3" r:id="rId4"/>
    <sheet name="s_guide_quest_repea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B5" i="8"/>
  <c r="B4" i="8"/>
  <c r="B3" i="8"/>
  <c r="B12" i="8"/>
  <c r="E11" i="8"/>
  <c r="E10" i="8"/>
  <c r="E9" i="8"/>
  <c r="E8" i="8"/>
  <c r="E7" i="8"/>
  <c r="E6" i="8"/>
  <c r="E5" i="8"/>
  <c r="E4" i="8"/>
  <c r="E3" i="8"/>
  <c r="E12" i="8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8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G9" i="3"/>
  <c r="G8" i="3"/>
  <c r="G7" i="3"/>
  <c r="G6" i="3"/>
  <c r="G5" i="3"/>
  <c r="G4" i="3"/>
  <c r="G3" i="3"/>
  <c r="E3" i="1"/>
  <c r="E4" i="1" s="1"/>
  <c r="E5" i="1" s="1"/>
  <c r="E6" i="1" s="1"/>
  <c r="E7" i="1" s="1"/>
  <c r="E8" i="1" s="1"/>
  <c r="E9" i="1" s="1"/>
  <c r="E10" i="1" s="1"/>
  <c r="H10" i="5"/>
  <c r="H9" i="5"/>
  <c r="H8" i="5"/>
  <c r="H7" i="5"/>
  <c r="H6" i="5"/>
  <c r="H5" i="5"/>
  <c r="H4" i="5"/>
  <c r="H3" i="5"/>
  <c r="H11" i="5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<sst xmlns="http://schemas.openxmlformats.org/spreadsheetml/2006/main" count="256" uniqueCount="82">
  <si>
    <t>string</t>
    <phoneticPr fontId="1" type="noConversion"/>
  </si>
  <si>
    <t>key</t>
    <phoneticPr fontId="1" type="noConversion"/>
  </si>
  <si>
    <t>int</t>
    <phoneticPr fontId="1" type="noConversion"/>
  </si>
  <si>
    <t>#key</t>
    <phoneticPr fontId="1" type="noConversion"/>
  </si>
  <si>
    <t>start_stage</t>
    <phoneticPr fontId="1" type="noConversion"/>
  </si>
  <si>
    <t>target_value</t>
    <phoneticPr fontId="1" type="noConversion"/>
  </si>
  <si>
    <t>navigation</t>
    <phoneticPr fontId="1" type="noConversion"/>
  </si>
  <si>
    <t>reward_item</t>
    <phoneticPr fontId="1" type="noConversion"/>
  </si>
  <si>
    <t>reward_count</t>
    <phoneticPr fontId="1" type="noConversion"/>
  </si>
  <si>
    <t>#reward</t>
    <phoneticPr fontId="1" type="noConversion"/>
  </si>
  <si>
    <t>rice</t>
  </si>
  <si>
    <t>gold</t>
  </si>
  <si>
    <t>time_stone</t>
  </si>
  <si>
    <t>bundle_normal</t>
  </si>
  <si>
    <t>bundle_elite</t>
  </si>
  <si>
    <t>bundle_general</t>
  </si>
  <si>
    <t>bundle_hero</t>
  </si>
  <si>
    <t>bundle_legend</t>
  </si>
  <si>
    <t>public_soul_stone</t>
  </si>
  <si>
    <t>class_soul_stone</t>
  </si>
  <si>
    <t>dedicated_soul_stone</t>
  </si>
  <si>
    <t>class_soul_stone_random_box</t>
  </si>
  <si>
    <t>dedicated_soul_stone_random_box</t>
  </si>
  <si>
    <t>treasure</t>
  </si>
  <si>
    <t>treasure_piece</t>
  </si>
  <si>
    <t>treasure_piece_random_box</t>
  </si>
  <si>
    <t>normal_gatcha_ticket</t>
  </si>
  <si>
    <t>rare_gatcha_ticket</t>
  </si>
  <si>
    <t>DAILY_DUNGEON_PLAY</t>
  </si>
  <si>
    <t>character</t>
  </si>
  <si>
    <t>castle</t>
  </si>
  <si>
    <t>dungeon</t>
  </si>
  <si>
    <t>shop</t>
  </si>
  <si>
    <t>gacha</t>
  </si>
  <si>
    <t>story</t>
  </si>
  <si>
    <t>raid</t>
  </si>
  <si>
    <t>profile</t>
  </si>
  <si>
    <t>tournament</t>
  </si>
  <si>
    <t>#navigation</t>
    <phoneticPr fontId="1" type="noConversion"/>
  </si>
  <si>
    <t>1-1</t>
    <phoneticPr fontId="1" type="noConversion"/>
  </si>
  <si>
    <t>1-2</t>
    <phoneticPr fontId="1" type="noConversion"/>
  </si>
  <si>
    <t>castle,office,2</t>
  </si>
  <si>
    <t>story</t>
    <phoneticPr fontId="1" type="noConversion"/>
  </si>
  <si>
    <t>character</t>
    <phoneticPr fontId="1" type="noConversion"/>
  </si>
  <si>
    <t>TOURNAMENT</t>
    <phoneticPr fontId="1" type="noConversion"/>
  </si>
  <si>
    <t>RAID</t>
    <phoneticPr fontId="1" type="noConversion"/>
  </si>
  <si>
    <t>GACHA</t>
    <phoneticPr fontId="1" type="noConversion"/>
  </si>
  <si>
    <t>CASTLE</t>
    <phoneticPr fontId="1" type="noConversion"/>
  </si>
  <si>
    <t>gold</t>
    <phoneticPr fontId="1" type="noConversion"/>
  </si>
  <si>
    <t>open_guide_quest</t>
  </si>
  <si>
    <t>1-3</t>
    <phoneticPr fontId="1" type="noConversion"/>
  </si>
  <si>
    <t>enemy_kill</t>
  </si>
  <si>
    <t>tournament_play</t>
  </si>
  <si>
    <t>raid_play</t>
  </si>
  <si>
    <t>gacha_progress</t>
  </si>
  <si>
    <t>farm_rice_earn</t>
  </si>
  <si>
    <t>market_gold_earn</t>
  </si>
  <si>
    <t>office_mission_progress</t>
  </si>
  <si>
    <t>daily_dungeon_play</t>
  </si>
  <si>
    <t>stage_boss_kill</t>
  </si>
  <si>
    <t>move</t>
  </si>
  <si>
    <t>normal_attack</t>
  </si>
  <si>
    <t>main_skill_use</t>
  </si>
  <si>
    <t>dash_use</t>
    <phoneticPr fontId="1" type="noConversion"/>
  </si>
  <si>
    <t>storymode_play</t>
  </si>
  <si>
    <t>character_deploy</t>
  </si>
  <si>
    <t>reward_item_key</t>
    <phoneticPr fontId="1" type="noConversion"/>
  </si>
  <si>
    <t>type</t>
    <phoneticPr fontId="1" type="noConversion"/>
  </si>
  <si>
    <t>login</t>
  </si>
  <si>
    <t>gacha_proceed</t>
  </si>
  <si>
    <t>rice_claim</t>
  </si>
  <si>
    <t>gole_claim</t>
  </si>
  <si>
    <t>office_dispatch</t>
  </si>
  <si>
    <t>ads_watch</t>
  </si>
  <si>
    <t>item_buy</t>
  </si>
  <si>
    <t>item_use</t>
  </si>
  <si>
    <t>daily</t>
  </si>
  <si>
    <t>weekly</t>
  </si>
  <si>
    <t>#reward_item_key</t>
    <phoneticPr fontId="1" type="noConversion"/>
  </si>
  <si>
    <t>daily</t>
    <phoneticPr fontId="1" type="noConversion"/>
  </si>
  <si>
    <t>weekly</t>
    <phoneticPr fontId="1" type="noConversion"/>
  </si>
  <si>
    <t>#type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</si>
</sst>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4"/>
  <sheetViews>
    <sheetView workbookViewId="0">
      <selection activeCell="D22" sqref="D22"/>
    </sheetView>
  </sheetViews>
  <sheetFormatPr defaultRowHeight="16.5" x14ac:dyDescent="0.3"/>
  <cols>
    <col min="1" max="1" width="35.5" bestFit="1" customWidth="1"/>
    <col min="4" max="4" width="11.625" bestFit="1" customWidth="1"/>
  </cols>
  <sheetData>
    <row r="2" spans="1:5" x14ac:dyDescent="0.3">
      <c r="A2" t="s">
        <v>11</v>
      </c>
      <c r="B2">
        <v>1</v>
      </c>
      <c r="D2" t="s">
        <v>29</v>
      </c>
      <c r="E2">
        <v>0</v>
      </c>
    </row>
    <row r="3" spans="1:5" x14ac:dyDescent="0.3">
      <c r="A3" t="s">
        <v>10</v>
      </c>
      <c r="B3">
        <f t="shared" ref="B3:B18" si="0">B2+1</f>
        <v>2</v>
      </c>
      <c r="D3" t="s">
        <v>30</v>
      </c>
      <c r="E3">
        <f t="shared" ref="E3:E9" si="1">E2+1</f>
        <v>1</v>
      </c>
    </row>
    <row r="4" spans="1:5" x14ac:dyDescent="0.3">
      <c r="A4" t="s">
        <v>12</v>
      </c>
      <c r="B4">
        <f t="shared" si="0"/>
        <v>3</v>
      </c>
      <c r="D4" t="s">
        <v>31</v>
      </c>
      <c r="E4">
        <f t="shared" si="1"/>
        <v>2</v>
      </c>
    </row>
    <row r="5" spans="1:5" x14ac:dyDescent="0.3">
      <c r="A5" t="s">
        <v>13</v>
      </c>
      <c r="B5">
        <f t="shared" si="0"/>
        <v>4</v>
      </c>
      <c r="D5" t="s">
        <v>32</v>
      </c>
      <c r="E5">
        <f t="shared" si="1"/>
        <v>3</v>
      </c>
    </row>
    <row r="6" spans="1:5" x14ac:dyDescent="0.3">
      <c r="A6" t="s">
        <v>14</v>
      </c>
      <c r="B6">
        <f t="shared" si="0"/>
        <v>5</v>
      </c>
      <c r="D6" t="s">
        <v>33</v>
      </c>
      <c r="E6">
        <f t="shared" si="1"/>
        <v>4</v>
      </c>
    </row>
    <row r="7" spans="1:5" x14ac:dyDescent="0.3">
      <c r="A7" t="s">
        <v>15</v>
      </c>
      <c r="B7">
        <f t="shared" si="0"/>
        <v>6</v>
      </c>
      <c r="D7" t="s">
        <v>34</v>
      </c>
      <c r="E7">
        <f t="shared" si="1"/>
        <v>5</v>
      </c>
    </row>
    <row r="8" spans="1:5" x14ac:dyDescent="0.3">
      <c r="A8" t="s">
        <v>16</v>
      </c>
      <c r="B8">
        <f t="shared" si="0"/>
        <v>7</v>
      </c>
      <c r="D8" t="s">
        <v>35</v>
      </c>
      <c r="E8">
        <f t="shared" si="1"/>
        <v>6</v>
      </c>
    </row>
    <row r="9" spans="1:5" x14ac:dyDescent="0.3">
      <c r="A9" t="s">
        <v>17</v>
      </c>
      <c r="B9">
        <f t="shared" si="0"/>
        <v>8</v>
      </c>
      <c r="D9" t="s">
        <v>36</v>
      </c>
      <c r="E9">
        <f t="shared" si="1"/>
        <v>7</v>
      </c>
    </row>
    <row r="10" spans="1:5" x14ac:dyDescent="0.3">
      <c r="A10" t="s">
        <v>18</v>
      </c>
      <c r="B10">
        <f t="shared" si="0"/>
        <v>9</v>
      </c>
      <c r="D10" t="s">
        <v>37</v>
      </c>
      <c r="E10">
        <f t="shared" ref="E10" si="2">E9+1</f>
        <v>8</v>
      </c>
    </row>
    <row r="11" spans="1:5" x14ac:dyDescent="0.3">
      <c r="A11" t="s">
        <v>19</v>
      </c>
      <c r="B11">
        <f t="shared" si="0"/>
        <v>10</v>
      </c>
    </row>
    <row r="12" spans="1:5" x14ac:dyDescent="0.3">
      <c r="A12" t="s">
        <v>20</v>
      </c>
      <c r="B12">
        <f t="shared" si="0"/>
        <v>11</v>
      </c>
    </row>
    <row r="13" spans="1:5" x14ac:dyDescent="0.3">
      <c r="A13" t="s">
        <v>21</v>
      </c>
      <c r="B13">
        <f t="shared" si="0"/>
        <v>12</v>
      </c>
    </row>
    <row r="14" spans="1:5" x14ac:dyDescent="0.3">
      <c r="A14" t="s">
        <v>22</v>
      </c>
      <c r="B14">
        <f t="shared" si="0"/>
        <v>13</v>
      </c>
    </row>
    <row r="15" spans="1:5" x14ac:dyDescent="0.3">
      <c r="A15" t="s">
        <v>23</v>
      </c>
      <c r="B15">
        <f t="shared" si="0"/>
        <v>14</v>
      </c>
    </row>
    <row r="16" spans="1:5" x14ac:dyDescent="0.3">
      <c r="A16" t="s">
        <v>24</v>
      </c>
      <c r="B16">
        <f t="shared" si="0"/>
        <v>15</v>
      </c>
    </row>
    <row r="17" spans="1:5" x14ac:dyDescent="0.3">
      <c r="A17" t="s">
        <v>25</v>
      </c>
      <c r="B17">
        <f t="shared" si="0"/>
        <v>16</v>
      </c>
    </row>
    <row r="18" spans="1:5" x14ac:dyDescent="0.3">
      <c r="A18" t="s">
        <v>26</v>
      </c>
      <c r="B18">
        <f t="shared" si="0"/>
        <v>17</v>
      </c>
    </row>
    <row r="19" spans="1:5" x14ac:dyDescent="0.3">
      <c r="A19" t="s">
        <v>27</v>
      </c>
      <c r="B19">
        <f>B18+1</f>
        <v>18</v>
      </c>
    </row>
    <row r="21" spans="1:5" ht="17.25" thickBot="1" x14ac:dyDescent="0.35"/>
    <row r="22" spans="1:5" ht="17.25" thickBot="1" x14ac:dyDescent="0.35">
      <c r="A22" s="10" t="s">
        <v>68</v>
      </c>
      <c r="B22" s="10">
        <v>0</v>
      </c>
      <c r="D22" t="s">
        <v>79</v>
      </c>
      <c r="E22">
        <v>0</v>
      </c>
    </row>
    <row r="23" spans="1:5" ht="17.25" thickBot="1" x14ac:dyDescent="0.35">
      <c r="A23" s="10" t="s">
        <v>51</v>
      </c>
      <c r="B23" s="10">
        <v>1</v>
      </c>
      <c r="D23" t="s">
        <v>80</v>
      </c>
      <c r="E23">
        <v>1</v>
      </c>
    </row>
    <row r="24" spans="1:5" ht="17.25" thickBot="1" x14ac:dyDescent="0.35">
      <c r="A24" s="10" t="s">
        <v>52</v>
      </c>
      <c r="B24" s="10">
        <v>2</v>
      </c>
    </row>
    <row r="25" spans="1:5" ht="17.25" thickBot="1" x14ac:dyDescent="0.35">
      <c r="A25" s="10" t="s">
        <v>53</v>
      </c>
      <c r="B25" s="10">
        <v>3</v>
      </c>
    </row>
    <row r="26" spans="1:5" ht="17.25" thickBot="1" x14ac:dyDescent="0.35">
      <c r="A26" s="10" t="s">
        <v>69</v>
      </c>
      <c r="B26" s="10">
        <v>4</v>
      </c>
    </row>
    <row r="27" spans="1:5" ht="17.25" thickBot="1" x14ac:dyDescent="0.35">
      <c r="A27" s="10" t="s">
        <v>70</v>
      </c>
      <c r="B27" s="10">
        <v>5</v>
      </c>
    </row>
    <row r="28" spans="1:5" ht="17.25" thickBot="1" x14ac:dyDescent="0.35">
      <c r="A28" s="10" t="s">
        <v>71</v>
      </c>
      <c r="B28" s="10">
        <v>6</v>
      </c>
    </row>
    <row r="29" spans="1:5" ht="17.25" thickBot="1" x14ac:dyDescent="0.35">
      <c r="A29" s="10" t="s">
        <v>72</v>
      </c>
      <c r="B29" s="10">
        <v>7</v>
      </c>
    </row>
    <row r="30" spans="1:5" ht="17.25" thickBot="1" x14ac:dyDescent="0.35">
      <c r="A30" s="10" t="s">
        <v>58</v>
      </c>
      <c r="B30" s="10">
        <v>8</v>
      </c>
    </row>
    <row r="31" spans="1:5" ht="17.25" thickBot="1" x14ac:dyDescent="0.35">
      <c r="A31" s="10" t="s">
        <v>59</v>
      </c>
      <c r="B31" s="10">
        <v>9</v>
      </c>
    </row>
    <row r="32" spans="1:5" ht="17.25" thickBot="1" x14ac:dyDescent="0.35">
      <c r="A32" s="10" t="s">
        <v>73</v>
      </c>
      <c r="B32" s="10">
        <v>10</v>
      </c>
    </row>
    <row r="33" spans="1:2" ht="17.25" thickBot="1" x14ac:dyDescent="0.35">
      <c r="A33" s="10" t="s">
        <v>74</v>
      </c>
      <c r="B33" s="10">
        <v>11</v>
      </c>
    </row>
    <row r="34" spans="1:2" ht="17.25" thickBot="1" x14ac:dyDescent="0.35">
      <c r="A34" s="10" t="s">
        <v>75</v>
      </c>
      <c r="B34" s="10">
        <v>12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A4B6-E4EC-4DD7-BE85-83CEAF8B565E}">
  <dimension ref="A1:F12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defaultRowHeight="16.5" x14ac:dyDescent="0.3"/>
  <cols>
    <col min="1" max="2" width="6.875" style="6" bestFit="1" customWidth="1"/>
    <col min="3" max="3" width="12.75" style="2" bestFit="1" customWidth="1"/>
    <col min="4" max="4" width="18.25" style="2" bestFit="1" customWidth="1"/>
    <col min="5" max="5" width="17" style="2" bestFit="1" customWidth="1"/>
    <col min="6" max="6" width="14" style="2" bestFit="1" customWidth="1"/>
    <col min="7" max="16384" width="9" style="2"/>
  </cols>
  <sheetData>
    <row r="1" spans="1:6" x14ac:dyDescent="0.3">
      <c r="A1" s="5" t="s">
        <v>81</v>
      </c>
      <c r="B1" s="5" t="s">
        <v>67</v>
      </c>
      <c r="C1" s="5" t="s">
        <v>5</v>
      </c>
      <c r="D1" s="5" t="s">
        <v>78</v>
      </c>
      <c r="E1" s="5" t="s">
        <v>66</v>
      </c>
      <c r="F1" s="1" t="s">
        <v>8</v>
      </c>
    </row>
    <row r="2" spans="1:6" ht="17.25" thickBot="1" x14ac:dyDescent="0.35">
      <c r="A2" s="5" t="s">
        <v>0</v>
      </c>
      <c r="B2" s="5" t="s">
        <v>0</v>
      </c>
      <c r="C2" s="1" t="s">
        <v>0</v>
      </c>
      <c r="D2" s="1" t="s">
        <v>0</v>
      </c>
      <c r="E2" s="1" t="s">
        <v>2</v>
      </c>
      <c r="F2" s="1" t="s">
        <v>2</v>
      </c>
    </row>
    <row r="3" spans="1:6" ht="17.25" thickBot="1" x14ac:dyDescent="0.35">
      <c r="A3" s="11" t="s">
        <v>76</v>
      </c>
      <c r="B3" s="11">
        <f>VLOOKUP(A3,Overview!D$22:E$23,2,FALSE)</f>
        <v>0</v>
      </c>
      <c r="C3" s="11">
        <v>2</v>
      </c>
      <c r="D3" s="12" t="s">
        <v>10</v>
      </c>
      <c r="E3" s="12">
        <f>VLOOKUP(D3,Overview!A$2:B$19,2,FALSE)</f>
        <v>2</v>
      </c>
      <c r="F3" s="11">
        <v>100</v>
      </c>
    </row>
    <row r="4" spans="1:6" ht="17.25" thickBot="1" x14ac:dyDescent="0.35">
      <c r="A4" s="13" t="s">
        <v>76</v>
      </c>
      <c r="B4" s="11">
        <f>VLOOKUP(A4,Overview!D$22:E$23,2,FALSE)</f>
        <v>0</v>
      </c>
      <c r="C4" s="13">
        <v>4</v>
      </c>
      <c r="D4" s="14" t="s">
        <v>10</v>
      </c>
      <c r="E4" s="12">
        <f>VLOOKUP(D4,Overview!A$2:B$19,2,FALSE)</f>
        <v>2</v>
      </c>
      <c r="F4" s="13">
        <v>100</v>
      </c>
    </row>
    <row r="5" spans="1:6" ht="17.25" thickBot="1" x14ac:dyDescent="0.35">
      <c r="A5" s="13" t="s">
        <v>76</v>
      </c>
      <c r="B5" s="11">
        <f>VLOOKUP(A5,Overview!D$22:E$23,2,FALSE)</f>
        <v>0</v>
      </c>
      <c r="C5" s="13">
        <v>6</v>
      </c>
      <c r="D5" s="14" t="s">
        <v>10</v>
      </c>
      <c r="E5" s="12">
        <f>VLOOKUP(D5,Overview!A$2:B$19,2,FALSE)</f>
        <v>2</v>
      </c>
      <c r="F5" s="13">
        <v>100</v>
      </c>
    </row>
    <row r="6" spans="1:6" ht="17.25" thickBot="1" x14ac:dyDescent="0.35">
      <c r="A6" s="13" t="s">
        <v>76</v>
      </c>
      <c r="B6" s="11">
        <f>VLOOKUP(A6,Overview!D$22:E$23,2,FALSE)</f>
        <v>0</v>
      </c>
      <c r="C6" s="13">
        <v>8</v>
      </c>
      <c r="D6" s="14" t="s">
        <v>10</v>
      </c>
      <c r="E6" s="12">
        <f>VLOOKUP(D6,Overview!A$2:B$19,2,FALSE)</f>
        <v>2</v>
      </c>
      <c r="F6" s="13">
        <v>100</v>
      </c>
    </row>
    <row r="7" spans="1:6" ht="17.25" thickBot="1" x14ac:dyDescent="0.35">
      <c r="A7" s="13" t="s">
        <v>76</v>
      </c>
      <c r="B7" s="11">
        <f>VLOOKUP(A7,Overview!D$22:E$23,2,FALSE)</f>
        <v>0</v>
      </c>
      <c r="C7" s="13">
        <v>10</v>
      </c>
      <c r="D7" s="14" t="s">
        <v>10</v>
      </c>
      <c r="E7" s="12">
        <f>VLOOKUP(D7,Overview!A$2:B$19,2,FALSE)</f>
        <v>2</v>
      </c>
      <c r="F7" s="13">
        <v>100</v>
      </c>
    </row>
    <row r="8" spans="1:6" ht="17.25" thickBot="1" x14ac:dyDescent="0.35">
      <c r="A8" s="13" t="s">
        <v>77</v>
      </c>
      <c r="B8" s="11">
        <f>VLOOKUP(A8,Overview!D$22:E$23,2,FALSE)</f>
        <v>1</v>
      </c>
      <c r="C8" s="13">
        <v>2</v>
      </c>
      <c r="D8" s="14" t="s">
        <v>10</v>
      </c>
      <c r="E8" s="12">
        <f>VLOOKUP(D8,Overview!A$2:B$19,2,FALSE)</f>
        <v>2</v>
      </c>
      <c r="F8" s="13">
        <v>100</v>
      </c>
    </row>
    <row r="9" spans="1:6" ht="17.25" thickBot="1" x14ac:dyDescent="0.35">
      <c r="A9" s="13" t="s">
        <v>77</v>
      </c>
      <c r="B9" s="11">
        <f>VLOOKUP(A9,Overview!D$22:E$23,2,FALSE)</f>
        <v>1</v>
      </c>
      <c r="C9" s="13">
        <v>4</v>
      </c>
      <c r="D9" s="14" t="s">
        <v>10</v>
      </c>
      <c r="E9" s="12">
        <f>VLOOKUP(D9,Overview!A$2:B$19,2,FALSE)</f>
        <v>2</v>
      </c>
      <c r="F9" s="13">
        <v>100</v>
      </c>
    </row>
    <row r="10" spans="1:6" ht="17.25" thickBot="1" x14ac:dyDescent="0.35">
      <c r="A10" s="13" t="s">
        <v>77</v>
      </c>
      <c r="B10" s="11">
        <f>VLOOKUP(A10,Overview!D$22:E$23,2,FALSE)</f>
        <v>1</v>
      </c>
      <c r="C10" s="13">
        <v>6</v>
      </c>
      <c r="D10" s="14" t="s">
        <v>10</v>
      </c>
      <c r="E10" s="12">
        <f>VLOOKUP(D10,Overview!A$2:B$19,2,FALSE)</f>
        <v>2</v>
      </c>
      <c r="F10" s="13">
        <v>100</v>
      </c>
    </row>
    <row r="11" spans="1:6" ht="17.25" thickBot="1" x14ac:dyDescent="0.35">
      <c r="A11" s="13" t="s">
        <v>77</v>
      </c>
      <c r="B11" s="11">
        <f>VLOOKUP(A11,Overview!D$22:E$23,2,FALSE)</f>
        <v>1</v>
      </c>
      <c r="C11" s="13">
        <v>8</v>
      </c>
      <c r="D11" s="14" t="s">
        <v>10</v>
      </c>
      <c r="E11" s="12">
        <f>VLOOKUP(D11,Overview!A$2:B$19,2,FALSE)</f>
        <v>2</v>
      </c>
      <c r="F11" s="13">
        <v>100</v>
      </c>
    </row>
    <row r="12" spans="1:6" ht="17.25" thickBot="1" x14ac:dyDescent="0.35">
      <c r="A12" s="13" t="s">
        <v>77</v>
      </c>
      <c r="B12" s="11">
        <f>VLOOKUP(A12,Overview!D$22:E$23,2,FALSE)</f>
        <v>1</v>
      </c>
      <c r="C12" s="13">
        <v>10</v>
      </c>
      <c r="D12" s="14" t="s">
        <v>10</v>
      </c>
      <c r="E12" s="12">
        <f>VLOOKUP(D12,Overview!A$2:B$19,2,FALSE)</f>
        <v>2</v>
      </c>
      <c r="F12" s="13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A713-557F-4C55-AA33-8B48011561E4}">
  <dimension ref="A1:H2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1" sqref="E31"/>
    </sheetView>
  </sheetViews>
  <sheetFormatPr defaultRowHeight="16.5" x14ac:dyDescent="0.3"/>
  <cols>
    <col min="1" max="1" width="16.375" style="2" bestFit="1" customWidth="1"/>
    <col min="2" max="2" width="6.875" style="2" bestFit="1" customWidth="1"/>
    <col min="3" max="4" width="6.875" style="6" bestFit="1" customWidth="1"/>
    <col min="5" max="5" width="12.75" style="2" bestFit="1" customWidth="1"/>
    <col min="6" max="6" width="18.25" style="2" bestFit="1" customWidth="1"/>
    <col min="7" max="7" width="17" style="2" bestFit="1" customWidth="1"/>
    <col min="8" max="8" width="14" style="2" bestFit="1" customWidth="1"/>
    <col min="9" max="16384" width="9" style="2"/>
  </cols>
  <sheetData>
    <row r="1" spans="1:8" x14ac:dyDescent="0.3">
      <c r="A1" s="1" t="s">
        <v>3</v>
      </c>
      <c r="B1" s="1" t="s">
        <v>1</v>
      </c>
      <c r="C1" s="5" t="s">
        <v>81</v>
      </c>
      <c r="D1" s="5" t="s">
        <v>67</v>
      </c>
      <c r="E1" s="5" t="s">
        <v>5</v>
      </c>
      <c r="F1" s="5" t="s">
        <v>78</v>
      </c>
      <c r="G1" s="5" t="s">
        <v>66</v>
      </c>
      <c r="H1" s="1" t="s">
        <v>8</v>
      </c>
    </row>
    <row r="2" spans="1:8" ht="17.25" thickBot="1" x14ac:dyDescent="0.35">
      <c r="A2" s="1" t="s">
        <v>0</v>
      </c>
      <c r="B2" s="1" t="s">
        <v>0</v>
      </c>
      <c r="C2" s="5" t="s">
        <v>0</v>
      </c>
      <c r="D2" s="5" t="s">
        <v>0</v>
      </c>
      <c r="E2" s="1" t="s">
        <v>0</v>
      </c>
      <c r="F2" s="1" t="s">
        <v>0</v>
      </c>
      <c r="G2" s="1" t="s">
        <v>2</v>
      </c>
      <c r="H2" s="1" t="s">
        <v>2</v>
      </c>
    </row>
    <row r="3" spans="1:8" ht="17.25" thickBot="1" x14ac:dyDescent="0.25">
      <c r="A3" s="15" t="s">
        <v>68</v>
      </c>
      <c r="B3" s="11">
        <f>VLOOKUP(A3,Overview!A$22:B$34,2,FALSE)</f>
        <v>0</v>
      </c>
      <c r="C3" s="11" t="s">
        <v>76</v>
      </c>
      <c r="D3" s="11">
        <f>VLOOKUP(C3,Overview!D$22:E$23,2,FALSE)</f>
        <v>0</v>
      </c>
      <c r="E3" s="12">
        <v>1</v>
      </c>
      <c r="F3" s="12" t="s">
        <v>10</v>
      </c>
      <c r="G3" s="12">
        <f>VLOOKUP(F3,Overview!A$2:B$19,2,FALSE)</f>
        <v>2</v>
      </c>
      <c r="H3" s="12">
        <v>100</v>
      </c>
    </row>
    <row r="4" spans="1:8" ht="17.25" thickBot="1" x14ac:dyDescent="0.25">
      <c r="A4" s="16" t="s">
        <v>51</v>
      </c>
      <c r="B4" s="11">
        <f>VLOOKUP(A4,Overview!A$22:B$34,2,FALSE)</f>
        <v>1</v>
      </c>
      <c r="C4" s="13" t="s">
        <v>76</v>
      </c>
      <c r="D4" s="11">
        <f>VLOOKUP(C4,Overview!D$22:E$23,2,FALSE)</f>
        <v>0</v>
      </c>
      <c r="E4" s="14">
        <v>5</v>
      </c>
      <c r="F4" s="14" t="s">
        <v>10</v>
      </c>
      <c r="G4" s="12">
        <f>VLOOKUP(F4,Overview!A$2:B$19,2,FALSE)</f>
        <v>2</v>
      </c>
      <c r="H4" s="14">
        <v>100</v>
      </c>
    </row>
    <row r="5" spans="1:8" ht="17.25" thickBot="1" x14ac:dyDescent="0.25">
      <c r="A5" s="16" t="s">
        <v>52</v>
      </c>
      <c r="B5" s="11">
        <f>VLOOKUP(A5,Overview!A$22:B$34,2,FALSE)</f>
        <v>2</v>
      </c>
      <c r="C5" s="13" t="s">
        <v>76</v>
      </c>
      <c r="D5" s="11">
        <f>VLOOKUP(C5,Overview!D$22:E$23,2,FALSE)</f>
        <v>0</v>
      </c>
      <c r="E5" s="14">
        <v>2</v>
      </c>
      <c r="F5" s="14" t="s">
        <v>10</v>
      </c>
      <c r="G5" s="12">
        <f>VLOOKUP(F5,Overview!A$2:B$19,2,FALSE)</f>
        <v>2</v>
      </c>
      <c r="H5" s="14">
        <v>100</v>
      </c>
    </row>
    <row r="6" spans="1:8" ht="17.25" thickBot="1" x14ac:dyDescent="0.25">
      <c r="A6" s="16" t="s">
        <v>53</v>
      </c>
      <c r="B6" s="11">
        <f>VLOOKUP(A6,Overview!A$22:B$34,2,FALSE)</f>
        <v>3</v>
      </c>
      <c r="C6" s="13" t="s">
        <v>76</v>
      </c>
      <c r="D6" s="11">
        <f>VLOOKUP(C6,Overview!D$22:E$23,2,FALSE)</f>
        <v>0</v>
      </c>
      <c r="E6" s="14">
        <v>1</v>
      </c>
      <c r="F6" s="14" t="s">
        <v>10</v>
      </c>
      <c r="G6" s="12">
        <f>VLOOKUP(F6,Overview!A$2:B$19,2,FALSE)</f>
        <v>2</v>
      </c>
      <c r="H6" s="14">
        <v>100</v>
      </c>
    </row>
    <row r="7" spans="1:8" ht="17.25" thickBot="1" x14ac:dyDescent="0.25">
      <c r="A7" s="16" t="s">
        <v>69</v>
      </c>
      <c r="B7" s="11">
        <f>VLOOKUP(A7,Overview!A$22:B$34,2,FALSE)</f>
        <v>4</v>
      </c>
      <c r="C7" s="13" t="s">
        <v>76</v>
      </c>
      <c r="D7" s="11">
        <f>VLOOKUP(C7,Overview!D$22:E$23,2,FALSE)</f>
        <v>0</v>
      </c>
      <c r="E7" s="14">
        <v>1</v>
      </c>
      <c r="F7" s="14" t="s">
        <v>10</v>
      </c>
      <c r="G7" s="12">
        <f>VLOOKUP(F7,Overview!A$2:B$19,2,FALSE)</f>
        <v>2</v>
      </c>
      <c r="H7" s="14">
        <v>100</v>
      </c>
    </row>
    <row r="8" spans="1:8" ht="17.25" thickBot="1" x14ac:dyDescent="0.25">
      <c r="A8" s="16" t="s">
        <v>70</v>
      </c>
      <c r="B8" s="11">
        <f>VLOOKUP(A8,Overview!A$22:B$34,2,FALSE)</f>
        <v>5</v>
      </c>
      <c r="C8" s="13" t="s">
        <v>76</v>
      </c>
      <c r="D8" s="11">
        <f>VLOOKUP(C8,Overview!D$22:E$23,2,FALSE)</f>
        <v>0</v>
      </c>
      <c r="E8" s="14">
        <v>1</v>
      </c>
      <c r="F8" s="14" t="s">
        <v>10</v>
      </c>
      <c r="G8" s="12">
        <f>VLOOKUP(F8,Overview!A$2:B$19,2,FALSE)</f>
        <v>2</v>
      </c>
      <c r="H8" s="14">
        <v>100</v>
      </c>
    </row>
    <row r="9" spans="1:8" ht="17.25" thickBot="1" x14ac:dyDescent="0.25">
      <c r="A9" s="16" t="s">
        <v>71</v>
      </c>
      <c r="B9" s="11">
        <f>VLOOKUP(A9,Overview!A$22:B$34,2,FALSE)</f>
        <v>6</v>
      </c>
      <c r="C9" s="13" t="s">
        <v>76</v>
      </c>
      <c r="D9" s="11">
        <f>VLOOKUP(C9,Overview!D$22:E$23,2,FALSE)</f>
        <v>0</v>
      </c>
      <c r="E9" s="14">
        <v>1</v>
      </c>
      <c r="F9" s="14" t="s">
        <v>10</v>
      </c>
      <c r="G9" s="12">
        <f>VLOOKUP(F9,Overview!A$2:B$19,2,FALSE)</f>
        <v>2</v>
      </c>
      <c r="H9" s="14">
        <v>100</v>
      </c>
    </row>
    <row r="10" spans="1:8" ht="17.25" thickBot="1" x14ac:dyDescent="0.25">
      <c r="A10" s="16" t="s">
        <v>72</v>
      </c>
      <c r="B10" s="11">
        <f>VLOOKUP(A10,Overview!A$22:B$34,2,FALSE)</f>
        <v>7</v>
      </c>
      <c r="C10" s="13" t="s">
        <v>76</v>
      </c>
      <c r="D10" s="11">
        <f>VLOOKUP(C10,Overview!D$22:E$23,2,FALSE)</f>
        <v>0</v>
      </c>
      <c r="E10" s="14">
        <v>3</v>
      </c>
      <c r="F10" s="14" t="s">
        <v>10</v>
      </c>
      <c r="G10" s="12">
        <f>VLOOKUP(F10,Overview!A$2:B$19,2,FALSE)</f>
        <v>2</v>
      </c>
      <c r="H10" s="14">
        <v>100</v>
      </c>
    </row>
    <row r="11" spans="1:8" ht="17.25" thickBot="1" x14ac:dyDescent="0.25">
      <c r="A11" s="16" t="s">
        <v>58</v>
      </c>
      <c r="B11" s="11">
        <f>VLOOKUP(A11,Overview!A$22:B$34,2,FALSE)</f>
        <v>8</v>
      </c>
      <c r="C11" s="13" t="s">
        <v>76</v>
      </c>
      <c r="D11" s="11">
        <f>VLOOKUP(C11,Overview!D$22:E$23,2,FALSE)</f>
        <v>0</v>
      </c>
      <c r="E11" s="14">
        <v>2</v>
      </c>
      <c r="F11" s="14" t="s">
        <v>10</v>
      </c>
      <c r="G11" s="12">
        <f>VLOOKUP(F11,Overview!A$2:B$19,2,FALSE)</f>
        <v>2</v>
      </c>
      <c r="H11" s="14">
        <v>100</v>
      </c>
    </row>
    <row r="12" spans="1:8" ht="17.25" thickBot="1" x14ac:dyDescent="0.25">
      <c r="A12" s="16" t="s">
        <v>59</v>
      </c>
      <c r="B12" s="11">
        <f>VLOOKUP(A12,Overview!A$22:B$34,2,FALSE)</f>
        <v>9</v>
      </c>
      <c r="C12" s="13" t="s">
        <v>76</v>
      </c>
      <c r="D12" s="11">
        <f>VLOOKUP(C12,Overview!D$22:E$23,2,FALSE)</f>
        <v>0</v>
      </c>
      <c r="E12" s="14">
        <v>1</v>
      </c>
      <c r="F12" s="14" t="s">
        <v>10</v>
      </c>
      <c r="G12" s="12">
        <f>VLOOKUP(F12,Overview!A$2:B$19,2,FALSE)</f>
        <v>2</v>
      </c>
      <c r="H12" s="14">
        <v>100</v>
      </c>
    </row>
    <row r="13" spans="1:8" ht="17.25" thickBot="1" x14ac:dyDescent="0.25">
      <c r="A13" s="16" t="s">
        <v>73</v>
      </c>
      <c r="B13" s="11">
        <f>VLOOKUP(A13,Overview!A$22:B$34,2,FALSE)</f>
        <v>10</v>
      </c>
      <c r="C13" s="13" t="s">
        <v>76</v>
      </c>
      <c r="D13" s="11">
        <f>VLOOKUP(C13,Overview!D$22:E$23,2,FALSE)</f>
        <v>0</v>
      </c>
      <c r="E13" s="14">
        <v>1</v>
      </c>
      <c r="F13" s="14" t="s">
        <v>10</v>
      </c>
      <c r="G13" s="12">
        <f>VLOOKUP(F13,Overview!A$2:B$19,2,FALSE)</f>
        <v>2</v>
      </c>
      <c r="H13" s="14">
        <v>100</v>
      </c>
    </row>
    <row r="14" spans="1:8" ht="17.25" thickBot="1" x14ac:dyDescent="0.25">
      <c r="A14" s="16" t="s">
        <v>74</v>
      </c>
      <c r="B14" s="11">
        <f>VLOOKUP(A14,Overview!A$22:B$34,2,FALSE)</f>
        <v>11</v>
      </c>
      <c r="C14" s="13" t="s">
        <v>76</v>
      </c>
      <c r="D14" s="11">
        <f>VLOOKUP(C14,Overview!D$22:E$23,2,FALSE)</f>
        <v>0</v>
      </c>
      <c r="E14" s="14">
        <v>1</v>
      </c>
      <c r="F14" s="14" t="s">
        <v>10</v>
      </c>
      <c r="G14" s="12">
        <f>VLOOKUP(F14,Overview!A$2:B$19,2,FALSE)</f>
        <v>2</v>
      </c>
      <c r="H14" s="14">
        <v>100</v>
      </c>
    </row>
    <row r="15" spans="1:8" ht="17.25" thickBot="1" x14ac:dyDescent="0.25">
      <c r="A15" s="16" t="s">
        <v>75</v>
      </c>
      <c r="B15" s="11">
        <f>VLOOKUP(A15,Overview!A$22:B$34,2,FALSE)</f>
        <v>12</v>
      </c>
      <c r="C15" s="13" t="s">
        <v>76</v>
      </c>
      <c r="D15" s="11">
        <f>VLOOKUP(C15,Overview!D$22:E$23,2,FALSE)</f>
        <v>0</v>
      </c>
      <c r="E15" s="14">
        <v>1</v>
      </c>
      <c r="F15" s="14" t="s">
        <v>10</v>
      </c>
      <c r="G15" s="12">
        <f>VLOOKUP(F15,Overview!A$2:B$19,2,FALSE)</f>
        <v>2</v>
      </c>
      <c r="H15" s="14">
        <v>100</v>
      </c>
    </row>
    <row r="16" spans="1:8" ht="17.25" thickBot="1" x14ac:dyDescent="0.25">
      <c r="A16" s="16" t="s">
        <v>68</v>
      </c>
      <c r="B16" s="11">
        <f>VLOOKUP(A16,Overview!A$22:B$34,2,FALSE)</f>
        <v>0</v>
      </c>
      <c r="C16" s="13" t="s">
        <v>77</v>
      </c>
      <c r="D16" s="11">
        <f>VLOOKUP(C16,Overview!D$22:E$23,2,FALSE)</f>
        <v>1</v>
      </c>
      <c r="E16" s="14">
        <v>7</v>
      </c>
      <c r="F16" s="14" t="s">
        <v>10</v>
      </c>
      <c r="G16" s="12">
        <f>VLOOKUP(F16,Overview!A$2:B$19,2,FALSE)</f>
        <v>2</v>
      </c>
      <c r="H16" s="14">
        <v>100</v>
      </c>
    </row>
    <row r="17" spans="1:8" ht="17.25" thickBot="1" x14ac:dyDescent="0.25">
      <c r="A17" s="16" t="s">
        <v>51</v>
      </c>
      <c r="B17" s="11">
        <f>VLOOKUP(A17,Overview!A$22:B$34,2,FALSE)</f>
        <v>1</v>
      </c>
      <c r="C17" s="13" t="s">
        <v>77</v>
      </c>
      <c r="D17" s="11">
        <f>VLOOKUP(C17,Overview!D$22:E$23,2,FALSE)</f>
        <v>1</v>
      </c>
      <c r="E17" s="14">
        <v>700</v>
      </c>
      <c r="F17" s="14" t="s">
        <v>10</v>
      </c>
      <c r="G17" s="12">
        <f>VLOOKUP(F17,Overview!A$2:B$19,2,FALSE)</f>
        <v>2</v>
      </c>
      <c r="H17" s="14">
        <v>100</v>
      </c>
    </row>
    <row r="18" spans="1:8" ht="17.25" thickBot="1" x14ac:dyDescent="0.25">
      <c r="A18" s="16" t="s">
        <v>52</v>
      </c>
      <c r="B18" s="11">
        <f>VLOOKUP(A18,Overview!A$22:B$34,2,FALSE)</f>
        <v>2</v>
      </c>
      <c r="C18" s="13" t="s">
        <v>77</v>
      </c>
      <c r="D18" s="11">
        <f>VLOOKUP(C18,Overview!D$22:E$23,2,FALSE)</f>
        <v>1</v>
      </c>
      <c r="E18" s="14">
        <v>14</v>
      </c>
      <c r="F18" s="14" t="s">
        <v>10</v>
      </c>
      <c r="G18" s="12">
        <f>VLOOKUP(F18,Overview!A$2:B$19,2,FALSE)</f>
        <v>2</v>
      </c>
      <c r="H18" s="14">
        <v>100</v>
      </c>
    </row>
    <row r="19" spans="1:8" ht="17.25" thickBot="1" x14ac:dyDescent="0.25">
      <c r="A19" s="16" t="s">
        <v>53</v>
      </c>
      <c r="B19" s="11">
        <f>VLOOKUP(A19,Overview!A$22:B$34,2,FALSE)</f>
        <v>3</v>
      </c>
      <c r="C19" s="13" t="s">
        <v>77</v>
      </c>
      <c r="D19" s="11">
        <f>VLOOKUP(C19,Overview!D$22:E$23,2,FALSE)</f>
        <v>1</v>
      </c>
      <c r="E19" s="14">
        <v>7</v>
      </c>
      <c r="F19" s="14" t="s">
        <v>10</v>
      </c>
      <c r="G19" s="12">
        <f>VLOOKUP(F19,Overview!A$2:B$19,2,FALSE)</f>
        <v>2</v>
      </c>
      <c r="H19" s="14">
        <v>100</v>
      </c>
    </row>
    <row r="20" spans="1:8" ht="17.25" thickBot="1" x14ac:dyDescent="0.25">
      <c r="A20" s="16" t="s">
        <v>69</v>
      </c>
      <c r="B20" s="11">
        <f>VLOOKUP(A20,Overview!A$22:B$34,2,FALSE)</f>
        <v>4</v>
      </c>
      <c r="C20" s="13" t="s">
        <v>77</v>
      </c>
      <c r="D20" s="11">
        <f>VLOOKUP(C20,Overview!D$22:E$23,2,FALSE)</f>
        <v>1</v>
      </c>
      <c r="E20" s="14">
        <v>7</v>
      </c>
      <c r="F20" s="14" t="s">
        <v>10</v>
      </c>
      <c r="G20" s="12">
        <f>VLOOKUP(F20,Overview!A$2:B$19,2,FALSE)</f>
        <v>2</v>
      </c>
      <c r="H20" s="14">
        <v>100</v>
      </c>
    </row>
    <row r="21" spans="1:8" ht="17.25" thickBot="1" x14ac:dyDescent="0.25">
      <c r="A21" s="16" t="s">
        <v>70</v>
      </c>
      <c r="B21" s="11">
        <f>VLOOKUP(A21,Overview!A$22:B$34,2,FALSE)</f>
        <v>5</v>
      </c>
      <c r="C21" s="13" t="s">
        <v>77</v>
      </c>
      <c r="D21" s="11">
        <f>VLOOKUP(C21,Overview!D$22:E$23,2,FALSE)</f>
        <v>1</v>
      </c>
      <c r="E21" s="14">
        <v>7</v>
      </c>
      <c r="F21" s="14" t="s">
        <v>10</v>
      </c>
      <c r="G21" s="12">
        <f>VLOOKUP(F21,Overview!A$2:B$19,2,FALSE)</f>
        <v>2</v>
      </c>
      <c r="H21" s="14">
        <v>100</v>
      </c>
    </row>
    <row r="22" spans="1:8" ht="17.25" thickBot="1" x14ac:dyDescent="0.25">
      <c r="A22" s="16" t="s">
        <v>71</v>
      </c>
      <c r="B22" s="11">
        <f>VLOOKUP(A22,Overview!A$22:B$34,2,FALSE)</f>
        <v>6</v>
      </c>
      <c r="C22" s="13" t="s">
        <v>77</v>
      </c>
      <c r="D22" s="11">
        <f>VLOOKUP(C22,Overview!D$22:E$23,2,FALSE)</f>
        <v>1</v>
      </c>
      <c r="E22" s="14">
        <v>7</v>
      </c>
      <c r="F22" s="14" t="s">
        <v>10</v>
      </c>
      <c r="G22" s="12">
        <f>VLOOKUP(F22,Overview!A$2:B$19,2,FALSE)</f>
        <v>2</v>
      </c>
      <c r="H22" s="14">
        <v>100</v>
      </c>
    </row>
    <row r="23" spans="1:8" ht="17.25" thickBot="1" x14ac:dyDescent="0.25">
      <c r="A23" s="16" t="s">
        <v>72</v>
      </c>
      <c r="B23" s="11">
        <f>VLOOKUP(A23,Overview!A$22:B$34,2,FALSE)</f>
        <v>7</v>
      </c>
      <c r="C23" s="13" t="s">
        <v>77</v>
      </c>
      <c r="D23" s="11">
        <f>VLOOKUP(C23,Overview!D$22:E$23,2,FALSE)</f>
        <v>1</v>
      </c>
      <c r="E23" s="14">
        <v>21</v>
      </c>
      <c r="F23" s="14" t="s">
        <v>10</v>
      </c>
      <c r="G23" s="12">
        <f>VLOOKUP(F23,Overview!A$2:B$19,2,FALSE)</f>
        <v>2</v>
      </c>
      <c r="H23" s="14">
        <v>100</v>
      </c>
    </row>
    <row r="24" spans="1:8" ht="17.25" thickBot="1" x14ac:dyDescent="0.25">
      <c r="A24" s="16" t="s">
        <v>58</v>
      </c>
      <c r="B24" s="11">
        <f>VLOOKUP(A24,Overview!A$22:B$34,2,FALSE)</f>
        <v>8</v>
      </c>
      <c r="C24" s="13" t="s">
        <v>77</v>
      </c>
      <c r="D24" s="11">
        <f>VLOOKUP(C24,Overview!D$22:E$23,2,FALSE)</f>
        <v>1</v>
      </c>
      <c r="E24" s="14">
        <v>14</v>
      </c>
      <c r="F24" s="14" t="s">
        <v>10</v>
      </c>
      <c r="G24" s="12">
        <f>VLOOKUP(F24,Overview!A$2:B$19,2,FALSE)</f>
        <v>2</v>
      </c>
      <c r="H24" s="14">
        <v>100</v>
      </c>
    </row>
    <row r="25" spans="1:8" ht="17.25" thickBot="1" x14ac:dyDescent="0.25">
      <c r="A25" s="16" t="s">
        <v>59</v>
      </c>
      <c r="B25" s="11">
        <f>VLOOKUP(A25,Overview!A$22:B$34,2,FALSE)</f>
        <v>9</v>
      </c>
      <c r="C25" s="13" t="s">
        <v>77</v>
      </c>
      <c r="D25" s="11">
        <f>VLOOKUP(C25,Overview!D$22:E$23,2,FALSE)</f>
        <v>1</v>
      </c>
      <c r="E25" s="14">
        <v>7</v>
      </c>
      <c r="F25" s="14" t="s">
        <v>10</v>
      </c>
      <c r="G25" s="12">
        <f>VLOOKUP(F25,Overview!A$2:B$19,2,FALSE)</f>
        <v>2</v>
      </c>
      <c r="H25" s="14">
        <v>100</v>
      </c>
    </row>
    <row r="26" spans="1:8" ht="17.25" thickBot="1" x14ac:dyDescent="0.25">
      <c r="A26" s="16" t="s">
        <v>73</v>
      </c>
      <c r="B26" s="11">
        <f>VLOOKUP(A26,Overview!A$22:B$34,2,FALSE)</f>
        <v>10</v>
      </c>
      <c r="C26" s="13" t="s">
        <v>77</v>
      </c>
      <c r="D26" s="11">
        <f>VLOOKUP(C26,Overview!D$22:E$23,2,FALSE)</f>
        <v>1</v>
      </c>
      <c r="E26" s="14">
        <v>7</v>
      </c>
      <c r="F26" s="14" t="s">
        <v>10</v>
      </c>
      <c r="G26" s="12">
        <f>VLOOKUP(F26,Overview!A$2:B$19,2,FALSE)</f>
        <v>2</v>
      </c>
      <c r="H26" s="14">
        <v>100</v>
      </c>
    </row>
    <row r="27" spans="1:8" ht="17.25" thickBot="1" x14ac:dyDescent="0.25">
      <c r="A27" s="16" t="s">
        <v>74</v>
      </c>
      <c r="B27" s="11">
        <f>VLOOKUP(A27,Overview!A$22:B$34,2,FALSE)</f>
        <v>11</v>
      </c>
      <c r="C27" s="13" t="s">
        <v>77</v>
      </c>
      <c r="D27" s="11">
        <f>VLOOKUP(C27,Overview!D$22:E$23,2,FALSE)</f>
        <v>1</v>
      </c>
      <c r="E27" s="14">
        <v>7</v>
      </c>
      <c r="F27" s="14" t="s">
        <v>10</v>
      </c>
      <c r="G27" s="12">
        <f>VLOOKUP(F27,Overview!A$2:B$19,2,FALSE)</f>
        <v>2</v>
      </c>
      <c r="H27" s="14">
        <v>100</v>
      </c>
    </row>
    <row r="28" spans="1:8" ht="17.25" thickBot="1" x14ac:dyDescent="0.25">
      <c r="A28" s="16" t="s">
        <v>75</v>
      </c>
      <c r="B28" s="11">
        <f>VLOOKUP(A28,Overview!A$22:B$34,2,FALSE)</f>
        <v>12</v>
      </c>
      <c r="C28" s="13" t="s">
        <v>77</v>
      </c>
      <c r="D28" s="11">
        <f>VLOOKUP(C28,Overview!D$22:E$23,2,FALSE)</f>
        <v>1</v>
      </c>
      <c r="E28" s="14">
        <v>7</v>
      </c>
      <c r="F28" s="14" t="s">
        <v>10</v>
      </c>
      <c r="G28" s="12">
        <f>VLOOKUP(F28,Overview!A$2:B$19,2,FALSE)</f>
        <v>2</v>
      </c>
      <c r="H28" s="14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5" sqref="D25"/>
    </sheetView>
  </sheetViews>
  <sheetFormatPr defaultRowHeight="16.5" x14ac:dyDescent="0.3"/>
  <cols>
    <col min="1" max="1" width="6.875" style="2" bestFit="1" customWidth="1"/>
    <col min="2" max="2" width="20.75" style="2" bestFit="1" customWidth="1"/>
    <col min="3" max="3" width="11.5" style="6" bestFit="1" customWidth="1"/>
    <col min="4" max="4" width="12.75" style="2" bestFit="1" customWidth="1"/>
    <col min="5" max="5" width="11.125" style="2" bestFit="1" customWidth="1"/>
    <col min="6" max="6" width="11.125" style="2" customWidth="1"/>
    <col min="7" max="7" width="12.875" style="2" bestFit="1" customWidth="1"/>
    <col min="8" max="8" width="14" style="2" bestFit="1" customWidth="1"/>
    <col min="9" max="16384" width="9" style="2"/>
  </cols>
  <sheetData>
    <row r="1" spans="1:8" x14ac:dyDescent="0.3">
      <c r="A1" s="1" t="s">
        <v>3</v>
      </c>
      <c r="B1" s="1" t="s">
        <v>1</v>
      </c>
      <c r="C1" s="5" t="s">
        <v>4</v>
      </c>
      <c r="D1" s="1" t="s">
        <v>5</v>
      </c>
      <c r="E1" s="1" t="s">
        <v>6</v>
      </c>
      <c r="F1" s="1" t="s">
        <v>9</v>
      </c>
      <c r="G1" s="1" t="s">
        <v>7</v>
      </c>
      <c r="H1" s="1" t="s">
        <v>8</v>
      </c>
    </row>
    <row r="2" spans="1:8" x14ac:dyDescent="0.3">
      <c r="A2" s="1" t="s">
        <v>0</v>
      </c>
      <c r="B2" s="1" t="s">
        <v>0</v>
      </c>
      <c r="C2" s="5" t="s">
        <v>0</v>
      </c>
      <c r="D2" s="1" t="s">
        <v>0</v>
      </c>
      <c r="E2" s="1" t="s">
        <v>0</v>
      </c>
      <c r="F2" s="1" t="s">
        <v>2</v>
      </c>
      <c r="G2" s="1" t="s">
        <v>2</v>
      </c>
      <c r="H2" s="1" t="s">
        <v>2</v>
      </c>
    </row>
    <row r="3" spans="1:8" x14ac:dyDescent="0.3">
      <c r="A3" s="7"/>
      <c r="B3" s="7" t="s">
        <v>60</v>
      </c>
      <c r="C3" s="8" t="s">
        <v>39</v>
      </c>
      <c r="D3" s="7"/>
      <c r="E3" s="7"/>
      <c r="F3" s="4" t="s">
        <v>10</v>
      </c>
      <c r="G3" s="3">
        <f>VLOOKUP(F3,Overview!$A$2:$B$19,2,FALSE)</f>
        <v>2</v>
      </c>
      <c r="H3" s="7">
        <v>100</v>
      </c>
    </row>
    <row r="4" spans="1:8" x14ac:dyDescent="0.3">
      <c r="A4" s="7"/>
      <c r="B4" s="7" t="s">
        <v>61</v>
      </c>
      <c r="C4" s="8"/>
      <c r="D4" s="7">
        <v>5</v>
      </c>
      <c r="E4" s="7"/>
      <c r="F4" s="4" t="s">
        <v>48</v>
      </c>
      <c r="G4" s="3">
        <f>VLOOKUP(F4,Overview!$A$2:$B$19,2,FALSE)</f>
        <v>1</v>
      </c>
      <c r="H4" s="7">
        <v>100</v>
      </c>
    </row>
    <row r="5" spans="1:8" x14ac:dyDescent="0.3">
      <c r="A5" s="7"/>
      <c r="B5" s="7" t="s">
        <v>62</v>
      </c>
      <c r="C5" s="8"/>
      <c r="D5" s="7"/>
      <c r="E5" s="7"/>
      <c r="F5" s="4" t="s">
        <v>10</v>
      </c>
      <c r="G5" s="3">
        <f>VLOOKUP(F5,Overview!$A$2:$B$19,2,FALSE)</f>
        <v>2</v>
      </c>
      <c r="H5" s="7">
        <v>100</v>
      </c>
    </row>
    <row r="6" spans="1:8" x14ac:dyDescent="0.3">
      <c r="A6" s="7"/>
      <c r="B6" s="7" t="s">
        <v>63</v>
      </c>
      <c r="C6" s="8"/>
      <c r="D6" s="7">
        <v>2</v>
      </c>
      <c r="E6" s="7"/>
      <c r="F6" s="4" t="s">
        <v>48</v>
      </c>
      <c r="G6" s="3">
        <f>VLOOKUP(F6,Overview!$A$2:$B$19,2,FALSE)</f>
        <v>1</v>
      </c>
      <c r="H6" s="7">
        <v>100</v>
      </c>
    </row>
    <row r="7" spans="1:8" x14ac:dyDescent="0.3">
      <c r="A7" s="7"/>
      <c r="B7" s="7" t="s">
        <v>64</v>
      </c>
      <c r="C7" s="8" t="s">
        <v>40</v>
      </c>
      <c r="D7" s="7"/>
      <c r="E7" s="7" t="s">
        <v>42</v>
      </c>
      <c r="F7" s="4" t="s">
        <v>10</v>
      </c>
      <c r="G7" s="3">
        <f>VLOOKUP(F7,Overview!$A$2:$B$19,2,FALSE)</f>
        <v>2</v>
      </c>
      <c r="H7" s="7">
        <v>100</v>
      </c>
    </row>
    <row r="8" spans="1:8" x14ac:dyDescent="0.3">
      <c r="A8" s="7"/>
      <c r="B8" s="7" t="s">
        <v>65</v>
      </c>
      <c r="C8" s="8"/>
      <c r="D8" s="7"/>
      <c r="E8" s="7" t="s">
        <v>43</v>
      </c>
      <c r="F8" s="4" t="s">
        <v>48</v>
      </c>
      <c r="G8" s="3">
        <f>VLOOKUP(F8,Overview!$A$2:$B$19,2,FALSE)</f>
        <v>1</v>
      </c>
      <c r="H8" s="7">
        <v>100</v>
      </c>
    </row>
    <row r="9" spans="1:8" x14ac:dyDescent="0.3">
      <c r="A9" s="7"/>
      <c r="B9" s="7" t="s">
        <v>58</v>
      </c>
      <c r="C9" s="8" t="s">
        <v>50</v>
      </c>
      <c r="D9" s="7">
        <v>2</v>
      </c>
      <c r="E9" s="9" t="s">
        <v>31</v>
      </c>
      <c r="F9" s="4" t="s">
        <v>10</v>
      </c>
      <c r="G9" s="3">
        <f>VLOOKUP(F9,Overview!$A$2:$B$19,2,FALSE)</f>
        <v>2</v>
      </c>
      <c r="H9" s="7">
        <v>100</v>
      </c>
    </row>
  </sheetData>
  <sortState xmlns:xlrd2="http://schemas.microsoft.com/office/spreadsheetml/2017/richdata2" ref="B3:B41">
    <sortCondition ref="B3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01C2-6BFB-4CCC-9124-BCB4513B4E3A}">
  <dimension ref="A1:J11"/>
  <sheetViews>
    <sheetView workbookViewId="0">
      <pane xSplit="2" ySplit="2" topLeftCell="D3" activePane="bottomRight" state="frozen"/>
      <selection activeCell="F2" sqref="F2"/>
      <selection pane="topRight" activeCell="F2" sqref="F2"/>
      <selection pane="bottomLeft" activeCell="F2" sqref="F2"/>
      <selection pane="bottomRight" activeCell="E20" sqref="E20"/>
    </sheetView>
  </sheetViews>
  <sheetFormatPr defaultRowHeight="16.5" x14ac:dyDescent="0.3"/>
  <cols>
    <col min="1" max="1" width="6.875" style="2" bestFit="1" customWidth="1"/>
    <col min="2" max="2" width="27.625" style="2" bestFit="1" customWidth="1"/>
    <col min="3" max="3" width="11.5" style="2" bestFit="1" customWidth="1"/>
    <col min="4" max="4" width="12.75" style="2" bestFit="1" customWidth="1"/>
    <col min="5" max="5" width="12.75" style="2" customWidth="1"/>
    <col min="6" max="6" width="14.375" style="2" customWidth="1"/>
    <col min="7" max="7" width="11.125" style="2" customWidth="1"/>
    <col min="8" max="8" width="12.875" style="2" bestFit="1" customWidth="1"/>
    <col min="9" max="9" width="14" style="2" bestFit="1" customWidth="1"/>
    <col min="10" max="10" width="29.25" style="2" bestFit="1" customWidth="1"/>
    <col min="11" max="16384" width="9" style="2"/>
  </cols>
  <sheetData>
    <row r="1" spans="1:10" x14ac:dyDescent="0.3">
      <c r="A1" s="1" t="s">
        <v>3</v>
      </c>
      <c r="B1" s="1" t="s">
        <v>1</v>
      </c>
      <c r="C1" s="1" t="s">
        <v>4</v>
      </c>
      <c r="D1" s="1" t="s">
        <v>5</v>
      </c>
      <c r="E1" s="1" t="s">
        <v>38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49</v>
      </c>
    </row>
    <row r="2" spans="1:10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2</v>
      </c>
      <c r="I2" s="1" t="s">
        <v>2</v>
      </c>
      <c r="J2" s="1" t="s">
        <v>0</v>
      </c>
    </row>
    <row r="3" spans="1:10" x14ac:dyDescent="0.3">
      <c r="A3" s="3"/>
      <c r="B3" s="3" t="s">
        <v>51</v>
      </c>
      <c r="C3" s="3"/>
      <c r="D3" s="3">
        <v>10</v>
      </c>
      <c r="E3" s="3"/>
      <c r="F3" s="3"/>
      <c r="G3" s="4" t="s">
        <v>10</v>
      </c>
      <c r="H3" s="3">
        <f>VLOOKUP(G3,Overview!$A$2:$B$19,2,FALSE)</f>
        <v>2</v>
      </c>
      <c r="I3" s="3">
        <v>100</v>
      </c>
      <c r="J3" s="7"/>
    </row>
    <row r="4" spans="1:10" x14ac:dyDescent="0.3">
      <c r="A4" s="3"/>
      <c r="B4" s="3" t="s">
        <v>52</v>
      </c>
      <c r="C4" s="3"/>
      <c r="D4" s="3"/>
      <c r="E4" s="3"/>
      <c r="F4" s="4" t="s">
        <v>37</v>
      </c>
      <c r="G4" s="4" t="s">
        <v>10</v>
      </c>
      <c r="H4" s="3">
        <f>VLOOKUP(G4,Overview!$A$2:$B$19,2,FALSE)</f>
        <v>2</v>
      </c>
      <c r="I4" s="3">
        <v>100</v>
      </c>
      <c r="J4" s="7" t="s">
        <v>44</v>
      </c>
    </row>
    <row r="5" spans="1:10" x14ac:dyDescent="0.3">
      <c r="A5" s="3"/>
      <c r="B5" s="3" t="s">
        <v>53</v>
      </c>
      <c r="C5" s="3"/>
      <c r="D5" s="3"/>
      <c r="E5" s="3"/>
      <c r="F5" s="4" t="s">
        <v>35</v>
      </c>
      <c r="G5" s="4" t="s">
        <v>10</v>
      </c>
      <c r="H5" s="3">
        <f>VLOOKUP(G5,Overview!$A$2:$B$19,2,FALSE)</f>
        <v>2</v>
      </c>
      <c r="I5" s="3">
        <v>100</v>
      </c>
      <c r="J5" s="7" t="s">
        <v>45</v>
      </c>
    </row>
    <row r="6" spans="1:10" x14ac:dyDescent="0.3">
      <c r="A6" s="3"/>
      <c r="B6" s="3" t="s">
        <v>54</v>
      </c>
      <c r="C6" s="3"/>
      <c r="D6" s="3"/>
      <c r="E6" s="3"/>
      <c r="F6" s="4" t="s">
        <v>33</v>
      </c>
      <c r="G6" s="4" t="s">
        <v>10</v>
      </c>
      <c r="H6" s="3">
        <f>VLOOKUP(G6,Overview!$A$2:$B$19,2,FALSE)</f>
        <v>2</v>
      </c>
      <c r="I6" s="3">
        <v>100</v>
      </c>
      <c r="J6" s="7" t="s">
        <v>46</v>
      </c>
    </row>
    <row r="7" spans="1:10" x14ac:dyDescent="0.3">
      <c r="A7" s="3"/>
      <c r="B7" s="3" t="s">
        <v>55</v>
      </c>
      <c r="C7" s="3"/>
      <c r="D7" s="3"/>
      <c r="E7" s="3"/>
      <c r="F7" s="4" t="s">
        <v>30</v>
      </c>
      <c r="G7" s="4" t="s">
        <v>10</v>
      </c>
      <c r="H7" s="3">
        <f>VLOOKUP(G7,Overview!$A$2:$B$19,2,FALSE)</f>
        <v>2</v>
      </c>
      <c r="I7" s="3">
        <v>100</v>
      </c>
      <c r="J7" s="7" t="s">
        <v>47</v>
      </c>
    </row>
    <row r="8" spans="1:10" x14ac:dyDescent="0.3">
      <c r="A8" s="3"/>
      <c r="B8" s="3" t="s">
        <v>56</v>
      </c>
      <c r="C8" s="3"/>
      <c r="D8" s="3"/>
      <c r="E8" s="3"/>
      <c r="F8" s="4" t="s">
        <v>30</v>
      </c>
      <c r="G8" s="4" t="s">
        <v>10</v>
      </c>
      <c r="H8" s="3">
        <f>VLOOKUP(G8,Overview!$A$2:$B$19,2,FALSE)</f>
        <v>2</v>
      </c>
      <c r="I8" s="3">
        <v>100</v>
      </c>
      <c r="J8" s="7" t="s">
        <v>47</v>
      </c>
    </row>
    <row r="9" spans="1:10" x14ac:dyDescent="0.3">
      <c r="A9" s="3"/>
      <c r="B9" s="3" t="s">
        <v>57</v>
      </c>
      <c r="C9" s="3"/>
      <c r="D9" s="3"/>
      <c r="E9" s="3"/>
      <c r="F9" s="4" t="s">
        <v>41</v>
      </c>
      <c r="G9" s="4" t="s">
        <v>10</v>
      </c>
      <c r="H9" s="3">
        <f>VLOOKUP(G9,Overview!$A$2:$B$19,2,FALSE)</f>
        <v>2</v>
      </c>
      <c r="I9" s="3">
        <v>100</v>
      </c>
      <c r="J9" s="7" t="s">
        <v>47</v>
      </c>
    </row>
    <row r="10" spans="1:10" x14ac:dyDescent="0.3">
      <c r="A10" s="3"/>
      <c r="B10" s="3" t="s">
        <v>58</v>
      </c>
      <c r="C10" s="3"/>
      <c r="D10" s="3"/>
      <c r="E10" s="3"/>
      <c r="F10" s="4" t="s">
        <v>31</v>
      </c>
      <c r="G10" s="4" t="s">
        <v>10</v>
      </c>
      <c r="H10" s="3">
        <f>VLOOKUP(G10,Overview!$A$2:$B$19,2,FALSE)</f>
        <v>2</v>
      </c>
      <c r="I10" s="3">
        <v>100</v>
      </c>
      <c r="J10" s="7" t="s">
        <v>28</v>
      </c>
    </row>
    <row r="11" spans="1:10" x14ac:dyDescent="0.3">
      <c r="A11" s="3"/>
      <c r="B11" s="3" t="s">
        <v>59</v>
      </c>
      <c r="C11" s="3"/>
      <c r="D11" s="3"/>
      <c r="E11" s="3"/>
      <c r="F11" s="3"/>
      <c r="G11" s="4" t="s">
        <v>10</v>
      </c>
      <c r="H11" s="3">
        <f>VLOOKUP(G11,Overview!$A$2:$B$19,2,FALSE)</f>
        <v>2</v>
      </c>
      <c r="I11" s="3">
        <v>100</v>
      </c>
      <c r="J11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Overview</vt:lpstr>
      <vt:lpstr>s_quest_reward</vt:lpstr>
      <vt:lpstr>s_quest</vt:lpstr>
      <vt:lpstr>s_guide_quest</vt:lpstr>
      <vt:lpstr>s_guide_quest_repeat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2026-09-08T10:25:11Z</dcterms:modified>
</cp:coreProperties>
</file>