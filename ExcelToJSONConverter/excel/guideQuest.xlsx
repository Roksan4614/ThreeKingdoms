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3891F177-0646-4BED-8988-E720B44EA20C}" xr6:coauthVersionLast="47" xr6:coauthVersionMax="47" xr10:uidLastSave="{00000000-0000-0000-0000-000000000000}"/>
  <bookViews>
    <workbookView xWindow="-28920" yWindow="1395" windowWidth="29040" windowHeight="16440" activeTab="2" xr2:uid="{00000000-000D-0000-FFFF-FFFF00000000}"/>
  </bookViews>
  <sheets>
    <sheet name="Overview" sheetId="1" r:id="rId1"/>
    <sheet name="s_quest_reward" sheetId="8" r:id="rId2"/>
    <sheet name="s_pass_reward" sheetId="9" r:id="rId3"/>
    <sheet name="s_pass_quest" sheetId="10" r:id="rId4"/>
    <sheet name="s_quest" sheetId="6" r:id="rId5"/>
    <sheet name="s_guide_quest" sheetId="3" r:id="rId6"/>
    <sheet name="s_guide_quest_repeat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8" i="10" l="1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E12" i="8"/>
  <c r="E11" i="8"/>
  <c r="E10" i="8"/>
  <c r="E9" i="8"/>
  <c r="E8" i="8"/>
  <c r="E7" i="8"/>
  <c r="E6" i="8"/>
  <c r="E5" i="8"/>
  <c r="E4" i="8"/>
  <c r="E3" i="8"/>
  <c r="E61" i="9"/>
  <c r="D61" i="9"/>
  <c r="E60" i="9"/>
  <c r="D60" i="9"/>
  <c r="E59" i="9"/>
  <c r="D59" i="9"/>
  <c r="E58" i="9"/>
  <c r="D58" i="9"/>
  <c r="E57" i="9"/>
  <c r="D57" i="9"/>
  <c r="E56" i="9"/>
  <c r="D56" i="9"/>
  <c r="E55" i="9"/>
  <c r="D55" i="9"/>
  <c r="E54" i="9"/>
  <c r="D54" i="9"/>
  <c r="E53" i="9"/>
  <c r="D53" i="9"/>
  <c r="E52" i="9"/>
  <c r="D52" i="9"/>
  <c r="E51" i="9"/>
  <c r="D51" i="9"/>
  <c r="E50" i="9"/>
  <c r="D50" i="9"/>
  <c r="E49" i="9"/>
  <c r="D49" i="9"/>
  <c r="E48" i="9"/>
  <c r="D48" i="9"/>
  <c r="E47" i="9"/>
  <c r="D47" i="9"/>
  <c r="E46" i="9"/>
  <c r="D46" i="9"/>
  <c r="E45" i="9"/>
  <c r="D45" i="9"/>
  <c r="E44" i="9"/>
  <c r="D44" i="9"/>
  <c r="E43" i="9"/>
  <c r="D43" i="9"/>
  <c r="E42" i="9"/>
  <c r="D42" i="9"/>
  <c r="E41" i="9"/>
  <c r="D41" i="9"/>
  <c r="E40" i="9"/>
  <c r="D40" i="9"/>
  <c r="E39" i="9"/>
  <c r="D39" i="9"/>
  <c r="E38" i="9"/>
  <c r="D38" i="9"/>
  <c r="E37" i="9"/>
  <c r="D37" i="9"/>
  <c r="E36" i="9"/>
  <c r="D36" i="9"/>
  <c r="E35" i="9"/>
  <c r="D35" i="9"/>
  <c r="E34" i="9"/>
  <c r="D34" i="9"/>
  <c r="E33" i="9"/>
  <c r="D33" i="9"/>
  <c r="E32" i="9"/>
  <c r="D32" i="9"/>
  <c r="E31" i="9"/>
  <c r="D31" i="9"/>
  <c r="E30" i="9"/>
  <c r="D30" i="9"/>
  <c r="E29" i="9"/>
  <c r="D29" i="9"/>
  <c r="E28" i="9"/>
  <c r="D28" i="9"/>
  <c r="E27" i="9"/>
  <c r="D27" i="9"/>
  <c r="E26" i="9"/>
  <c r="D26" i="9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D6" i="9"/>
  <c r="E5" i="9"/>
  <c r="D5" i="9"/>
  <c r="E4" i="9"/>
  <c r="D4" i="9"/>
  <c r="E3" i="9"/>
  <c r="D3" i="9"/>
  <c r="E62" i="9"/>
  <c r="D62" i="9"/>
  <c r="A4" i="9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F5" i="8"/>
  <c r="F6" i="8" s="1"/>
  <c r="F7" i="8" s="1"/>
  <c r="F8" i="8" s="1"/>
  <c r="F9" i="8" s="1"/>
  <c r="F10" i="8" s="1"/>
  <c r="F11" i="8" s="1"/>
  <c r="F12" i="8" s="1"/>
  <c r="F4" i="8"/>
  <c r="E4" i="6"/>
  <c r="E5" i="6" s="1"/>
  <c r="E6" i="6" s="1"/>
  <c r="E7" i="6" s="1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B11" i="8"/>
  <c r="B10" i="8"/>
  <c r="B9" i="8"/>
  <c r="B8" i="8"/>
  <c r="B7" i="8"/>
  <c r="B6" i="8"/>
  <c r="B5" i="8"/>
  <c r="B4" i="8"/>
  <c r="B3" i="8"/>
  <c r="B12" i="8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E3" i="1"/>
  <c r="E4" i="1" s="1"/>
  <c r="E5" i="1" s="1"/>
  <c r="E6" i="1" s="1"/>
  <c r="E7" i="1" s="1"/>
  <c r="E8" i="1" s="1"/>
  <c r="E9" i="1" s="1"/>
  <c r="E10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</calcChain>
</file>

<file path=xl/sharedStrings.xml><?xml version="1.0" encoding="utf-8"?>
<sst xmlns="http://schemas.openxmlformats.org/spreadsheetml/2006/main" count="366" uniqueCount="93">
  <si>
    <t>string</t>
    <phoneticPr fontId="1" type="noConversion"/>
  </si>
  <si>
    <t>key</t>
    <phoneticPr fontId="1" type="noConversion"/>
  </si>
  <si>
    <t>int</t>
    <phoneticPr fontId="1" type="noConversion"/>
  </si>
  <si>
    <t>#key</t>
    <phoneticPr fontId="1" type="noConversion"/>
  </si>
  <si>
    <t>start_stage</t>
    <phoneticPr fontId="1" type="noConversion"/>
  </si>
  <si>
    <t>target_value</t>
    <phoneticPr fontId="1" type="noConversion"/>
  </si>
  <si>
    <t>navigation</t>
    <phoneticPr fontId="1" type="noConversion"/>
  </si>
  <si>
    <t>reward_item</t>
    <phoneticPr fontId="1" type="noConversion"/>
  </si>
  <si>
    <t>reward_count</t>
    <phoneticPr fontId="1" type="noConversion"/>
  </si>
  <si>
    <t>rice</t>
  </si>
  <si>
    <t>gold</t>
  </si>
  <si>
    <t>time_stone</t>
  </si>
  <si>
    <t>treasure</t>
  </si>
  <si>
    <t>treasure_piece</t>
  </si>
  <si>
    <t>DAILY_DUNGEON_PLAY</t>
  </si>
  <si>
    <t>character</t>
  </si>
  <si>
    <t>castle</t>
  </si>
  <si>
    <t>dungeon</t>
  </si>
  <si>
    <t>shop</t>
  </si>
  <si>
    <t>gacha</t>
  </si>
  <si>
    <t>story</t>
  </si>
  <si>
    <t>raid</t>
  </si>
  <si>
    <t>profile</t>
  </si>
  <si>
    <t>tournament</t>
  </si>
  <si>
    <t>#navigation</t>
    <phoneticPr fontId="1" type="noConversion"/>
  </si>
  <si>
    <t>1-1</t>
    <phoneticPr fontId="1" type="noConversion"/>
  </si>
  <si>
    <t>1-2</t>
    <phoneticPr fontId="1" type="noConversion"/>
  </si>
  <si>
    <t>castle,office,2</t>
  </si>
  <si>
    <t>story</t>
    <phoneticPr fontId="1" type="noConversion"/>
  </si>
  <si>
    <t>character</t>
    <phoneticPr fontId="1" type="noConversion"/>
  </si>
  <si>
    <t>TOURNAMENT</t>
    <phoneticPr fontId="1" type="noConversion"/>
  </si>
  <si>
    <t>RAID</t>
    <phoneticPr fontId="1" type="noConversion"/>
  </si>
  <si>
    <t>GACHA</t>
    <phoneticPr fontId="1" type="noConversion"/>
  </si>
  <si>
    <t>CASTLE</t>
    <phoneticPr fontId="1" type="noConversion"/>
  </si>
  <si>
    <t>gold</t>
    <phoneticPr fontId="1" type="noConversion"/>
  </si>
  <si>
    <t>open_guide_quest</t>
  </si>
  <si>
    <t>1-3</t>
    <phoneticPr fontId="1" type="noConversion"/>
  </si>
  <si>
    <t>enemy_kill</t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</si>
  <si>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</si>
  <si>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</si>
  <si>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</si>
  <si>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</si>
  <si>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</si>
  <si>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</si>
  <si>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</si>
  <si>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</si>
  <si>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move</t>
  </si>
  <si>
    <t>normal_attack</t>
  </si>
  <si>
    <t>main_skill_use</t>
  </si>
  <si>
    <t>dash_use</t>
    <phoneticPr fontId="1" type="noConversion"/>
  </si>
  <si>
    <t>storymode_play</t>
  </si>
  <si>
    <t>character_deploy</t>
  </si>
  <si>
    <t>reward_item_key</t>
    <phoneticPr fontId="1" type="noConversion"/>
  </si>
  <si>
    <t>type</t>
    <phoneticPr fontId="1" type="noConversion"/>
  </si>
  <si>
    <t>login</t>
  </si>
  <si>
    <t>gacha_proceed</t>
  </si>
  <si>
    <t>rice_claim</t>
  </si>
  <si>
    <t>office_dispatch</t>
  </si>
  <si>
    <t>ads_watch</t>
  </si>
  <si>
    <t>item_buy</t>
  </si>
  <si>
    <t>item_use</t>
  </si>
  <si>
    <t>daily</t>
  </si>
  <si>
    <t>weekly</t>
  </si>
  <si>
    <t>#reward_item_key</t>
    <phoneticPr fontId="1" type="noConversion"/>
  </si>
  <si>
    <t>daily</t>
    <phoneticPr fontId="1" type="noConversion"/>
  </si>
  <si>
    <t>weekly</t>
    <phoneticPr fontId="1" type="noConversion"/>
  </si>
  <si>
    <t>#type</t>
    <phoneticPr fontId="1" type="noConversion"/>
  </si>
  <si>
    <t>gold_claim</t>
    <phoneticPr fontId="1" type="noConversion"/>
  </si>
  <si>
    <t>level</t>
    <phoneticPr fontId="1" type="noConversion"/>
  </si>
  <si>
    <t>reward_key</t>
    <phoneticPr fontId="1" type="noConversion"/>
  </si>
  <si>
    <t>paid_reward_key</t>
    <phoneticPr fontId="1" type="noConversion"/>
  </si>
  <si>
    <t>paid_reward_count</t>
    <phoneticPr fontId="1" type="noConversion"/>
  </si>
  <si>
    <t>exp</t>
    <phoneticPr fontId="1" type="noConversion"/>
  </si>
  <si>
    <t>rice</t>
    <phoneticPr fontId="1" type="noConversion"/>
  </si>
  <si>
    <t>count</t>
    <phoneticPr fontId="1" type="noConversion"/>
  </si>
  <si>
    <t>is_character</t>
    <phoneticPr fontId="1" type="noConversion"/>
  </si>
  <si>
    <t>is_country</t>
    <phoneticPr fontId="1" type="noConversion"/>
  </si>
  <si>
    <t>is_class</t>
    <phoneticPr fontId="1" type="noConversion"/>
  </si>
  <si>
    <t>point_tournament</t>
  </si>
  <si>
    <t>point_raid</t>
  </si>
  <si>
    <t>ticket_tournament</t>
  </si>
  <si>
    <t>pocket_rice</t>
  </si>
  <si>
    <t>pocket_gold</t>
  </si>
  <si>
    <t>pocket_time_stone</t>
  </si>
  <si>
    <t>random_box_treasure_piece</t>
  </si>
  <si>
    <t>treasure_mileage</t>
  </si>
  <si>
    <t>ticket_gacha_normal</t>
    <phoneticPr fontId="1" type="noConversion"/>
  </si>
  <si>
    <t>ticket_gacha_premium</t>
    <phoneticPr fontId="1" type="noConversion"/>
  </si>
  <si>
    <t>random_box_class_soul_stone</t>
    <phoneticPr fontId="1" type="noConversion"/>
  </si>
  <si>
    <t>random_box_dedicated_soul_stone</t>
    <phoneticPr fontId="1" type="noConversion"/>
  </si>
  <si>
    <t>public_soul_stone</t>
    <phoneticPr fontId="1" type="noConversion"/>
  </si>
  <si>
    <t>dedicated_soul_stone</t>
    <phoneticPr fontId="1" type="noConversion"/>
  </si>
  <si>
    <t>class_soul_stone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</si>
</sst>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>
      <alignment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0" fillId="0" borderId="1" xfId="0" applyFont="1" applyBorder="1">
      <alignment vertical="center"/>
    </xf>
    <xf numFmtId="0" fontId="4" fillId="0" borderId="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A2" sqref="A2:A21"/>
    </sheetView>
  </sheetViews>
  <sheetFormatPr defaultRowHeight="16.5" x14ac:dyDescent="0.3"/>
  <cols>
    <col min="1" max="1" width="35.5" bestFit="1" customWidth="1"/>
    <col min="4" max="4" width="16.375" bestFit="1" customWidth="1"/>
    <col min="7" max="7" width="16.375" bestFit="1" customWidth="1"/>
  </cols>
  <sheetData>
    <row r="1" spans="1:8" ht="17.25" thickBot="1" x14ac:dyDescent="0.35"/>
    <row r="2" spans="1:8" ht="17.25" thickBot="1" x14ac:dyDescent="0.35">
      <c r="A2" t="s">
        <v>73</v>
      </c>
      <c r="B2">
        <v>1</v>
      </c>
      <c r="D2" t="s">
        <v>15</v>
      </c>
      <c r="E2">
        <v>0</v>
      </c>
      <c r="G2" s="18" t="s">
        <v>54</v>
      </c>
      <c r="H2" s="18">
        <v>0</v>
      </c>
    </row>
    <row r="3" spans="1:8" ht="17.25" thickBot="1" x14ac:dyDescent="0.35">
      <c r="A3" t="s">
        <v>10</v>
      </c>
      <c r="B3">
        <f t="shared" ref="B3:B21" si="0">B2+1</f>
        <v>2</v>
      </c>
      <c r="D3" t="s">
        <v>16</v>
      </c>
      <c r="E3">
        <f t="shared" ref="E3:E9" si="1">E2+1</f>
        <v>1</v>
      </c>
      <c r="G3" s="18" t="s">
        <v>37</v>
      </c>
      <c r="H3" s="18">
        <v>1</v>
      </c>
    </row>
    <row r="4" spans="1:8" ht="17.25" thickBot="1" x14ac:dyDescent="0.35">
      <c r="A4" t="s">
        <v>11</v>
      </c>
      <c r="B4">
        <f t="shared" si="0"/>
        <v>3</v>
      </c>
      <c r="D4" t="s">
        <v>17</v>
      </c>
      <c r="E4">
        <f t="shared" si="1"/>
        <v>2</v>
      </c>
      <c r="G4" s="18" t="s">
        <v>38</v>
      </c>
      <c r="H4" s="18">
        <v>2</v>
      </c>
    </row>
    <row r="5" spans="1:8" ht="17.25" thickBot="1" x14ac:dyDescent="0.35">
      <c r="A5" t="s">
        <v>81</v>
      </c>
      <c r="B5">
        <f t="shared" si="0"/>
        <v>4</v>
      </c>
      <c r="D5" t="s">
        <v>18</v>
      </c>
      <c r="E5">
        <f t="shared" si="1"/>
        <v>3</v>
      </c>
      <c r="G5" s="18" t="s">
        <v>39</v>
      </c>
      <c r="H5" s="18">
        <v>3</v>
      </c>
    </row>
    <row r="6" spans="1:8" ht="17.25" thickBot="1" x14ac:dyDescent="0.35">
      <c r="A6" t="s">
        <v>82</v>
      </c>
      <c r="B6">
        <f t="shared" si="0"/>
        <v>5</v>
      </c>
      <c r="D6" t="s">
        <v>19</v>
      </c>
      <c r="E6">
        <f t="shared" si="1"/>
        <v>4</v>
      </c>
      <c r="G6" s="18" t="s">
        <v>55</v>
      </c>
      <c r="H6" s="18">
        <v>4</v>
      </c>
    </row>
    <row r="7" spans="1:8" ht="17.25" thickBot="1" x14ac:dyDescent="0.35">
      <c r="A7" t="s">
        <v>83</v>
      </c>
      <c r="B7">
        <f t="shared" si="0"/>
        <v>6</v>
      </c>
      <c r="D7" t="s">
        <v>20</v>
      </c>
      <c r="E7">
        <f t="shared" si="1"/>
        <v>5</v>
      </c>
      <c r="G7" s="18" t="s">
        <v>56</v>
      </c>
      <c r="H7" s="18">
        <v>5</v>
      </c>
    </row>
    <row r="8" spans="1:8" ht="17.25" thickBot="1" x14ac:dyDescent="0.35">
      <c r="A8" t="s">
        <v>88</v>
      </c>
      <c r="B8">
        <f t="shared" si="0"/>
        <v>7</v>
      </c>
      <c r="D8" t="s">
        <v>21</v>
      </c>
      <c r="E8">
        <f t="shared" si="1"/>
        <v>6</v>
      </c>
      <c r="G8" s="18" t="s">
        <v>67</v>
      </c>
      <c r="H8" s="18">
        <v>6</v>
      </c>
    </row>
    <row r="9" spans="1:8" ht="17.25" thickBot="1" x14ac:dyDescent="0.35">
      <c r="A9" t="s">
        <v>89</v>
      </c>
      <c r="B9">
        <f t="shared" si="0"/>
        <v>8</v>
      </c>
      <c r="D9" t="s">
        <v>22</v>
      </c>
      <c r="E9">
        <f t="shared" si="1"/>
        <v>7</v>
      </c>
      <c r="G9" s="18" t="s">
        <v>57</v>
      </c>
      <c r="H9" s="18">
        <v>7</v>
      </c>
    </row>
    <row r="10" spans="1:8" ht="17.25" thickBot="1" x14ac:dyDescent="0.35">
      <c r="A10" t="s">
        <v>84</v>
      </c>
      <c r="B10">
        <f t="shared" si="0"/>
        <v>9</v>
      </c>
      <c r="D10" t="s">
        <v>23</v>
      </c>
      <c r="E10">
        <f t="shared" ref="E10" si="2">E9+1</f>
        <v>8</v>
      </c>
      <c r="G10" s="18" t="s">
        <v>44</v>
      </c>
      <c r="H10" s="18">
        <v>8</v>
      </c>
    </row>
    <row r="11" spans="1:8" ht="17.25" thickBot="1" x14ac:dyDescent="0.35">
      <c r="A11" t="s">
        <v>86</v>
      </c>
      <c r="B11">
        <f t="shared" si="0"/>
        <v>10</v>
      </c>
      <c r="G11" s="18" t="s">
        <v>45</v>
      </c>
      <c r="H11" s="18">
        <v>9</v>
      </c>
    </row>
    <row r="12" spans="1:8" ht="17.25" thickBot="1" x14ac:dyDescent="0.35">
      <c r="A12" t="s">
        <v>87</v>
      </c>
      <c r="B12">
        <f t="shared" si="0"/>
        <v>11</v>
      </c>
      <c r="G12" s="18" t="s">
        <v>58</v>
      </c>
      <c r="H12" s="18">
        <v>10</v>
      </c>
    </row>
    <row r="13" spans="1:8" ht="17.25" thickBot="1" x14ac:dyDescent="0.35">
      <c r="A13" t="s">
        <v>78</v>
      </c>
      <c r="B13">
        <f t="shared" si="0"/>
        <v>12</v>
      </c>
      <c r="G13" s="18" t="s">
        <v>59</v>
      </c>
      <c r="H13" s="18">
        <v>11</v>
      </c>
    </row>
    <row r="14" spans="1:8" ht="17.25" thickBot="1" x14ac:dyDescent="0.35">
      <c r="A14" t="s">
        <v>79</v>
      </c>
      <c r="B14">
        <f t="shared" si="0"/>
        <v>13</v>
      </c>
      <c r="G14" s="18" t="s">
        <v>60</v>
      </c>
      <c r="H14" s="18">
        <v>12</v>
      </c>
    </row>
    <row r="15" spans="1:8" x14ac:dyDescent="0.3">
      <c r="A15" t="s">
        <v>90</v>
      </c>
      <c r="B15">
        <f t="shared" si="0"/>
        <v>14</v>
      </c>
    </row>
    <row r="16" spans="1:8" x14ac:dyDescent="0.3">
      <c r="A16" t="s">
        <v>91</v>
      </c>
      <c r="B16">
        <f t="shared" si="0"/>
        <v>15</v>
      </c>
    </row>
    <row r="17" spans="1:5" x14ac:dyDescent="0.3">
      <c r="A17" t="s">
        <v>92</v>
      </c>
      <c r="B17">
        <f t="shared" si="0"/>
        <v>16</v>
      </c>
    </row>
    <row r="18" spans="1:5" x14ac:dyDescent="0.3">
      <c r="A18" t="s">
        <v>85</v>
      </c>
      <c r="B18">
        <f t="shared" si="0"/>
        <v>17</v>
      </c>
    </row>
    <row r="19" spans="1:5" x14ac:dyDescent="0.3">
      <c r="A19" t="s">
        <v>13</v>
      </c>
      <c r="B19">
        <f t="shared" si="0"/>
        <v>18</v>
      </c>
    </row>
    <row r="20" spans="1:5" x14ac:dyDescent="0.3">
      <c r="A20" t="s">
        <v>12</v>
      </c>
      <c r="B20">
        <f t="shared" si="0"/>
        <v>19</v>
      </c>
    </row>
    <row r="21" spans="1:5" x14ac:dyDescent="0.3">
      <c r="A21" t="s">
        <v>80</v>
      </c>
      <c r="B21">
        <f t="shared" si="0"/>
        <v>20</v>
      </c>
    </row>
    <row r="22" spans="1:5" x14ac:dyDescent="0.3">
      <c r="D22" t="s">
        <v>64</v>
      </c>
      <c r="E22">
        <v>0</v>
      </c>
    </row>
    <row r="23" spans="1:5" x14ac:dyDescent="0.3">
      <c r="D23" t="s">
        <v>65</v>
      </c>
      <c r="E23">
        <v>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3A4B6-E4EC-4DD7-BE85-83CEAF8B565E}">
  <dimension ref="A1:F12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E4" sqref="E4"/>
    </sheetView>
  </sheetViews>
  <sheetFormatPr defaultRowHeight="16.5" x14ac:dyDescent="0.3"/>
  <cols>
    <col min="1" max="2" width="6.875" style="6" bestFit="1" customWidth="1"/>
    <col min="3" max="3" width="12.75" style="2" bestFit="1" customWidth="1"/>
    <col min="4" max="4" width="18.25" style="2" bestFit="1" customWidth="1"/>
    <col min="5" max="5" width="17" style="2" bestFit="1" customWidth="1"/>
    <col min="6" max="6" width="14" style="2" bestFit="1" customWidth="1"/>
    <col min="7" max="16384" width="9" style="2"/>
  </cols>
  <sheetData>
    <row r="1" spans="1:6" x14ac:dyDescent="0.3">
      <c r="A1" s="5" t="s">
        <v>66</v>
      </c>
      <c r="B1" s="5" t="s">
        <v>53</v>
      </c>
      <c r="C1" s="5" t="s">
        <v>5</v>
      </c>
      <c r="D1" s="5" t="s">
        <v>63</v>
      </c>
      <c r="E1" s="5" t="s">
        <v>52</v>
      </c>
      <c r="F1" s="1" t="s">
        <v>8</v>
      </c>
    </row>
    <row r="2" spans="1:6" ht="17.25" thickBot="1" x14ac:dyDescent="0.35">
      <c r="A2" s="5" t="s">
        <v>0</v>
      </c>
      <c r="B2" s="5" t="s">
        <v>0</v>
      </c>
      <c r="C2" s="1" t="s">
        <v>0</v>
      </c>
      <c r="D2" s="1" t="s">
        <v>0</v>
      </c>
      <c r="E2" s="1" t="s">
        <v>2</v>
      </c>
      <c r="F2" s="1" t="s">
        <v>2</v>
      </c>
    </row>
    <row r="3" spans="1:6" ht="17.25" thickBot="1" x14ac:dyDescent="0.35">
      <c r="A3" s="10" t="s">
        <v>61</v>
      </c>
      <c r="B3" s="10">
        <f>VLOOKUP(A3,Overview!D$22:E$23,2,FALSE)</f>
        <v>0</v>
      </c>
      <c r="C3" s="10">
        <v>2</v>
      </c>
      <c r="D3" s="11" t="s">
        <v>9</v>
      </c>
      <c r="E3" s="11">
        <f>VLOOKUP(D3,Overview!A$2:B$39,2,FALSE)</f>
        <v>1</v>
      </c>
      <c r="F3" s="10">
        <v>100</v>
      </c>
    </row>
    <row r="4" spans="1:6" ht="17.25" thickBot="1" x14ac:dyDescent="0.35">
      <c r="A4" s="12" t="s">
        <v>61</v>
      </c>
      <c r="B4" s="10">
        <f>VLOOKUP(A4,Overview!D$22:E$23,2,FALSE)</f>
        <v>0</v>
      </c>
      <c r="C4" s="12">
        <v>4</v>
      </c>
      <c r="D4" s="13" t="s">
        <v>9</v>
      </c>
      <c r="E4" s="11">
        <f>VLOOKUP(D4,Overview!A$2:B$39,2,FALSE)</f>
        <v>1</v>
      </c>
      <c r="F4" s="12">
        <f>F3+100</f>
        <v>200</v>
      </c>
    </row>
    <row r="5" spans="1:6" ht="17.25" thickBot="1" x14ac:dyDescent="0.35">
      <c r="A5" s="12" t="s">
        <v>61</v>
      </c>
      <c r="B5" s="10">
        <f>VLOOKUP(A5,Overview!D$22:E$23,2,FALSE)</f>
        <v>0</v>
      </c>
      <c r="C5" s="12">
        <v>6</v>
      </c>
      <c r="D5" s="13" t="s">
        <v>9</v>
      </c>
      <c r="E5" s="11">
        <f>VLOOKUP(D5,Overview!A$2:B$39,2,FALSE)</f>
        <v>1</v>
      </c>
      <c r="F5" s="12">
        <f t="shared" ref="F5:F12" si="0">F4+100</f>
        <v>300</v>
      </c>
    </row>
    <row r="6" spans="1:6" ht="17.25" thickBot="1" x14ac:dyDescent="0.35">
      <c r="A6" s="12" t="s">
        <v>61</v>
      </c>
      <c r="B6" s="10">
        <f>VLOOKUP(A6,Overview!D$22:E$23,2,FALSE)</f>
        <v>0</v>
      </c>
      <c r="C6" s="12">
        <v>8</v>
      </c>
      <c r="D6" s="13" t="s">
        <v>9</v>
      </c>
      <c r="E6" s="11">
        <f>VLOOKUP(D6,Overview!A$2:B$39,2,FALSE)</f>
        <v>1</v>
      </c>
      <c r="F6" s="12">
        <f t="shared" si="0"/>
        <v>400</v>
      </c>
    </row>
    <row r="7" spans="1:6" ht="17.25" thickBot="1" x14ac:dyDescent="0.35">
      <c r="A7" s="12" t="s">
        <v>61</v>
      </c>
      <c r="B7" s="10">
        <f>VLOOKUP(A7,Overview!D$22:E$23,2,FALSE)</f>
        <v>0</v>
      </c>
      <c r="C7" s="12">
        <v>10</v>
      </c>
      <c r="D7" s="13" t="s">
        <v>9</v>
      </c>
      <c r="E7" s="11">
        <f>VLOOKUP(D7,Overview!A$2:B$39,2,FALSE)</f>
        <v>1</v>
      </c>
      <c r="F7" s="12">
        <f t="shared" si="0"/>
        <v>500</v>
      </c>
    </row>
    <row r="8" spans="1:6" ht="17.25" thickBot="1" x14ac:dyDescent="0.35">
      <c r="A8" s="12" t="s">
        <v>62</v>
      </c>
      <c r="B8" s="10">
        <f>VLOOKUP(A8,Overview!D$22:E$23,2,FALSE)</f>
        <v>1</v>
      </c>
      <c r="C8" s="12">
        <v>2</v>
      </c>
      <c r="D8" s="13" t="s">
        <v>9</v>
      </c>
      <c r="E8" s="11">
        <f>VLOOKUP(D8,Overview!A$2:B$39,2,FALSE)</f>
        <v>1</v>
      </c>
      <c r="F8" s="12">
        <f t="shared" si="0"/>
        <v>600</v>
      </c>
    </row>
    <row r="9" spans="1:6" ht="17.25" thickBot="1" x14ac:dyDescent="0.35">
      <c r="A9" s="12" t="s">
        <v>62</v>
      </c>
      <c r="B9" s="10">
        <f>VLOOKUP(A9,Overview!D$22:E$23,2,FALSE)</f>
        <v>1</v>
      </c>
      <c r="C9" s="12">
        <v>4</v>
      </c>
      <c r="D9" s="13" t="s">
        <v>9</v>
      </c>
      <c r="E9" s="11">
        <f>VLOOKUP(D9,Overview!A$2:B$39,2,FALSE)</f>
        <v>1</v>
      </c>
      <c r="F9" s="12">
        <f t="shared" si="0"/>
        <v>700</v>
      </c>
    </row>
    <row r="10" spans="1:6" ht="17.25" thickBot="1" x14ac:dyDescent="0.35">
      <c r="A10" s="12" t="s">
        <v>62</v>
      </c>
      <c r="B10" s="10">
        <f>VLOOKUP(A10,Overview!D$22:E$23,2,FALSE)</f>
        <v>1</v>
      </c>
      <c r="C10" s="12">
        <v>6</v>
      </c>
      <c r="D10" s="13" t="s">
        <v>9</v>
      </c>
      <c r="E10" s="11">
        <f>VLOOKUP(D10,Overview!A$2:B$39,2,FALSE)</f>
        <v>1</v>
      </c>
      <c r="F10" s="12">
        <f t="shared" si="0"/>
        <v>800</v>
      </c>
    </row>
    <row r="11" spans="1:6" ht="17.25" thickBot="1" x14ac:dyDescent="0.35">
      <c r="A11" s="12" t="s">
        <v>62</v>
      </c>
      <c r="B11" s="10">
        <f>VLOOKUP(A11,Overview!D$22:E$23,2,FALSE)</f>
        <v>1</v>
      </c>
      <c r="C11" s="12">
        <v>8</v>
      </c>
      <c r="D11" s="13" t="s">
        <v>9</v>
      </c>
      <c r="E11" s="11">
        <f>VLOOKUP(D11,Overview!A$2:B$39,2,FALSE)</f>
        <v>1</v>
      </c>
      <c r="F11" s="12">
        <f t="shared" si="0"/>
        <v>900</v>
      </c>
    </row>
    <row r="12" spans="1:6" ht="17.25" thickBot="1" x14ac:dyDescent="0.35">
      <c r="A12" s="12" t="s">
        <v>62</v>
      </c>
      <c r="B12" s="10">
        <f>VLOOKUP(A12,Overview!D$22:E$23,2,FALSE)</f>
        <v>1</v>
      </c>
      <c r="C12" s="12">
        <v>10</v>
      </c>
      <c r="D12" s="13" t="s">
        <v>9</v>
      </c>
      <c r="E12" s="11">
        <f>VLOOKUP(D12,Overview!A$2:B$39,2,FALSE)</f>
        <v>1</v>
      </c>
      <c r="F12" s="12">
        <f t="shared" si="0"/>
        <v>1000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950B7-AD24-42F0-AA24-2CD40F4E6D25}">
  <dimension ref="A1:F62"/>
  <sheetViews>
    <sheetView tabSelected="1" workbookViewId="0">
      <selection activeCell="B6" sqref="B6"/>
    </sheetView>
  </sheetViews>
  <sheetFormatPr defaultColWidth="9.375" defaultRowHeight="16.5" x14ac:dyDescent="0.3"/>
  <cols>
    <col min="1" max="1" width="5.75" bestFit="1" customWidth="1"/>
    <col min="2" max="2" width="11.75" customWidth="1"/>
    <col min="3" max="3" width="14" bestFit="1" customWidth="1"/>
    <col min="4" max="4" width="16.75" customWidth="1"/>
    <col min="5" max="5" width="19" bestFit="1" customWidth="1"/>
    <col min="6" max="6" width="4.875" bestFit="1" customWidth="1"/>
  </cols>
  <sheetData>
    <row r="1" spans="1:6" x14ac:dyDescent="0.3">
      <c r="A1" s="5" t="s">
        <v>68</v>
      </c>
      <c r="B1" s="5" t="s">
        <v>69</v>
      </c>
      <c r="C1" s="5" t="s">
        <v>8</v>
      </c>
      <c r="D1" s="5" t="s">
        <v>70</v>
      </c>
      <c r="E1" s="5" t="s">
        <v>71</v>
      </c>
      <c r="F1" s="1" t="s">
        <v>72</v>
      </c>
    </row>
    <row r="2" spans="1:6" x14ac:dyDescent="0.3">
      <c r="A2" s="5" t="s">
        <v>2</v>
      </c>
      <c r="B2" s="5" t="s">
        <v>0</v>
      </c>
      <c r="C2" s="1" t="s">
        <v>2</v>
      </c>
      <c r="D2" s="5" t="s">
        <v>0</v>
      </c>
      <c r="E2" s="1" t="s">
        <v>2</v>
      </c>
      <c r="F2" s="1" t="s">
        <v>2</v>
      </c>
    </row>
    <row r="3" spans="1:6" x14ac:dyDescent="0.3">
      <c r="A3">
        <v>1</v>
      </c>
      <c r="B3" t="s">
        <v>73</v>
      </c>
      <c r="C3">
        <v>100</v>
      </c>
      <c r="D3" t="str">
        <f t="shared" ref="D3:D34" si="0">B3</f>
        <v>rice</v>
      </c>
      <c r="E3">
        <f t="shared" ref="E3:E61" si="1">C3*3</f>
        <v>300</v>
      </c>
      <c r="F3">
        <v>200</v>
      </c>
    </row>
    <row r="4" spans="1:6" x14ac:dyDescent="0.3">
      <c r="A4">
        <f>A3+1</f>
        <v>2</v>
      </c>
      <c r="B4" t="s">
        <v>34</v>
      </c>
      <c r="C4">
        <v>10</v>
      </c>
      <c r="D4" t="str">
        <f t="shared" si="0"/>
        <v>gold</v>
      </c>
      <c r="E4">
        <f t="shared" si="1"/>
        <v>30</v>
      </c>
      <c r="F4">
        <v>200</v>
      </c>
    </row>
    <row r="5" spans="1:6" x14ac:dyDescent="0.3">
      <c r="A5">
        <f t="shared" ref="A5:A62" si="2">A4+1</f>
        <v>3</v>
      </c>
      <c r="B5" t="s">
        <v>73</v>
      </c>
      <c r="C5">
        <v>100</v>
      </c>
      <c r="D5" t="str">
        <f t="shared" si="0"/>
        <v>rice</v>
      </c>
      <c r="E5">
        <f t="shared" si="1"/>
        <v>300</v>
      </c>
      <c r="F5">
        <v>200</v>
      </c>
    </row>
    <row r="6" spans="1:6" x14ac:dyDescent="0.3">
      <c r="A6">
        <f t="shared" si="2"/>
        <v>4</v>
      </c>
      <c r="B6" t="s">
        <v>34</v>
      </c>
      <c r="C6">
        <v>10</v>
      </c>
      <c r="D6" t="str">
        <f t="shared" si="0"/>
        <v>gold</v>
      </c>
      <c r="E6">
        <f t="shared" si="1"/>
        <v>30</v>
      </c>
      <c r="F6">
        <v>200</v>
      </c>
    </row>
    <row r="7" spans="1:6" x14ac:dyDescent="0.3">
      <c r="A7">
        <f t="shared" si="2"/>
        <v>5</v>
      </c>
      <c r="B7" t="s">
        <v>73</v>
      </c>
      <c r="C7">
        <v>100</v>
      </c>
      <c r="D7" t="str">
        <f t="shared" si="0"/>
        <v>rice</v>
      </c>
      <c r="E7">
        <f t="shared" si="1"/>
        <v>300</v>
      </c>
      <c r="F7">
        <v>200</v>
      </c>
    </row>
    <row r="8" spans="1:6" x14ac:dyDescent="0.3">
      <c r="A8">
        <f t="shared" si="2"/>
        <v>6</v>
      </c>
      <c r="B8" t="s">
        <v>34</v>
      </c>
      <c r="C8">
        <v>10</v>
      </c>
      <c r="D8" t="str">
        <f t="shared" si="0"/>
        <v>gold</v>
      </c>
      <c r="E8">
        <f t="shared" si="1"/>
        <v>30</v>
      </c>
      <c r="F8">
        <v>200</v>
      </c>
    </row>
    <row r="9" spans="1:6" x14ac:dyDescent="0.3">
      <c r="A9">
        <f t="shared" si="2"/>
        <v>7</v>
      </c>
      <c r="B9" t="s">
        <v>73</v>
      </c>
      <c r="C9">
        <v>100</v>
      </c>
      <c r="D9" t="str">
        <f t="shared" si="0"/>
        <v>rice</v>
      </c>
      <c r="E9">
        <f t="shared" si="1"/>
        <v>300</v>
      </c>
      <c r="F9">
        <v>200</v>
      </c>
    </row>
    <row r="10" spans="1:6" x14ac:dyDescent="0.3">
      <c r="A10">
        <f t="shared" si="2"/>
        <v>8</v>
      </c>
      <c r="B10" t="s">
        <v>34</v>
      </c>
      <c r="C10">
        <v>10</v>
      </c>
      <c r="D10" t="str">
        <f t="shared" si="0"/>
        <v>gold</v>
      </c>
      <c r="E10">
        <f t="shared" si="1"/>
        <v>30</v>
      </c>
      <c r="F10">
        <v>200</v>
      </c>
    </row>
    <row r="11" spans="1:6" x14ac:dyDescent="0.3">
      <c r="A11">
        <f t="shared" si="2"/>
        <v>9</v>
      </c>
      <c r="B11" t="s">
        <v>73</v>
      </c>
      <c r="C11">
        <v>100</v>
      </c>
      <c r="D11" t="str">
        <f t="shared" si="0"/>
        <v>rice</v>
      </c>
      <c r="E11">
        <f t="shared" si="1"/>
        <v>300</v>
      </c>
      <c r="F11">
        <v>200</v>
      </c>
    </row>
    <row r="12" spans="1:6" x14ac:dyDescent="0.3">
      <c r="A12">
        <f t="shared" si="2"/>
        <v>10</v>
      </c>
      <c r="B12" t="s">
        <v>34</v>
      </c>
      <c r="C12">
        <v>10</v>
      </c>
      <c r="D12" t="str">
        <f t="shared" si="0"/>
        <v>gold</v>
      </c>
      <c r="E12">
        <f t="shared" si="1"/>
        <v>30</v>
      </c>
      <c r="F12">
        <v>200</v>
      </c>
    </row>
    <row r="13" spans="1:6" x14ac:dyDescent="0.3">
      <c r="A13">
        <f t="shared" si="2"/>
        <v>11</v>
      </c>
      <c r="B13" t="s">
        <v>73</v>
      </c>
      <c r="C13">
        <v>100</v>
      </c>
      <c r="D13" t="str">
        <f t="shared" si="0"/>
        <v>rice</v>
      </c>
      <c r="E13">
        <f t="shared" si="1"/>
        <v>300</v>
      </c>
      <c r="F13">
        <v>200</v>
      </c>
    </row>
    <row r="14" spans="1:6" x14ac:dyDescent="0.3">
      <c r="A14">
        <f t="shared" si="2"/>
        <v>12</v>
      </c>
      <c r="B14" t="s">
        <v>34</v>
      </c>
      <c r="C14">
        <v>10</v>
      </c>
      <c r="D14" t="str">
        <f t="shared" si="0"/>
        <v>gold</v>
      </c>
      <c r="E14">
        <f t="shared" si="1"/>
        <v>30</v>
      </c>
      <c r="F14">
        <v>200</v>
      </c>
    </row>
    <row r="15" spans="1:6" x14ac:dyDescent="0.3">
      <c r="A15">
        <f t="shared" si="2"/>
        <v>13</v>
      </c>
      <c r="B15" t="s">
        <v>73</v>
      </c>
      <c r="C15">
        <v>100</v>
      </c>
      <c r="D15" t="str">
        <f t="shared" si="0"/>
        <v>rice</v>
      </c>
      <c r="E15">
        <f t="shared" si="1"/>
        <v>300</v>
      </c>
      <c r="F15">
        <v>200</v>
      </c>
    </row>
    <row r="16" spans="1:6" x14ac:dyDescent="0.3">
      <c r="A16">
        <f t="shared" si="2"/>
        <v>14</v>
      </c>
      <c r="B16" t="s">
        <v>34</v>
      </c>
      <c r="C16">
        <v>10</v>
      </c>
      <c r="D16" t="str">
        <f t="shared" si="0"/>
        <v>gold</v>
      </c>
      <c r="E16">
        <f t="shared" si="1"/>
        <v>30</v>
      </c>
      <c r="F16">
        <v>200</v>
      </c>
    </row>
    <row r="17" spans="1:6" x14ac:dyDescent="0.3">
      <c r="A17">
        <f t="shared" si="2"/>
        <v>15</v>
      </c>
      <c r="B17" t="s">
        <v>73</v>
      </c>
      <c r="C17">
        <v>100</v>
      </c>
      <c r="D17" t="str">
        <f t="shared" si="0"/>
        <v>rice</v>
      </c>
      <c r="E17">
        <f t="shared" si="1"/>
        <v>300</v>
      </c>
      <c r="F17">
        <v>200</v>
      </c>
    </row>
    <row r="18" spans="1:6" x14ac:dyDescent="0.3">
      <c r="A18">
        <f t="shared" si="2"/>
        <v>16</v>
      </c>
      <c r="B18" t="s">
        <v>34</v>
      </c>
      <c r="C18">
        <v>10</v>
      </c>
      <c r="D18" t="str">
        <f t="shared" si="0"/>
        <v>gold</v>
      </c>
      <c r="E18">
        <f t="shared" si="1"/>
        <v>30</v>
      </c>
      <c r="F18">
        <v>200</v>
      </c>
    </row>
    <row r="19" spans="1:6" x14ac:dyDescent="0.3">
      <c r="A19">
        <f t="shared" si="2"/>
        <v>17</v>
      </c>
      <c r="B19" t="s">
        <v>73</v>
      </c>
      <c r="C19">
        <v>100</v>
      </c>
      <c r="D19" t="str">
        <f t="shared" si="0"/>
        <v>rice</v>
      </c>
      <c r="E19">
        <f t="shared" si="1"/>
        <v>300</v>
      </c>
      <c r="F19">
        <v>200</v>
      </c>
    </row>
    <row r="20" spans="1:6" x14ac:dyDescent="0.3">
      <c r="A20">
        <f t="shared" si="2"/>
        <v>18</v>
      </c>
      <c r="B20" t="s">
        <v>34</v>
      </c>
      <c r="C20">
        <v>10</v>
      </c>
      <c r="D20" t="str">
        <f t="shared" si="0"/>
        <v>gold</v>
      </c>
      <c r="E20">
        <f t="shared" si="1"/>
        <v>30</v>
      </c>
      <c r="F20">
        <v>200</v>
      </c>
    </row>
    <row r="21" spans="1:6" x14ac:dyDescent="0.3">
      <c r="A21">
        <f t="shared" si="2"/>
        <v>19</v>
      </c>
      <c r="B21" t="s">
        <v>73</v>
      </c>
      <c r="C21">
        <v>100</v>
      </c>
      <c r="D21" t="str">
        <f t="shared" si="0"/>
        <v>rice</v>
      </c>
      <c r="E21">
        <f t="shared" si="1"/>
        <v>300</v>
      </c>
      <c r="F21">
        <v>200</v>
      </c>
    </row>
    <row r="22" spans="1:6" x14ac:dyDescent="0.3">
      <c r="A22">
        <f t="shared" si="2"/>
        <v>20</v>
      </c>
      <c r="B22" t="s">
        <v>34</v>
      </c>
      <c r="C22">
        <v>10</v>
      </c>
      <c r="D22" t="str">
        <f t="shared" si="0"/>
        <v>gold</v>
      </c>
      <c r="E22">
        <f t="shared" si="1"/>
        <v>30</v>
      </c>
      <c r="F22">
        <v>200</v>
      </c>
    </row>
    <row r="23" spans="1:6" x14ac:dyDescent="0.3">
      <c r="A23">
        <f t="shared" si="2"/>
        <v>21</v>
      </c>
      <c r="B23" t="s">
        <v>73</v>
      </c>
      <c r="C23">
        <v>100</v>
      </c>
      <c r="D23" t="str">
        <f t="shared" si="0"/>
        <v>rice</v>
      </c>
      <c r="E23">
        <f t="shared" si="1"/>
        <v>300</v>
      </c>
      <c r="F23">
        <v>200</v>
      </c>
    </row>
    <row r="24" spans="1:6" x14ac:dyDescent="0.3">
      <c r="A24">
        <f t="shared" si="2"/>
        <v>22</v>
      </c>
      <c r="B24" t="s">
        <v>34</v>
      </c>
      <c r="C24">
        <v>10</v>
      </c>
      <c r="D24" t="str">
        <f t="shared" si="0"/>
        <v>gold</v>
      </c>
      <c r="E24">
        <f t="shared" si="1"/>
        <v>30</v>
      </c>
      <c r="F24">
        <v>200</v>
      </c>
    </row>
    <row r="25" spans="1:6" x14ac:dyDescent="0.3">
      <c r="A25">
        <f t="shared" si="2"/>
        <v>23</v>
      </c>
      <c r="B25" t="s">
        <v>73</v>
      </c>
      <c r="C25">
        <v>100</v>
      </c>
      <c r="D25" t="str">
        <f t="shared" si="0"/>
        <v>rice</v>
      </c>
      <c r="E25">
        <f t="shared" si="1"/>
        <v>300</v>
      </c>
      <c r="F25">
        <v>200</v>
      </c>
    </row>
    <row r="26" spans="1:6" x14ac:dyDescent="0.3">
      <c r="A26">
        <f t="shared" si="2"/>
        <v>24</v>
      </c>
      <c r="B26" t="s">
        <v>34</v>
      </c>
      <c r="C26">
        <v>10</v>
      </c>
      <c r="D26" t="str">
        <f t="shared" si="0"/>
        <v>gold</v>
      </c>
      <c r="E26">
        <f t="shared" si="1"/>
        <v>30</v>
      </c>
      <c r="F26">
        <v>200</v>
      </c>
    </row>
    <row r="27" spans="1:6" x14ac:dyDescent="0.3">
      <c r="A27">
        <f t="shared" si="2"/>
        <v>25</v>
      </c>
      <c r="B27" t="s">
        <v>73</v>
      </c>
      <c r="C27">
        <v>100</v>
      </c>
      <c r="D27" t="str">
        <f t="shared" si="0"/>
        <v>rice</v>
      </c>
      <c r="E27">
        <f t="shared" si="1"/>
        <v>300</v>
      </c>
      <c r="F27">
        <v>200</v>
      </c>
    </row>
    <row r="28" spans="1:6" x14ac:dyDescent="0.3">
      <c r="A28">
        <f t="shared" si="2"/>
        <v>26</v>
      </c>
      <c r="B28" t="s">
        <v>34</v>
      </c>
      <c r="C28">
        <v>10</v>
      </c>
      <c r="D28" t="str">
        <f t="shared" si="0"/>
        <v>gold</v>
      </c>
      <c r="E28">
        <f t="shared" si="1"/>
        <v>30</v>
      </c>
      <c r="F28">
        <v>200</v>
      </c>
    </row>
    <row r="29" spans="1:6" x14ac:dyDescent="0.3">
      <c r="A29">
        <f t="shared" si="2"/>
        <v>27</v>
      </c>
      <c r="B29" t="s">
        <v>73</v>
      </c>
      <c r="C29">
        <v>100</v>
      </c>
      <c r="D29" t="str">
        <f t="shared" si="0"/>
        <v>rice</v>
      </c>
      <c r="E29">
        <f t="shared" si="1"/>
        <v>300</v>
      </c>
      <c r="F29">
        <v>200</v>
      </c>
    </row>
    <row r="30" spans="1:6" x14ac:dyDescent="0.3">
      <c r="A30">
        <f t="shared" si="2"/>
        <v>28</v>
      </c>
      <c r="B30" t="s">
        <v>34</v>
      </c>
      <c r="C30">
        <v>10</v>
      </c>
      <c r="D30" t="str">
        <f t="shared" si="0"/>
        <v>gold</v>
      </c>
      <c r="E30">
        <f t="shared" si="1"/>
        <v>30</v>
      </c>
      <c r="F30">
        <v>200</v>
      </c>
    </row>
    <row r="31" spans="1:6" x14ac:dyDescent="0.3">
      <c r="A31">
        <f t="shared" si="2"/>
        <v>29</v>
      </c>
      <c r="B31" t="s">
        <v>73</v>
      </c>
      <c r="C31">
        <v>100</v>
      </c>
      <c r="D31" t="str">
        <f t="shared" si="0"/>
        <v>rice</v>
      </c>
      <c r="E31">
        <f t="shared" si="1"/>
        <v>300</v>
      </c>
      <c r="F31">
        <v>200</v>
      </c>
    </row>
    <row r="32" spans="1:6" x14ac:dyDescent="0.3">
      <c r="A32">
        <f t="shared" si="2"/>
        <v>30</v>
      </c>
      <c r="B32" t="s">
        <v>34</v>
      </c>
      <c r="C32">
        <v>10</v>
      </c>
      <c r="D32" t="str">
        <f t="shared" si="0"/>
        <v>gold</v>
      </c>
      <c r="E32">
        <f t="shared" si="1"/>
        <v>30</v>
      </c>
      <c r="F32">
        <v>200</v>
      </c>
    </row>
    <row r="33" spans="1:6" x14ac:dyDescent="0.3">
      <c r="A33">
        <f t="shared" si="2"/>
        <v>31</v>
      </c>
      <c r="B33" t="s">
        <v>73</v>
      </c>
      <c r="C33">
        <v>100</v>
      </c>
      <c r="D33" t="str">
        <f t="shared" si="0"/>
        <v>rice</v>
      </c>
      <c r="E33">
        <f t="shared" si="1"/>
        <v>300</v>
      </c>
      <c r="F33">
        <v>200</v>
      </c>
    </row>
    <row r="34" spans="1:6" x14ac:dyDescent="0.3">
      <c r="A34">
        <f t="shared" si="2"/>
        <v>32</v>
      </c>
      <c r="B34" t="s">
        <v>34</v>
      </c>
      <c r="C34">
        <v>10</v>
      </c>
      <c r="D34" t="str">
        <f t="shared" si="0"/>
        <v>gold</v>
      </c>
      <c r="E34">
        <f t="shared" si="1"/>
        <v>30</v>
      </c>
      <c r="F34">
        <v>200</v>
      </c>
    </row>
    <row r="35" spans="1:6" x14ac:dyDescent="0.3">
      <c r="A35">
        <f t="shared" si="2"/>
        <v>33</v>
      </c>
      <c r="B35" t="s">
        <v>73</v>
      </c>
      <c r="C35">
        <v>100</v>
      </c>
      <c r="D35" t="str">
        <f t="shared" ref="D35:D62" si="3">B35</f>
        <v>rice</v>
      </c>
      <c r="E35">
        <f t="shared" si="1"/>
        <v>300</v>
      </c>
      <c r="F35">
        <v>200</v>
      </c>
    </row>
    <row r="36" spans="1:6" x14ac:dyDescent="0.3">
      <c r="A36">
        <f t="shared" si="2"/>
        <v>34</v>
      </c>
      <c r="B36" t="s">
        <v>34</v>
      </c>
      <c r="C36">
        <v>10</v>
      </c>
      <c r="D36" t="str">
        <f t="shared" si="3"/>
        <v>gold</v>
      </c>
      <c r="E36">
        <f t="shared" si="1"/>
        <v>30</v>
      </c>
      <c r="F36">
        <v>200</v>
      </c>
    </row>
    <row r="37" spans="1:6" x14ac:dyDescent="0.3">
      <c r="A37">
        <f t="shared" si="2"/>
        <v>35</v>
      </c>
      <c r="B37" t="s">
        <v>73</v>
      </c>
      <c r="C37">
        <v>100</v>
      </c>
      <c r="D37" t="str">
        <f t="shared" si="3"/>
        <v>rice</v>
      </c>
      <c r="E37">
        <f t="shared" si="1"/>
        <v>300</v>
      </c>
      <c r="F37">
        <v>200</v>
      </c>
    </row>
    <row r="38" spans="1:6" x14ac:dyDescent="0.3">
      <c r="A38">
        <f t="shared" si="2"/>
        <v>36</v>
      </c>
      <c r="B38" t="s">
        <v>34</v>
      </c>
      <c r="C38">
        <v>10</v>
      </c>
      <c r="D38" t="str">
        <f t="shared" si="3"/>
        <v>gold</v>
      </c>
      <c r="E38">
        <f t="shared" si="1"/>
        <v>30</v>
      </c>
      <c r="F38">
        <v>200</v>
      </c>
    </row>
    <row r="39" spans="1:6" x14ac:dyDescent="0.3">
      <c r="A39">
        <f t="shared" si="2"/>
        <v>37</v>
      </c>
      <c r="B39" t="s">
        <v>73</v>
      </c>
      <c r="C39">
        <v>100</v>
      </c>
      <c r="D39" t="str">
        <f t="shared" si="3"/>
        <v>rice</v>
      </c>
      <c r="E39">
        <f t="shared" si="1"/>
        <v>300</v>
      </c>
      <c r="F39">
        <v>200</v>
      </c>
    </row>
    <row r="40" spans="1:6" x14ac:dyDescent="0.3">
      <c r="A40">
        <f t="shared" si="2"/>
        <v>38</v>
      </c>
      <c r="B40" t="s">
        <v>34</v>
      </c>
      <c r="C40">
        <v>10</v>
      </c>
      <c r="D40" t="str">
        <f t="shared" si="3"/>
        <v>gold</v>
      </c>
      <c r="E40">
        <f t="shared" si="1"/>
        <v>30</v>
      </c>
      <c r="F40">
        <v>200</v>
      </c>
    </row>
    <row r="41" spans="1:6" x14ac:dyDescent="0.3">
      <c r="A41">
        <f t="shared" si="2"/>
        <v>39</v>
      </c>
      <c r="B41" t="s">
        <v>73</v>
      </c>
      <c r="C41">
        <v>100</v>
      </c>
      <c r="D41" t="str">
        <f t="shared" si="3"/>
        <v>rice</v>
      </c>
      <c r="E41">
        <f t="shared" si="1"/>
        <v>300</v>
      </c>
      <c r="F41">
        <v>200</v>
      </c>
    </row>
    <row r="42" spans="1:6" x14ac:dyDescent="0.3">
      <c r="A42">
        <f t="shared" si="2"/>
        <v>40</v>
      </c>
      <c r="B42" t="s">
        <v>34</v>
      </c>
      <c r="C42">
        <v>10</v>
      </c>
      <c r="D42" t="str">
        <f t="shared" si="3"/>
        <v>gold</v>
      </c>
      <c r="E42">
        <f t="shared" si="1"/>
        <v>30</v>
      </c>
      <c r="F42">
        <v>200</v>
      </c>
    </row>
    <row r="43" spans="1:6" x14ac:dyDescent="0.3">
      <c r="A43">
        <f t="shared" si="2"/>
        <v>41</v>
      </c>
      <c r="B43" t="s">
        <v>73</v>
      </c>
      <c r="C43">
        <v>100</v>
      </c>
      <c r="D43" t="str">
        <f t="shared" si="3"/>
        <v>rice</v>
      </c>
      <c r="E43">
        <f t="shared" si="1"/>
        <v>300</v>
      </c>
      <c r="F43">
        <v>200</v>
      </c>
    </row>
    <row r="44" spans="1:6" x14ac:dyDescent="0.3">
      <c r="A44">
        <f t="shared" si="2"/>
        <v>42</v>
      </c>
      <c r="B44" t="s">
        <v>34</v>
      </c>
      <c r="C44">
        <v>10</v>
      </c>
      <c r="D44" t="str">
        <f t="shared" si="3"/>
        <v>gold</v>
      </c>
      <c r="E44">
        <f t="shared" si="1"/>
        <v>30</v>
      </c>
      <c r="F44">
        <v>200</v>
      </c>
    </row>
    <row r="45" spans="1:6" x14ac:dyDescent="0.3">
      <c r="A45">
        <f t="shared" si="2"/>
        <v>43</v>
      </c>
      <c r="B45" t="s">
        <v>73</v>
      </c>
      <c r="C45">
        <v>100</v>
      </c>
      <c r="D45" t="str">
        <f t="shared" si="3"/>
        <v>rice</v>
      </c>
      <c r="E45">
        <f t="shared" si="1"/>
        <v>300</v>
      </c>
      <c r="F45">
        <v>200</v>
      </c>
    </row>
    <row r="46" spans="1:6" x14ac:dyDescent="0.3">
      <c r="A46">
        <f t="shared" si="2"/>
        <v>44</v>
      </c>
      <c r="B46" t="s">
        <v>34</v>
      </c>
      <c r="C46">
        <v>10</v>
      </c>
      <c r="D46" t="str">
        <f t="shared" si="3"/>
        <v>gold</v>
      </c>
      <c r="E46">
        <f t="shared" si="1"/>
        <v>30</v>
      </c>
      <c r="F46">
        <v>200</v>
      </c>
    </row>
    <row r="47" spans="1:6" x14ac:dyDescent="0.3">
      <c r="A47">
        <f t="shared" si="2"/>
        <v>45</v>
      </c>
      <c r="B47" t="s">
        <v>73</v>
      </c>
      <c r="C47">
        <v>100</v>
      </c>
      <c r="D47" t="str">
        <f t="shared" si="3"/>
        <v>rice</v>
      </c>
      <c r="E47">
        <f t="shared" si="1"/>
        <v>300</v>
      </c>
      <c r="F47">
        <v>200</v>
      </c>
    </row>
    <row r="48" spans="1:6" x14ac:dyDescent="0.3">
      <c r="A48">
        <f t="shared" si="2"/>
        <v>46</v>
      </c>
      <c r="B48" t="s">
        <v>34</v>
      </c>
      <c r="C48">
        <v>10</v>
      </c>
      <c r="D48" t="str">
        <f t="shared" si="3"/>
        <v>gold</v>
      </c>
      <c r="E48">
        <f t="shared" si="1"/>
        <v>30</v>
      </c>
      <c r="F48">
        <v>200</v>
      </c>
    </row>
    <row r="49" spans="1:6" x14ac:dyDescent="0.3">
      <c r="A49">
        <f t="shared" si="2"/>
        <v>47</v>
      </c>
      <c r="B49" t="s">
        <v>73</v>
      </c>
      <c r="C49">
        <v>100</v>
      </c>
      <c r="D49" t="str">
        <f t="shared" si="3"/>
        <v>rice</v>
      </c>
      <c r="E49">
        <f t="shared" si="1"/>
        <v>300</v>
      </c>
      <c r="F49">
        <v>200</v>
      </c>
    </row>
    <row r="50" spans="1:6" x14ac:dyDescent="0.3">
      <c r="A50">
        <f t="shared" si="2"/>
        <v>48</v>
      </c>
      <c r="B50" t="s">
        <v>34</v>
      </c>
      <c r="C50">
        <v>10</v>
      </c>
      <c r="D50" t="str">
        <f t="shared" si="3"/>
        <v>gold</v>
      </c>
      <c r="E50">
        <f t="shared" si="1"/>
        <v>30</v>
      </c>
      <c r="F50">
        <v>200</v>
      </c>
    </row>
    <row r="51" spans="1:6" x14ac:dyDescent="0.3">
      <c r="A51">
        <f t="shared" si="2"/>
        <v>49</v>
      </c>
      <c r="B51" t="s">
        <v>73</v>
      </c>
      <c r="C51">
        <v>100</v>
      </c>
      <c r="D51" t="str">
        <f t="shared" si="3"/>
        <v>rice</v>
      </c>
      <c r="E51">
        <f t="shared" si="1"/>
        <v>300</v>
      </c>
      <c r="F51">
        <v>200</v>
      </c>
    </row>
    <row r="52" spans="1:6" x14ac:dyDescent="0.3">
      <c r="A52">
        <f t="shared" si="2"/>
        <v>50</v>
      </c>
      <c r="B52" t="s">
        <v>34</v>
      </c>
      <c r="C52">
        <v>10</v>
      </c>
      <c r="D52" t="str">
        <f t="shared" si="3"/>
        <v>gold</v>
      </c>
      <c r="E52">
        <f t="shared" si="1"/>
        <v>30</v>
      </c>
      <c r="F52">
        <v>200</v>
      </c>
    </row>
    <row r="53" spans="1:6" x14ac:dyDescent="0.3">
      <c r="A53">
        <f t="shared" si="2"/>
        <v>51</v>
      </c>
      <c r="B53" t="s">
        <v>73</v>
      </c>
      <c r="C53">
        <v>100</v>
      </c>
      <c r="D53" t="str">
        <f t="shared" si="3"/>
        <v>rice</v>
      </c>
      <c r="E53">
        <f t="shared" si="1"/>
        <v>300</v>
      </c>
      <c r="F53">
        <v>200</v>
      </c>
    </row>
    <row r="54" spans="1:6" x14ac:dyDescent="0.3">
      <c r="A54">
        <f t="shared" si="2"/>
        <v>52</v>
      </c>
      <c r="B54" t="s">
        <v>34</v>
      </c>
      <c r="C54">
        <v>10</v>
      </c>
      <c r="D54" t="str">
        <f t="shared" si="3"/>
        <v>gold</v>
      </c>
      <c r="E54">
        <f t="shared" si="1"/>
        <v>30</v>
      </c>
      <c r="F54">
        <v>200</v>
      </c>
    </row>
    <row r="55" spans="1:6" x14ac:dyDescent="0.3">
      <c r="A55">
        <f t="shared" si="2"/>
        <v>53</v>
      </c>
      <c r="B55" t="s">
        <v>73</v>
      </c>
      <c r="C55">
        <v>100</v>
      </c>
      <c r="D55" t="str">
        <f t="shared" si="3"/>
        <v>rice</v>
      </c>
      <c r="E55">
        <f t="shared" si="1"/>
        <v>300</v>
      </c>
      <c r="F55">
        <v>200</v>
      </c>
    </row>
    <row r="56" spans="1:6" x14ac:dyDescent="0.3">
      <c r="A56">
        <f t="shared" si="2"/>
        <v>54</v>
      </c>
      <c r="B56" t="s">
        <v>34</v>
      </c>
      <c r="C56">
        <v>10</v>
      </c>
      <c r="D56" t="str">
        <f t="shared" si="3"/>
        <v>gold</v>
      </c>
      <c r="E56">
        <f t="shared" si="1"/>
        <v>30</v>
      </c>
      <c r="F56">
        <v>200</v>
      </c>
    </row>
    <row r="57" spans="1:6" x14ac:dyDescent="0.3">
      <c r="A57">
        <f t="shared" si="2"/>
        <v>55</v>
      </c>
      <c r="B57" t="s">
        <v>73</v>
      </c>
      <c r="C57">
        <v>100</v>
      </c>
      <c r="D57" t="str">
        <f t="shared" si="3"/>
        <v>rice</v>
      </c>
      <c r="E57">
        <f t="shared" si="1"/>
        <v>300</v>
      </c>
      <c r="F57">
        <v>200</v>
      </c>
    </row>
    <row r="58" spans="1:6" x14ac:dyDescent="0.3">
      <c r="A58">
        <f t="shared" si="2"/>
        <v>56</v>
      </c>
      <c r="B58" t="s">
        <v>34</v>
      </c>
      <c r="C58">
        <v>10</v>
      </c>
      <c r="D58" t="str">
        <f t="shared" si="3"/>
        <v>gold</v>
      </c>
      <c r="E58">
        <f t="shared" si="1"/>
        <v>30</v>
      </c>
      <c r="F58">
        <v>200</v>
      </c>
    </row>
    <row r="59" spans="1:6" x14ac:dyDescent="0.3">
      <c r="A59">
        <f t="shared" si="2"/>
        <v>57</v>
      </c>
      <c r="B59" t="s">
        <v>73</v>
      </c>
      <c r="C59">
        <v>100</v>
      </c>
      <c r="D59" t="str">
        <f t="shared" si="3"/>
        <v>rice</v>
      </c>
      <c r="E59">
        <f t="shared" si="1"/>
        <v>300</v>
      </c>
      <c r="F59">
        <v>200</v>
      </c>
    </row>
    <row r="60" spans="1:6" x14ac:dyDescent="0.3">
      <c r="A60">
        <f t="shared" si="2"/>
        <v>58</v>
      </c>
      <c r="B60" t="s">
        <v>34</v>
      </c>
      <c r="C60">
        <v>10</v>
      </c>
      <c r="D60" t="str">
        <f t="shared" si="3"/>
        <v>gold</v>
      </c>
      <c r="E60">
        <f t="shared" si="1"/>
        <v>30</v>
      </c>
      <c r="F60">
        <v>200</v>
      </c>
    </row>
    <row r="61" spans="1:6" x14ac:dyDescent="0.3">
      <c r="A61">
        <f t="shared" si="2"/>
        <v>59</v>
      </c>
      <c r="B61" t="s">
        <v>73</v>
      </c>
      <c r="C61">
        <v>100</v>
      </c>
      <c r="D61" t="str">
        <f t="shared" si="3"/>
        <v>rice</v>
      </c>
      <c r="E61">
        <f t="shared" si="1"/>
        <v>300</v>
      </c>
      <c r="F61">
        <v>200</v>
      </c>
    </row>
    <row r="62" spans="1:6" x14ac:dyDescent="0.3">
      <c r="A62">
        <f t="shared" si="2"/>
        <v>60</v>
      </c>
      <c r="B62" t="s">
        <v>34</v>
      </c>
      <c r="C62">
        <v>10</v>
      </c>
      <c r="D62" t="str">
        <f t="shared" si="3"/>
        <v>gold</v>
      </c>
      <c r="E62">
        <f>C62*3</f>
        <v>30</v>
      </c>
      <c r="F62">
        <v>200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92700-3ECC-4D17-B82E-628F6E33E3E6}">
  <dimension ref="A1:H28"/>
  <sheetViews>
    <sheetView workbookViewId="0">
      <selection activeCell="C15" sqref="C15"/>
    </sheetView>
  </sheetViews>
  <sheetFormatPr defaultColWidth="9.375" defaultRowHeight="16.5" x14ac:dyDescent="0.3"/>
  <cols>
    <col min="1" max="1" width="18.125" bestFit="1" customWidth="1"/>
    <col min="2" max="2" width="4.75" bestFit="1" customWidth="1"/>
    <col min="3" max="3" width="5.625" bestFit="1" customWidth="1"/>
    <col min="4" max="4" width="6.75" bestFit="1" customWidth="1"/>
    <col min="5" max="5" width="4.875" bestFit="1" customWidth="1"/>
    <col min="6" max="6" width="12.125" bestFit="1" customWidth="1"/>
    <col min="7" max="7" width="10.625" bestFit="1" customWidth="1"/>
    <col min="8" max="8" width="8" bestFit="1" customWidth="1"/>
  </cols>
  <sheetData>
    <row r="1" spans="1:8" x14ac:dyDescent="0.3">
      <c r="A1" s="5" t="s">
        <v>3</v>
      </c>
      <c r="B1" s="5" t="s">
        <v>1</v>
      </c>
      <c r="C1" s="5" t="s">
        <v>53</v>
      </c>
      <c r="D1" s="5" t="s">
        <v>74</v>
      </c>
      <c r="E1" s="5" t="s">
        <v>72</v>
      </c>
      <c r="F1" s="5" t="s">
        <v>75</v>
      </c>
      <c r="G1" s="1" t="s">
        <v>76</v>
      </c>
      <c r="H1" s="5" t="s">
        <v>77</v>
      </c>
    </row>
    <row r="2" spans="1:8" x14ac:dyDescent="0.3">
      <c r="A2" s="5" t="s">
        <v>0</v>
      </c>
      <c r="B2" s="5" t="s">
        <v>2</v>
      </c>
      <c r="C2" s="1" t="s">
        <v>2</v>
      </c>
      <c r="D2" s="1" t="s">
        <v>2</v>
      </c>
      <c r="E2" s="1" t="s">
        <v>2</v>
      </c>
      <c r="F2" s="1" t="s">
        <v>2</v>
      </c>
      <c r="G2" s="1" t="s">
        <v>2</v>
      </c>
      <c r="H2" s="1" t="s">
        <v>2</v>
      </c>
    </row>
    <row r="3" spans="1:8" x14ac:dyDescent="0.2">
      <c r="A3" s="16" t="s">
        <v>54</v>
      </c>
      <c r="B3" s="16">
        <f>VLOOKUP(A3,Overview!$G$2:$H$14, 2, FALSE)</f>
        <v>0</v>
      </c>
      <c r="C3" s="17">
        <v>2</v>
      </c>
      <c r="D3" s="17">
        <v>3</v>
      </c>
      <c r="E3" s="17">
        <v>100</v>
      </c>
      <c r="F3" s="17"/>
      <c r="G3" s="17"/>
      <c r="H3" s="17"/>
    </row>
    <row r="4" spans="1:8" x14ac:dyDescent="0.2">
      <c r="A4" s="16" t="s">
        <v>37</v>
      </c>
      <c r="B4" s="16">
        <f>VLOOKUP(A4,Overview!$G$2:$H$14, 2, FALSE)</f>
        <v>1</v>
      </c>
      <c r="C4" s="17">
        <v>2</v>
      </c>
      <c r="D4" s="17">
        <v>1000</v>
      </c>
      <c r="E4" s="17">
        <v>200</v>
      </c>
      <c r="F4" s="17">
        <v>1</v>
      </c>
      <c r="G4" s="17">
        <v>1</v>
      </c>
      <c r="H4" s="17">
        <v>1</v>
      </c>
    </row>
    <row r="5" spans="1:8" x14ac:dyDescent="0.2">
      <c r="A5" s="16" t="s">
        <v>38</v>
      </c>
      <c r="B5" s="16">
        <f>VLOOKUP(A5,Overview!$G$2:$H$14, 2, FALSE)</f>
        <v>2</v>
      </c>
      <c r="C5" s="17">
        <v>2</v>
      </c>
      <c r="D5" s="17">
        <v>10</v>
      </c>
      <c r="E5" s="17">
        <v>200</v>
      </c>
      <c r="F5" s="17">
        <v>1</v>
      </c>
      <c r="G5" s="17">
        <v>1</v>
      </c>
      <c r="H5" s="17">
        <v>1</v>
      </c>
    </row>
    <row r="6" spans="1:8" x14ac:dyDescent="0.2">
      <c r="A6" s="16" t="s">
        <v>39</v>
      </c>
      <c r="B6" s="16">
        <f>VLOOKUP(A6,Overview!$G$2:$H$14, 2, FALSE)</f>
        <v>3</v>
      </c>
      <c r="C6" s="17">
        <v>2</v>
      </c>
      <c r="D6" s="17">
        <v>5</v>
      </c>
      <c r="E6" s="17">
        <v>200</v>
      </c>
      <c r="F6" s="17"/>
      <c r="G6" s="17"/>
      <c r="H6" s="17"/>
    </row>
    <row r="7" spans="1:8" x14ac:dyDescent="0.2">
      <c r="A7" s="16" t="s">
        <v>55</v>
      </c>
      <c r="B7" s="16">
        <f>VLOOKUP(A7,Overview!$G$2:$H$14, 2, FALSE)</f>
        <v>4</v>
      </c>
      <c r="C7" s="17">
        <v>2</v>
      </c>
      <c r="D7" s="17">
        <v>20</v>
      </c>
      <c r="E7" s="17">
        <v>200</v>
      </c>
      <c r="F7" s="17"/>
      <c r="G7" s="17"/>
      <c r="H7" s="17"/>
    </row>
    <row r="8" spans="1:8" x14ac:dyDescent="0.2">
      <c r="A8" s="16" t="s">
        <v>56</v>
      </c>
      <c r="B8" s="16">
        <f>VLOOKUP(A8,Overview!$G$2:$H$14, 2, FALSE)</f>
        <v>5</v>
      </c>
      <c r="C8" s="17">
        <v>2</v>
      </c>
      <c r="D8" s="17">
        <v>10000</v>
      </c>
      <c r="E8" s="17">
        <v>200</v>
      </c>
      <c r="F8" s="17"/>
      <c r="G8" s="17"/>
      <c r="H8" s="17"/>
    </row>
    <row r="9" spans="1:8" x14ac:dyDescent="0.2">
      <c r="A9" s="16" t="s">
        <v>67</v>
      </c>
      <c r="B9" s="16">
        <f>VLOOKUP(A9,Overview!$G$2:$H$14, 2, FALSE)</f>
        <v>6</v>
      </c>
      <c r="C9" s="17">
        <v>2</v>
      </c>
      <c r="D9" s="17">
        <v>1000</v>
      </c>
      <c r="E9" s="17">
        <v>200</v>
      </c>
      <c r="F9" s="17"/>
      <c r="G9" s="17"/>
      <c r="H9" s="17"/>
    </row>
    <row r="10" spans="1:8" x14ac:dyDescent="0.2">
      <c r="A10" s="16" t="s">
        <v>57</v>
      </c>
      <c r="B10" s="16">
        <f>VLOOKUP(A10,Overview!$G$2:$H$14, 2, FALSE)</f>
        <v>7</v>
      </c>
      <c r="C10" s="17">
        <v>2</v>
      </c>
      <c r="D10" s="17">
        <v>10</v>
      </c>
      <c r="E10" s="17">
        <v>200</v>
      </c>
      <c r="F10" s="17">
        <v>1</v>
      </c>
      <c r="G10" s="17">
        <v>1</v>
      </c>
      <c r="H10" s="17">
        <v>1</v>
      </c>
    </row>
    <row r="11" spans="1:8" x14ac:dyDescent="0.2">
      <c r="A11" s="16" t="s">
        <v>44</v>
      </c>
      <c r="B11" s="16">
        <f>VLOOKUP(A11,Overview!$G$2:$H$14, 2, FALSE)</f>
        <v>8</v>
      </c>
      <c r="C11" s="17">
        <v>2</v>
      </c>
      <c r="D11" s="17">
        <v>5</v>
      </c>
      <c r="E11" s="17">
        <v>200</v>
      </c>
      <c r="F11" s="17">
        <v>1</v>
      </c>
      <c r="G11" s="17">
        <v>1</v>
      </c>
      <c r="H11" s="17">
        <v>1</v>
      </c>
    </row>
    <row r="12" spans="1:8" x14ac:dyDescent="0.2">
      <c r="A12" s="16" t="s">
        <v>45</v>
      </c>
      <c r="B12" s="16">
        <f>VLOOKUP(A12,Overview!$G$2:$H$14, 2, FALSE)</f>
        <v>9</v>
      </c>
      <c r="C12" s="17">
        <v>2</v>
      </c>
      <c r="D12" s="17">
        <v>100</v>
      </c>
      <c r="E12" s="17">
        <v>200</v>
      </c>
      <c r="F12" s="17">
        <v>1</v>
      </c>
      <c r="G12" s="17">
        <v>1</v>
      </c>
      <c r="H12" s="17">
        <v>1</v>
      </c>
    </row>
    <row r="13" spans="1:8" x14ac:dyDescent="0.2">
      <c r="A13" s="16" t="s">
        <v>58</v>
      </c>
      <c r="B13" s="16">
        <f>VLOOKUP(A13,Overview!$G$2:$H$14, 2, FALSE)</f>
        <v>10</v>
      </c>
      <c r="C13" s="17">
        <v>2</v>
      </c>
      <c r="D13" s="17">
        <v>10</v>
      </c>
      <c r="E13" s="17">
        <v>200</v>
      </c>
      <c r="F13" s="17"/>
      <c r="G13" s="17"/>
      <c r="H13" s="17"/>
    </row>
    <row r="14" spans="1:8" x14ac:dyDescent="0.2">
      <c r="A14" s="16" t="s">
        <v>59</v>
      </c>
      <c r="B14" s="16">
        <f>VLOOKUP(A14,Overview!$G$2:$H$14, 2, FALSE)</f>
        <v>11</v>
      </c>
      <c r="C14" s="17">
        <v>2</v>
      </c>
      <c r="D14" s="17">
        <v>5</v>
      </c>
      <c r="E14" s="17">
        <v>200</v>
      </c>
      <c r="F14" s="17"/>
      <c r="G14" s="17"/>
      <c r="H14" s="17"/>
    </row>
    <row r="15" spans="1:8" x14ac:dyDescent="0.2">
      <c r="A15" s="16" t="s">
        <v>60</v>
      </c>
      <c r="B15" s="16">
        <f>VLOOKUP(A15,Overview!$G$2:$H$14, 2, FALSE)</f>
        <v>12</v>
      </c>
      <c r="C15" s="17">
        <v>2</v>
      </c>
      <c r="D15" s="17">
        <v>10</v>
      </c>
      <c r="E15" s="17">
        <v>200</v>
      </c>
      <c r="F15" s="17"/>
      <c r="G15" s="17"/>
      <c r="H15" s="17"/>
    </row>
    <row r="16" spans="1:8" x14ac:dyDescent="0.2">
      <c r="A16" s="16" t="s">
        <v>54</v>
      </c>
      <c r="B16" s="16">
        <f>VLOOKUP(A16,Overview!$G$2:$H$14, 2, FALSE)</f>
        <v>0</v>
      </c>
      <c r="C16" s="17">
        <v>0</v>
      </c>
      <c r="D16" s="17">
        <v>1</v>
      </c>
      <c r="E16" s="17">
        <v>50</v>
      </c>
      <c r="F16" s="17"/>
      <c r="G16" s="17"/>
      <c r="H16" s="17"/>
    </row>
    <row r="17" spans="1:8" x14ac:dyDescent="0.2">
      <c r="A17" s="16" t="s">
        <v>37</v>
      </c>
      <c r="B17" s="16">
        <f>VLOOKUP(A17,Overview!$G$2:$H$14, 2, FALSE)</f>
        <v>1</v>
      </c>
      <c r="C17" s="17">
        <v>0</v>
      </c>
      <c r="D17" s="17">
        <v>500</v>
      </c>
      <c r="E17" s="17">
        <v>100</v>
      </c>
      <c r="F17" s="17">
        <v>1</v>
      </c>
      <c r="G17" s="17">
        <v>1</v>
      </c>
      <c r="H17" s="17">
        <v>1</v>
      </c>
    </row>
    <row r="18" spans="1:8" x14ac:dyDescent="0.2">
      <c r="A18" s="16" t="s">
        <v>38</v>
      </c>
      <c r="B18" s="16">
        <f>VLOOKUP(A18,Overview!$G$2:$H$14, 2, FALSE)</f>
        <v>2</v>
      </c>
      <c r="C18" s="17">
        <v>0</v>
      </c>
      <c r="D18" s="17">
        <v>4</v>
      </c>
      <c r="E18" s="17">
        <v>100</v>
      </c>
      <c r="F18" s="17">
        <v>1</v>
      </c>
      <c r="G18" s="17">
        <v>1</v>
      </c>
      <c r="H18" s="17">
        <v>1</v>
      </c>
    </row>
    <row r="19" spans="1:8" x14ac:dyDescent="0.2">
      <c r="A19" s="16" t="s">
        <v>39</v>
      </c>
      <c r="B19" s="16">
        <f>VLOOKUP(A19,Overview!$G$2:$H$14, 2, FALSE)</f>
        <v>3</v>
      </c>
      <c r="C19" s="17">
        <v>0</v>
      </c>
      <c r="D19" s="17">
        <v>3</v>
      </c>
      <c r="E19" s="17">
        <v>100</v>
      </c>
      <c r="F19" s="17"/>
      <c r="G19" s="17"/>
      <c r="H19" s="17"/>
    </row>
    <row r="20" spans="1:8" x14ac:dyDescent="0.2">
      <c r="A20" s="16" t="s">
        <v>55</v>
      </c>
      <c r="B20" s="16">
        <f>VLOOKUP(A20,Overview!$G$2:$H$14, 2, FALSE)</f>
        <v>4</v>
      </c>
      <c r="C20" s="17">
        <v>0</v>
      </c>
      <c r="D20" s="17">
        <v>10</v>
      </c>
      <c r="E20" s="17">
        <v>100</v>
      </c>
      <c r="F20" s="17"/>
      <c r="G20" s="17"/>
      <c r="H20" s="17"/>
    </row>
    <row r="21" spans="1:8" x14ac:dyDescent="0.2">
      <c r="A21" s="16" t="s">
        <v>56</v>
      </c>
      <c r="B21" s="16">
        <f>VLOOKUP(A21,Overview!$G$2:$H$14, 2, FALSE)</f>
        <v>5</v>
      </c>
      <c r="C21" s="17">
        <v>0</v>
      </c>
      <c r="D21" s="17">
        <v>1000</v>
      </c>
      <c r="E21" s="17">
        <v>100</v>
      </c>
      <c r="F21" s="17"/>
      <c r="G21" s="17"/>
      <c r="H21" s="17"/>
    </row>
    <row r="22" spans="1:8" x14ac:dyDescent="0.2">
      <c r="A22" s="16" t="s">
        <v>67</v>
      </c>
      <c r="B22" s="16">
        <f>VLOOKUP(A22,Overview!$G$2:$H$14, 2, FALSE)</f>
        <v>6</v>
      </c>
      <c r="C22" s="17">
        <v>0</v>
      </c>
      <c r="D22" s="17">
        <v>100</v>
      </c>
      <c r="E22" s="17">
        <v>100</v>
      </c>
      <c r="F22" s="17"/>
      <c r="G22" s="17"/>
      <c r="H22" s="17"/>
    </row>
    <row r="23" spans="1:8" x14ac:dyDescent="0.2">
      <c r="A23" s="16" t="s">
        <v>57</v>
      </c>
      <c r="B23" s="16">
        <f>VLOOKUP(A23,Overview!$G$2:$H$14, 2, FALSE)</f>
        <v>7</v>
      </c>
      <c r="C23" s="17">
        <v>0</v>
      </c>
      <c r="D23" s="17">
        <v>5</v>
      </c>
      <c r="E23" s="17">
        <v>100</v>
      </c>
      <c r="F23" s="17">
        <v>1</v>
      </c>
      <c r="G23" s="17">
        <v>1</v>
      </c>
      <c r="H23" s="17">
        <v>1</v>
      </c>
    </row>
    <row r="24" spans="1:8" x14ac:dyDescent="0.2">
      <c r="A24" s="16" t="s">
        <v>44</v>
      </c>
      <c r="B24" s="16">
        <f>VLOOKUP(A24,Overview!$G$2:$H$14, 2, FALSE)</f>
        <v>8</v>
      </c>
      <c r="C24" s="17">
        <v>0</v>
      </c>
      <c r="D24" s="17">
        <v>4</v>
      </c>
      <c r="E24" s="17">
        <v>100</v>
      </c>
      <c r="F24" s="17">
        <v>1</v>
      </c>
      <c r="G24" s="17">
        <v>1</v>
      </c>
      <c r="H24" s="17">
        <v>1</v>
      </c>
    </row>
    <row r="25" spans="1:8" x14ac:dyDescent="0.2">
      <c r="A25" s="16" t="s">
        <v>45</v>
      </c>
      <c r="B25" s="16">
        <f>VLOOKUP(A25,Overview!$G$2:$H$14, 2, FALSE)</f>
        <v>9</v>
      </c>
      <c r="C25" s="17">
        <v>0</v>
      </c>
      <c r="D25" s="17">
        <v>10</v>
      </c>
      <c r="E25" s="17">
        <v>100</v>
      </c>
      <c r="F25" s="17">
        <v>1</v>
      </c>
      <c r="G25" s="17">
        <v>1</v>
      </c>
      <c r="H25" s="17">
        <v>1</v>
      </c>
    </row>
    <row r="26" spans="1:8" x14ac:dyDescent="0.2">
      <c r="A26" s="16" t="s">
        <v>58</v>
      </c>
      <c r="B26" s="16">
        <f>VLOOKUP(A26,Overview!$G$2:$H$14, 2, FALSE)</f>
        <v>10</v>
      </c>
      <c r="C26" s="17">
        <v>0</v>
      </c>
      <c r="D26" s="17">
        <v>4</v>
      </c>
      <c r="E26" s="17">
        <v>100</v>
      </c>
      <c r="F26" s="17"/>
      <c r="G26" s="17"/>
      <c r="H26" s="17"/>
    </row>
    <row r="27" spans="1:8" x14ac:dyDescent="0.2">
      <c r="A27" s="16" t="s">
        <v>59</v>
      </c>
      <c r="B27" s="16">
        <f>VLOOKUP(A27,Overview!$G$2:$H$14, 2, FALSE)</f>
        <v>11</v>
      </c>
      <c r="C27" s="17">
        <v>0</v>
      </c>
      <c r="D27" s="17">
        <v>2</v>
      </c>
      <c r="E27" s="17">
        <v>100</v>
      </c>
      <c r="F27" s="17"/>
      <c r="G27" s="17"/>
      <c r="H27" s="17"/>
    </row>
    <row r="28" spans="1:8" x14ac:dyDescent="0.2">
      <c r="A28" s="16" t="s">
        <v>60</v>
      </c>
      <c r="B28" s="16">
        <f>VLOOKUP(A28,Overview!$G$2:$H$14, 2, FALSE)</f>
        <v>12</v>
      </c>
      <c r="C28" s="17">
        <v>0</v>
      </c>
      <c r="D28" s="17">
        <v>5</v>
      </c>
      <c r="E28" s="17">
        <v>100</v>
      </c>
      <c r="F28" s="17"/>
      <c r="G28" s="17"/>
      <c r="H28" s="17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DA713-557F-4C55-AA33-8B48011561E4}">
  <dimension ref="A1:G2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" sqref="F1:F1048576"/>
    </sheetView>
  </sheetViews>
  <sheetFormatPr defaultRowHeight="16.5" x14ac:dyDescent="0.3"/>
  <cols>
    <col min="1" max="1" width="16.375" style="2" bestFit="1" customWidth="1"/>
    <col min="2" max="2" width="6.875" style="2" bestFit="1" customWidth="1"/>
    <col min="3" max="4" width="6.875" style="6" bestFit="1" customWidth="1"/>
    <col min="5" max="5" width="12.75" style="2" bestFit="1" customWidth="1"/>
    <col min="6" max="6" width="17" style="2" bestFit="1" customWidth="1"/>
    <col min="7" max="7" width="14" style="2" bestFit="1" customWidth="1"/>
    <col min="8" max="16384" width="9" style="2"/>
  </cols>
  <sheetData>
    <row r="1" spans="1:7" x14ac:dyDescent="0.3">
      <c r="A1" s="1" t="s">
        <v>3</v>
      </c>
      <c r="B1" s="1" t="s">
        <v>1</v>
      </c>
      <c r="C1" s="5" t="s">
        <v>66</v>
      </c>
      <c r="D1" s="5" t="s">
        <v>53</v>
      </c>
      <c r="E1" s="5" t="s">
        <v>5</v>
      </c>
      <c r="F1" s="5" t="s">
        <v>52</v>
      </c>
      <c r="G1" s="1" t="s">
        <v>8</v>
      </c>
    </row>
    <row r="2" spans="1:7" ht="17.25" thickBot="1" x14ac:dyDescent="0.35">
      <c r="A2" s="1" t="s">
        <v>0</v>
      </c>
      <c r="B2" s="1" t="s">
        <v>0</v>
      </c>
      <c r="C2" s="5" t="s">
        <v>0</v>
      </c>
      <c r="D2" s="5" t="s">
        <v>0</v>
      </c>
      <c r="E2" s="1" t="s">
        <v>0</v>
      </c>
      <c r="F2" s="1" t="s">
        <v>0</v>
      </c>
      <c r="G2" s="1" t="s">
        <v>2</v>
      </c>
    </row>
    <row r="3" spans="1:7" ht="17.25" thickBot="1" x14ac:dyDescent="0.25">
      <c r="A3" s="14" t="s">
        <v>54</v>
      </c>
      <c r="B3" s="10">
        <f>VLOOKUP(A3,Overview!G$2:H$14,2,FALSE)</f>
        <v>0</v>
      </c>
      <c r="C3" s="10" t="s">
        <v>61</v>
      </c>
      <c r="D3" s="10">
        <f>VLOOKUP(C3,Overview!D$22:E$23,2,FALSE)</f>
        <v>0</v>
      </c>
      <c r="E3" s="11">
        <v>1</v>
      </c>
      <c r="F3" s="11" t="s">
        <v>9</v>
      </c>
      <c r="G3" s="11">
        <v>100</v>
      </c>
    </row>
    <row r="4" spans="1:7" ht="17.25" thickBot="1" x14ac:dyDescent="0.25">
      <c r="A4" s="15" t="s">
        <v>37</v>
      </c>
      <c r="B4" s="10">
        <f>VLOOKUP(A4,Overview!G$2:H$14,2,FALSE)</f>
        <v>1</v>
      </c>
      <c r="C4" s="12" t="s">
        <v>61</v>
      </c>
      <c r="D4" s="10">
        <f>VLOOKUP(C4,Overview!D$22:E$23,2,FALSE)</f>
        <v>0</v>
      </c>
      <c r="E4" s="13">
        <f>E3+1</f>
        <v>2</v>
      </c>
      <c r="F4" s="13" t="s">
        <v>9</v>
      </c>
      <c r="G4" s="13">
        <v>100</v>
      </c>
    </row>
    <row r="5" spans="1:7" ht="17.25" thickBot="1" x14ac:dyDescent="0.25">
      <c r="A5" s="15" t="s">
        <v>38</v>
      </c>
      <c r="B5" s="10">
        <f>VLOOKUP(A5,Overview!G$2:H$14,2,FALSE)</f>
        <v>2</v>
      </c>
      <c r="C5" s="12" t="s">
        <v>61</v>
      </c>
      <c r="D5" s="10">
        <f>VLOOKUP(C5,Overview!D$22:E$23,2,FALSE)</f>
        <v>0</v>
      </c>
      <c r="E5" s="13">
        <f t="shared" ref="E5:E28" si="0">E4+1</f>
        <v>3</v>
      </c>
      <c r="F5" s="13" t="s">
        <v>9</v>
      </c>
      <c r="G5" s="13">
        <v>100</v>
      </c>
    </row>
    <row r="6" spans="1:7" ht="17.25" thickBot="1" x14ac:dyDescent="0.25">
      <c r="A6" s="15" t="s">
        <v>39</v>
      </c>
      <c r="B6" s="10">
        <f>VLOOKUP(A6,Overview!G$2:H$14,2,FALSE)</f>
        <v>3</v>
      </c>
      <c r="C6" s="12" t="s">
        <v>61</v>
      </c>
      <c r="D6" s="10">
        <f>VLOOKUP(C6,Overview!D$22:E$23,2,FALSE)</f>
        <v>0</v>
      </c>
      <c r="E6" s="13">
        <f t="shared" si="0"/>
        <v>4</v>
      </c>
      <c r="F6" s="13" t="s">
        <v>9</v>
      </c>
      <c r="G6" s="13">
        <v>100</v>
      </c>
    </row>
    <row r="7" spans="1:7" ht="17.25" thickBot="1" x14ac:dyDescent="0.25">
      <c r="A7" s="15" t="s">
        <v>55</v>
      </c>
      <c r="B7" s="10">
        <f>VLOOKUP(A7,Overview!G$2:H$14,2,FALSE)</f>
        <v>4</v>
      </c>
      <c r="C7" s="12" t="s">
        <v>61</v>
      </c>
      <c r="D7" s="10">
        <f>VLOOKUP(C7,Overview!D$22:E$23,2,FALSE)</f>
        <v>0</v>
      </c>
      <c r="E7" s="13">
        <f t="shared" si="0"/>
        <v>5</v>
      </c>
      <c r="F7" s="13" t="s">
        <v>9</v>
      </c>
      <c r="G7" s="13">
        <v>100</v>
      </c>
    </row>
    <row r="8" spans="1:7" ht="17.25" thickBot="1" x14ac:dyDescent="0.25">
      <c r="A8" s="15" t="s">
        <v>56</v>
      </c>
      <c r="B8" s="10">
        <f>VLOOKUP(A8,Overview!G$2:H$14,2,FALSE)</f>
        <v>5</v>
      </c>
      <c r="C8" s="12" t="s">
        <v>61</v>
      </c>
      <c r="D8" s="10">
        <f>VLOOKUP(C8,Overview!D$22:E$23,2,FALSE)</f>
        <v>0</v>
      </c>
      <c r="E8" s="13">
        <f t="shared" si="0"/>
        <v>6</v>
      </c>
      <c r="F8" s="13" t="s">
        <v>9</v>
      </c>
      <c r="G8" s="13">
        <v>100</v>
      </c>
    </row>
    <row r="9" spans="1:7" ht="17.25" thickBot="1" x14ac:dyDescent="0.25">
      <c r="A9" s="15" t="s">
        <v>67</v>
      </c>
      <c r="B9" s="10">
        <f>VLOOKUP(A9,Overview!G$2:H$14,2,FALSE)</f>
        <v>6</v>
      </c>
      <c r="C9" s="12" t="s">
        <v>61</v>
      </c>
      <c r="D9" s="10">
        <f>VLOOKUP(C9,Overview!D$22:E$23,2,FALSE)</f>
        <v>0</v>
      </c>
      <c r="E9" s="13">
        <f t="shared" si="0"/>
        <v>7</v>
      </c>
      <c r="F9" s="13" t="s">
        <v>9</v>
      </c>
      <c r="G9" s="13">
        <v>100</v>
      </c>
    </row>
    <row r="10" spans="1:7" ht="17.25" thickBot="1" x14ac:dyDescent="0.25">
      <c r="A10" s="15" t="s">
        <v>57</v>
      </c>
      <c r="B10" s="10">
        <f>VLOOKUP(A10,Overview!G$2:H$14,2,FALSE)</f>
        <v>7</v>
      </c>
      <c r="C10" s="12" t="s">
        <v>61</v>
      </c>
      <c r="D10" s="10">
        <f>VLOOKUP(C10,Overview!D$22:E$23,2,FALSE)</f>
        <v>0</v>
      </c>
      <c r="E10" s="13">
        <f t="shared" si="0"/>
        <v>8</v>
      </c>
      <c r="F10" s="13" t="s">
        <v>9</v>
      </c>
      <c r="G10" s="13">
        <v>100</v>
      </c>
    </row>
    <row r="11" spans="1:7" ht="17.25" thickBot="1" x14ac:dyDescent="0.25">
      <c r="A11" s="15" t="s">
        <v>44</v>
      </c>
      <c r="B11" s="10">
        <f>VLOOKUP(A11,Overview!G$2:H$14,2,FALSE)</f>
        <v>8</v>
      </c>
      <c r="C11" s="12" t="s">
        <v>61</v>
      </c>
      <c r="D11" s="10">
        <f>VLOOKUP(C11,Overview!D$22:E$23,2,FALSE)</f>
        <v>0</v>
      </c>
      <c r="E11" s="13">
        <f t="shared" si="0"/>
        <v>9</v>
      </c>
      <c r="F11" s="13" t="s">
        <v>9</v>
      </c>
      <c r="G11" s="13">
        <v>100</v>
      </c>
    </row>
    <row r="12" spans="1:7" ht="17.25" thickBot="1" x14ac:dyDescent="0.25">
      <c r="A12" s="15" t="s">
        <v>45</v>
      </c>
      <c r="B12" s="10">
        <f>VLOOKUP(A12,Overview!G$2:H$14,2,FALSE)</f>
        <v>9</v>
      </c>
      <c r="C12" s="12" t="s">
        <v>61</v>
      </c>
      <c r="D12" s="10">
        <f>VLOOKUP(C12,Overview!D$22:E$23,2,FALSE)</f>
        <v>0</v>
      </c>
      <c r="E12" s="13">
        <f t="shared" si="0"/>
        <v>10</v>
      </c>
      <c r="F12" s="13" t="s">
        <v>9</v>
      </c>
      <c r="G12" s="13">
        <v>100</v>
      </c>
    </row>
    <row r="13" spans="1:7" ht="17.25" thickBot="1" x14ac:dyDescent="0.25">
      <c r="A13" s="15" t="s">
        <v>58</v>
      </c>
      <c r="B13" s="10">
        <f>VLOOKUP(A13,Overview!G$2:H$14,2,FALSE)</f>
        <v>10</v>
      </c>
      <c r="C13" s="12" t="s">
        <v>61</v>
      </c>
      <c r="D13" s="10">
        <f>VLOOKUP(C13,Overview!D$22:E$23,2,FALSE)</f>
        <v>0</v>
      </c>
      <c r="E13" s="13">
        <f t="shared" si="0"/>
        <v>11</v>
      </c>
      <c r="F13" s="13" t="s">
        <v>9</v>
      </c>
      <c r="G13" s="13">
        <v>100</v>
      </c>
    </row>
    <row r="14" spans="1:7" ht="17.25" thickBot="1" x14ac:dyDescent="0.25">
      <c r="A14" s="15" t="s">
        <v>59</v>
      </c>
      <c r="B14" s="10">
        <f>VLOOKUP(A14,Overview!G$2:H$14,2,FALSE)</f>
        <v>11</v>
      </c>
      <c r="C14" s="12" t="s">
        <v>61</v>
      </c>
      <c r="D14" s="10">
        <f>VLOOKUP(C14,Overview!D$22:E$23,2,FALSE)</f>
        <v>0</v>
      </c>
      <c r="E14" s="13">
        <f t="shared" si="0"/>
        <v>12</v>
      </c>
      <c r="F14" s="13" t="s">
        <v>9</v>
      </c>
      <c r="G14" s="13">
        <v>100</v>
      </c>
    </row>
    <row r="15" spans="1:7" ht="17.25" thickBot="1" x14ac:dyDescent="0.25">
      <c r="A15" s="15" t="s">
        <v>60</v>
      </c>
      <c r="B15" s="10">
        <f>VLOOKUP(A15,Overview!G$2:H$14,2,FALSE)</f>
        <v>12</v>
      </c>
      <c r="C15" s="12" t="s">
        <v>61</v>
      </c>
      <c r="D15" s="10">
        <f>VLOOKUP(C15,Overview!D$22:E$23,2,FALSE)</f>
        <v>0</v>
      </c>
      <c r="E15" s="13">
        <f t="shared" si="0"/>
        <v>13</v>
      </c>
      <c r="F15" s="13" t="s">
        <v>9</v>
      </c>
      <c r="G15" s="13">
        <v>100</v>
      </c>
    </row>
    <row r="16" spans="1:7" ht="17.25" thickBot="1" x14ac:dyDescent="0.25">
      <c r="A16" s="15" t="s">
        <v>54</v>
      </c>
      <c r="B16" s="10">
        <f>VLOOKUP(A16,Overview!G$2:H$14,2,FALSE)</f>
        <v>0</v>
      </c>
      <c r="C16" s="12" t="s">
        <v>62</v>
      </c>
      <c r="D16" s="10">
        <f>VLOOKUP(C16,Overview!D$22:E$23,2,FALSE)</f>
        <v>1</v>
      </c>
      <c r="E16" s="13">
        <f t="shared" si="0"/>
        <v>14</v>
      </c>
      <c r="F16" s="13" t="s">
        <v>9</v>
      </c>
      <c r="G16" s="13">
        <v>100</v>
      </c>
    </row>
    <row r="17" spans="1:7" ht="17.25" thickBot="1" x14ac:dyDescent="0.25">
      <c r="A17" s="15" t="s">
        <v>37</v>
      </c>
      <c r="B17" s="10">
        <f>VLOOKUP(A17,Overview!G$2:H$14,2,FALSE)</f>
        <v>1</v>
      </c>
      <c r="C17" s="12" t="s">
        <v>62</v>
      </c>
      <c r="D17" s="10">
        <f>VLOOKUP(C17,Overview!D$22:E$23,2,FALSE)</f>
        <v>1</v>
      </c>
      <c r="E17" s="13">
        <f t="shared" si="0"/>
        <v>15</v>
      </c>
      <c r="F17" s="13" t="s">
        <v>9</v>
      </c>
      <c r="G17" s="13">
        <v>100</v>
      </c>
    </row>
    <row r="18" spans="1:7" ht="17.25" thickBot="1" x14ac:dyDescent="0.25">
      <c r="A18" s="15" t="s">
        <v>38</v>
      </c>
      <c r="B18" s="10">
        <f>VLOOKUP(A18,Overview!G$2:H$14,2,FALSE)</f>
        <v>2</v>
      </c>
      <c r="C18" s="12" t="s">
        <v>62</v>
      </c>
      <c r="D18" s="10">
        <f>VLOOKUP(C18,Overview!D$22:E$23,2,FALSE)</f>
        <v>1</v>
      </c>
      <c r="E18" s="13">
        <f t="shared" si="0"/>
        <v>16</v>
      </c>
      <c r="F18" s="13" t="s">
        <v>9</v>
      </c>
      <c r="G18" s="13">
        <v>100</v>
      </c>
    </row>
    <row r="19" spans="1:7" ht="17.25" thickBot="1" x14ac:dyDescent="0.25">
      <c r="A19" s="15" t="s">
        <v>39</v>
      </c>
      <c r="B19" s="10">
        <f>VLOOKUP(A19,Overview!G$2:H$14,2,FALSE)</f>
        <v>3</v>
      </c>
      <c r="C19" s="12" t="s">
        <v>62</v>
      </c>
      <c r="D19" s="10">
        <f>VLOOKUP(C19,Overview!D$22:E$23,2,FALSE)</f>
        <v>1</v>
      </c>
      <c r="E19" s="13">
        <f t="shared" si="0"/>
        <v>17</v>
      </c>
      <c r="F19" s="13" t="s">
        <v>9</v>
      </c>
      <c r="G19" s="13">
        <v>100</v>
      </c>
    </row>
    <row r="20" spans="1:7" ht="17.25" thickBot="1" x14ac:dyDescent="0.25">
      <c r="A20" s="15" t="s">
        <v>55</v>
      </c>
      <c r="B20" s="10">
        <f>VLOOKUP(A20,Overview!G$2:H$14,2,FALSE)</f>
        <v>4</v>
      </c>
      <c r="C20" s="12" t="s">
        <v>62</v>
      </c>
      <c r="D20" s="10">
        <f>VLOOKUP(C20,Overview!D$22:E$23,2,FALSE)</f>
        <v>1</v>
      </c>
      <c r="E20" s="13">
        <f t="shared" si="0"/>
        <v>18</v>
      </c>
      <c r="F20" s="13" t="s">
        <v>9</v>
      </c>
      <c r="G20" s="13">
        <v>100</v>
      </c>
    </row>
    <row r="21" spans="1:7" ht="17.25" thickBot="1" x14ac:dyDescent="0.25">
      <c r="A21" s="15" t="s">
        <v>56</v>
      </c>
      <c r="B21" s="10">
        <f>VLOOKUP(A21,Overview!G$2:H$14,2,FALSE)</f>
        <v>5</v>
      </c>
      <c r="C21" s="12" t="s">
        <v>62</v>
      </c>
      <c r="D21" s="10">
        <f>VLOOKUP(C21,Overview!D$22:E$23,2,FALSE)</f>
        <v>1</v>
      </c>
      <c r="E21" s="13">
        <f t="shared" si="0"/>
        <v>19</v>
      </c>
      <c r="F21" s="13" t="s">
        <v>9</v>
      </c>
      <c r="G21" s="13">
        <v>100</v>
      </c>
    </row>
    <row r="22" spans="1:7" ht="17.25" thickBot="1" x14ac:dyDescent="0.25">
      <c r="A22" s="15" t="s">
        <v>67</v>
      </c>
      <c r="B22" s="10">
        <f>VLOOKUP(A22,Overview!G$2:H$14,2,FALSE)</f>
        <v>6</v>
      </c>
      <c r="C22" s="12" t="s">
        <v>62</v>
      </c>
      <c r="D22" s="10">
        <f>VLOOKUP(C22,Overview!D$22:E$23,2,FALSE)</f>
        <v>1</v>
      </c>
      <c r="E22" s="13">
        <f t="shared" si="0"/>
        <v>20</v>
      </c>
      <c r="F22" s="13" t="s">
        <v>9</v>
      </c>
      <c r="G22" s="13">
        <v>100</v>
      </c>
    </row>
    <row r="23" spans="1:7" ht="17.25" thickBot="1" x14ac:dyDescent="0.25">
      <c r="A23" s="15" t="s">
        <v>57</v>
      </c>
      <c r="B23" s="10">
        <f>VLOOKUP(A23,Overview!G$2:H$14,2,FALSE)</f>
        <v>7</v>
      </c>
      <c r="C23" s="12" t="s">
        <v>62</v>
      </c>
      <c r="D23" s="10">
        <f>VLOOKUP(C23,Overview!D$22:E$23,2,FALSE)</f>
        <v>1</v>
      </c>
      <c r="E23" s="13">
        <f t="shared" si="0"/>
        <v>21</v>
      </c>
      <c r="F23" s="13" t="s">
        <v>9</v>
      </c>
      <c r="G23" s="13">
        <v>100</v>
      </c>
    </row>
    <row r="24" spans="1:7" ht="17.25" thickBot="1" x14ac:dyDescent="0.25">
      <c r="A24" s="15" t="s">
        <v>44</v>
      </c>
      <c r="B24" s="10">
        <f>VLOOKUP(A24,Overview!G$2:H$14,2,FALSE)</f>
        <v>8</v>
      </c>
      <c r="C24" s="12" t="s">
        <v>62</v>
      </c>
      <c r="D24" s="10">
        <f>VLOOKUP(C24,Overview!D$22:E$23,2,FALSE)</f>
        <v>1</v>
      </c>
      <c r="E24" s="13">
        <f t="shared" si="0"/>
        <v>22</v>
      </c>
      <c r="F24" s="13" t="s">
        <v>9</v>
      </c>
      <c r="G24" s="13">
        <v>100</v>
      </c>
    </row>
    <row r="25" spans="1:7" ht="17.25" thickBot="1" x14ac:dyDescent="0.25">
      <c r="A25" s="15" t="s">
        <v>45</v>
      </c>
      <c r="B25" s="10">
        <f>VLOOKUP(A25,Overview!G$2:H$14,2,FALSE)</f>
        <v>9</v>
      </c>
      <c r="C25" s="12" t="s">
        <v>62</v>
      </c>
      <c r="D25" s="10">
        <f>VLOOKUP(C25,Overview!D$22:E$23,2,FALSE)</f>
        <v>1</v>
      </c>
      <c r="E25" s="13">
        <f t="shared" si="0"/>
        <v>23</v>
      </c>
      <c r="F25" s="13" t="s">
        <v>9</v>
      </c>
      <c r="G25" s="13">
        <v>100</v>
      </c>
    </row>
    <row r="26" spans="1:7" ht="17.25" thickBot="1" x14ac:dyDescent="0.25">
      <c r="A26" s="15" t="s">
        <v>58</v>
      </c>
      <c r="B26" s="10">
        <f>VLOOKUP(A26,Overview!G$2:H$14,2,FALSE)</f>
        <v>10</v>
      </c>
      <c r="C26" s="12" t="s">
        <v>62</v>
      </c>
      <c r="D26" s="10">
        <f>VLOOKUP(C26,Overview!D$22:E$23,2,FALSE)</f>
        <v>1</v>
      </c>
      <c r="E26" s="13">
        <f t="shared" si="0"/>
        <v>24</v>
      </c>
      <c r="F26" s="13" t="s">
        <v>9</v>
      </c>
      <c r="G26" s="13">
        <v>100</v>
      </c>
    </row>
    <row r="27" spans="1:7" ht="17.25" thickBot="1" x14ac:dyDescent="0.25">
      <c r="A27" s="15" t="s">
        <v>59</v>
      </c>
      <c r="B27" s="10">
        <f>VLOOKUP(A27,Overview!G$2:H$14,2,FALSE)</f>
        <v>11</v>
      </c>
      <c r="C27" s="12" t="s">
        <v>62</v>
      </c>
      <c r="D27" s="10">
        <f>VLOOKUP(C27,Overview!D$22:E$23,2,FALSE)</f>
        <v>1</v>
      </c>
      <c r="E27" s="13">
        <f t="shared" si="0"/>
        <v>25</v>
      </c>
      <c r="F27" s="13" t="s">
        <v>9</v>
      </c>
      <c r="G27" s="13">
        <v>100</v>
      </c>
    </row>
    <row r="28" spans="1:7" ht="17.25" thickBot="1" x14ac:dyDescent="0.25">
      <c r="A28" s="15" t="s">
        <v>60</v>
      </c>
      <c r="B28" s="10">
        <f>VLOOKUP(A28,Overview!G$2:H$14,2,FALSE)</f>
        <v>12</v>
      </c>
      <c r="C28" s="12" t="s">
        <v>62</v>
      </c>
      <c r="D28" s="10">
        <f>VLOOKUP(C28,Overview!D$22:E$23,2,FALSE)</f>
        <v>1</v>
      </c>
      <c r="E28" s="13">
        <f t="shared" si="0"/>
        <v>26</v>
      </c>
      <c r="F28" s="13" t="s">
        <v>9</v>
      </c>
      <c r="G28" s="13">
        <v>100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0" sqref="F10"/>
    </sheetView>
  </sheetViews>
  <sheetFormatPr defaultRowHeight="16.5" x14ac:dyDescent="0.3"/>
  <cols>
    <col min="1" max="1" width="6.875" style="2" bestFit="1" customWidth="1"/>
    <col min="2" max="2" width="20.75" style="2" bestFit="1" customWidth="1"/>
    <col min="3" max="3" width="11.5" style="6" bestFit="1" customWidth="1"/>
    <col min="4" max="4" width="12.75" style="2" bestFit="1" customWidth="1"/>
    <col min="5" max="5" width="11.125" style="2" bestFit="1" customWidth="1"/>
    <col min="6" max="6" width="12.875" style="2" bestFit="1" customWidth="1"/>
    <col min="7" max="7" width="14" style="2" bestFit="1" customWidth="1"/>
    <col min="8" max="16384" width="9" style="2"/>
  </cols>
  <sheetData>
    <row r="1" spans="1:7" x14ac:dyDescent="0.3">
      <c r="A1" s="1" t="s">
        <v>3</v>
      </c>
      <c r="B1" s="1" t="s">
        <v>1</v>
      </c>
      <c r="C1" s="5" t="s">
        <v>4</v>
      </c>
      <c r="D1" s="1" t="s">
        <v>5</v>
      </c>
      <c r="E1" s="1" t="s">
        <v>6</v>
      </c>
      <c r="F1" s="1" t="s">
        <v>7</v>
      </c>
      <c r="G1" s="1" t="s">
        <v>8</v>
      </c>
    </row>
    <row r="2" spans="1:7" x14ac:dyDescent="0.3">
      <c r="A2" s="1" t="s">
        <v>0</v>
      </c>
      <c r="B2" s="1" t="s">
        <v>0</v>
      </c>
      <c r="C2" s="5" t="s">
        <v>0</v>
      </c>
      <c r="D2" s="1" t="s">
        <v>0</v>
      </c>
      <c r="E2" s="1" t="s">
        <v>0</v>
      </c>
      <c r="F2" s="1" t="s">
        <v>0</v>
      </c>
      <c r="G2" s="1" t="s">
        <v>2</v>
      </c>
    </row>
    <row r="3" spans="1:7" x14ac:dyDescent="0.3">
      <c r="A3" s="7"/>
      <c r="B3" s="7" t="s">
        <v>46</v>
      </c>
      <c r="C3" s="8" t="s">
        <v>25</v>
      </c>
      <c r="D3" s="7"/>
      <c r="E3" s="7"/>
      <c r="F3" s="4" t="s">
        <v>9</v>
      </c>
      <c r="G3" s="7">
        <v>100</v>
      </c>
    </row>
    <row r="4" spans="1:7" x14ac:dyDescent="0.3">
      <c r="A4" s="7"/>
      <c r="B4" s="7" t="s">
        <v>47</v>
      </c>
      <c r="C4" s="8"/>
      <c r="D4" s="7">
        <v>5</v>
      </c>
      <c r="E4" s="7"/>
      <c r="F4" s="4" t="s">
        <v>34</v>
      </c>
      <c r="G4" s="7">
        <v>100</v>
      </c>
    </row>
    <row r="5" spans="1:7" x14ac:dyDescent="0.3">
      <c r="A5" s="7"/>
      <c r="B5" s="7" t="s">
        <v>48</v>
      </c>
      <c r="C5" s="8"/>
      <c r="D5" s="7"/>
      <c r="E5" s="7"/>
      <c r="F5" s="4" t="s">
        <v>9</v>
      </c>
      <c r="G5" s="7">
        <v>100</v>
      </c>
    </row>
    <row r="6" spans="1:7" x14ac:dyDescent="0.3">
      <c r="A6" s="7"/>
      <c r="B6" s="7" t="s">
        <v>49</v>
      </c>
      <c r="C6" s="8"/>
      <c r="D6" s="7">
        <v>2</v>
      </c>
      <c r="E6" s="7"/>
      <c r="F6" s="4" t="s">
        <v>34</v>
      </c>
      <c r="G6" s="7">
        <v>100</v>
      </c>
    </row>
    <row r="7" spans="1:7" x14ac:dyDescent="0.3">
      <c r="A7" s="7"/>
      <c r="B7" s="7" t="s">
        <v>50</v>
      </c>
      <c r="C7" s="8" t="s">
        <v>26</v>
      </c>
      <c r="D7" s="7"/>
      <c r="E7" s="7" t="s">
        <v>28</v>
      </c>
      <c r="F7" s="4" t="s">
        <v>9</v>
      </c>
      <c r="G7" s="7">
        <v>100</v>
      </c>
    </row>
    <row r="8" spans="1:7" x14ac:dyDescent="0.3">
      <c r="A8" s="7"/>
      <c r="B8" s="7" t="s">
        <v>51</v>
      </c>
      <c r="C8" s="8"/>
      <c r="D8" s="7"/>
      <c r="E8" s="7" t="s">
        <v>29</v>
      </c>
      <c r="F8" s="4" t="s">
        <v>34</v>
      </c>
      <c r="G8" s="7">
        <v>100</v>
      </c>
    </row>
    <row r="9" spans="1:7" x14ac:dyDescent="0.3">
      <c r="A9" s="7"/>
      <c r="B9" s="7" t="s">
        <v>44</v>
      </c>
      <c r="C9" s="8" t="s">
        <v>36</v>
      </c>
      <c r="D9" s="7">
        <v>2</v>
      </c>
      <c r="E9" s="9" t="s">
        <v>17</v>
      </c>
      <c r="F9" s="4" t="s">
        <v>9</v>
      </c>
      <c r="G9" s="7">
        <v>100</v>
      </c>
    </row>
  </sheetData>
  <sortState xmlns:xlrd2="http://schemas.microsoft.com/office/spreadsheetml/2017/richdata2" ref="B3:B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F01C2-6BFB-4CCC-9124-BCB4513B4E3A}">
  <dimension ref="A1:I11"/>
  <sheetViews>
    <sheetView workbookViewId="0">
      <pane xSplit="2" ySplit="2" topLeftCell="D3" activePane="bottomRight" state="frozen"/>
      <selection activeCell="F2" sqref="F2"/>
      <selection pane="topRight" activeCell="F2" sqref="F2"/>
      <selection pane="bottomLeft" activeCell="F2" sqref="F2"/>
      <selection pane="bottomRight" activeCell="G13" sqref="G13"/>
    </sheetView>
  </sheetViews>
  <sheetFormatPr defaultRowHeight="16.5" x14ac:dyDescent="0.3"/>
  <cols>
    <col min="1" max="1" width="6.875" style="2" bestFit="1" customWidth="1"/>
    <col min="2" max="2" width="27.625" style="2" bestFit="1" customWidth="1"/>
    <col min="3" max="3" width="11.5" style="2" bestFit="1" customWidth="1"/>
    <col min="4" max="4" width="12.75" style="2" bestFit="1" customWidth="1"/>
    <col min="5" max="5" width="12.75" style="2" customWidth="1"/>
    <col min="6" max="6" width="14.375" style="2" customWidth="1"/>
    <col min="7" max="7" width="12.875" style="2" bestFit="1" customWidth="1"/>
    <col min="8" max="8" width="14" style="2" bestFit="1" customWidth="1"/>
    <col min="9" max="9" width="29.25" style="2" bestFit="1" customWidth="1"/>
    <col min="10" max="16384" width="9" style="2"/>
  </cols>
  <sheetData>
    <row r="1" spans="1:9" x14ac:dyDescent="0.3">
      <c r="A1" s="1" t="s">
        <v>3</v>
      </c>
      <c r="B1" s="1" t="s">
        <v>1</v>
      </c>
      <c r="C1" s="1" t="s">
        <v>4</v>
      </c>
      <c r="D1" s="1" t="s">
        <v>5</v>
      </c>
      <c r="E1" s="1" t="s">
        <v>24</v>
      </c>
      <c r="F1" s="1" t="s">
        <v>6</v>
      </c>
      <c r="G1" s="1" t="s">
        <v>7</v>
      </c>
      <c r="H1" s="1" t="s">
        <v>8</v>
      </c>
      <c r="I1" s="1" t="s">
        <v>35</v>
      </c>
    </row>
    <row r="2" spans="1:9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2</v>
      </c>
      <c r="H2" s="1" t="s">
        <v>2</v>
      </c>
      <c r="I2" s="1" t="s">
        <v>0</v>
      </c>
    </row>
    <row r="3" spans="1:9" x14ac:dyDescent="0.3">
      <c r="A3" s="3"/>
      <c r="B3" s="3" t="s">
        <v>37</v>
      </c>
      <c r="C3" s="3"/>
      <c r="D3" s="3">
        <v>10</v>
      </c>
      <c r="E3" s="3"/>
      <c r="F3" s="3"/>
      <c r="G3" s="4" t="s">
        <v>9</v>
      </c>
      <c r="H3" s="3">
        <v>100</v>
      </c>
      <c r="I3" s="7"/>
    </row>
    <row r="4" spans="1:9" x14ac:dyDescent="0.3">
      <c r="A4" s="3"/>
      <c r="B4" s="3" t="s">
        <v>38</v>
      </c>
      <c r="C4" s="3"/>
      <c r="D4" s="3"/>
      <c r="E4" s="3"/>
      <c r="F4" s="4" t="s">
        <v>23</v>
      </c>
      <c r="G4" s="4" t="s">
        <v>9</v>
      </c>
      <c r="H4" s="3">
        <v>100</v>
      </c>
      <c r="I4" s="7" t="s">
        <v>30</v>
      </c>
    </row>
    <row r="5" spans="1:9" x14ac:dyDescent="0.3">
      <c r="A5" s="3"/>
      <c r="B5" s="3" t="s">
        <v>39</v>
      </c>
      <c r="C5" s="3"/>
      <c r="D5" s="3"/>
      <c r="E5" s="3"/>
      <c r="F5" s="4" t="s">
        <v>21</v>
      </c>
      <c r="G5" s="4" t="s">
        <v>9</v>
      </c>
      <c r="H5" s="3">
        <v>100</v>
      </c>
      <c r="I5" s="7" t="s">
        <v>31</v>
      </c>
    </row>
    <row r="6" spans="1:9" x14ac:dyDescent="0.3">
      <c r="A6" s="3"/>
      <c r="B6" s="3" t="s">
        <v>40</v>
      </c>
      <c r="C6" s="3"/>
      <c r="D6" s="3"/>
      <c r="E6" s="3"/>
      <c r="F6" s="4" t="s">
        <v>19</v>
      </c>
      <c r="G6" s="4" t="s">
        <v>9</v>
      </c>
      <c r="H6" s="3">
        <v>100</v>
      </c>
      <c r="I6" s="7" t="s">
        <v>32</v>
      </c>
    </row>
    <row r="7" spans="1:9" x14ac:dyDescent="0.3">
      <c r="A7" s="3"/>
      <c r="B7" s="3" t="s">
        <v>41</v>
      </c>
      <c r="C7" s="3"/>
      <c r="D7" s="3"/>
      <c r="E7" s="3"/>
      <c r="F7" s="4" t="s">
        <v>16</v>
      </c>
      <c r="G7" s="4" t="s">
        <v>9</v>
      </c>
      <c r="H7" s="3">
        <v>100</v>
      </c>
      <c r="I7" s="7" t="s">
        <v>33</v>
      </c>
    </row>
    <row r="8" spans="1:9" x14ac:dyDescent="0.3">
      <c r="A8" s="3"/>
      <c r="B8" s="3" t="s">
        <v>42</v>
      </c>
      <c r="C8" s="3"/>
      <c r="D8" s="3"/>
      <c r="E8" s="3"/>
      <c r="F8" s="4" t="s">
        <v>16</v>
      </c>
      <c r="G8" s="4" t="s">
        <v>9</v>
      </c>
      <c r="H8" s="3">
        <v>100</v>
      </c>
      <c r="I8" s="7" t="s">
        <v>33</v>
      </c>
    </row>
    <row r="9" spans="1:9" x14ac:dyDescent="0.3">
      <c r="A9" s="3"/>
      <c r="B9" s="3" t="s">
        <v>43</v>
      </c>
      <c r="C9" s="3"/>
      <c r="D9" s="3"/>
      <c r="E9" s="3"/>
      <c r="F9" s="4" t="s">
        <v>27</v>
      </c>
      <c r="G9" s="4" t="s">
        <v>9</v>
      </c>
      <c r="H9" s="3">
        <v>100</v>
      </c>
      <c r="I9" s="7" t="s">
        <v>33</v>
      </c>
    </row>
    <row r="10" spans="1:9" x14ac:dyDescent="0.3">
      <c r="A10" s="3"/>
      <c r="B10" s="3" t="s">
        <v>44</v>
      </c>
      <c r="C10" s="3"/>
      <c r="D10" s="3"/>
      <c r="E10" s="3"/>
      <c r="F10" s="4" t="s">
        <v>17</v>
      </c>
      <c r="G10" s="4" t="s">
        <v>9</v>
      </c>
      <c r="H10" s="3">
        <v>100</v>
      </c>
      <c r="I10" s="7" t="s">
        <v>14</v>
      </c>
    </row>
    <row r="11" spans="1:9" x14ac:dyDescent="0.3">
      <c r="A11" s="3"/>
      <c r="B11" s="3" t="s">
        <v>45</v>
      </c>
      <c r="C11" s="3"/>
      <c r="D11" s="3"/>
      <c r="E11" s="3"/>
      <c r="F11" s="3"/>
      <c r="G11" s="4" t="s">
        <v>9</v>
      </c>
      <c r="H11" s="3">
        <v>100</v>
      </c>
      <c r="I11" s="7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s_quest_reward</vt:lpstr>
      <vt:lpstr>s_pass_reward</vt:lpstr>
      <vt:lpstr>s_pass_quest</vt:lpstr>
      <vt:lpstr>s_quest</vt:lpstr>
      <vt:lpstr>s_guide_quest</vt:lpstr>
      <vt:lpstr>s_guide_quest_repeat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2026-09-16T10:03:14Z</dcterms:modified>
</cp:coreProperties>
</file>