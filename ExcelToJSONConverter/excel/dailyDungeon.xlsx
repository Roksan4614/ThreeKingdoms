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20933C7-298E-4106-9C8A-0F39F88CBF2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1" r:id="rId1"/>
    <sheet name="s_daily_dungeon_grade" sheetId="8" r:id="rId2"/>
    <sheet name="s_daily_dungeon_bos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6" l="1"/>
  <c r="D6" i="6"/>
  <c r="D5" i="6"/>
  <c r="D4" i="6"/>
  <c r="D3" i="6"/>
  <c r="D8" i="6"/>
  <c r="C6" i="8"/>
  <c r="C5" i="8"/>
  <c r="C4" i="8"/>
  <c r="C3" i="8"/>
  <c r="C7" i="8"/>
</calcChain>
</file>

<file path=xl/sharedStrings.xml><?xml version="1.0" encoding="utf-8"?>
<sst xmlns="http://schemas.openxmlformats.org/spreadsheetml/2006/main" count="78" uniqueCount="59">
  <si>
    <t>string</t>
    <phoneticPr fontId="1" type="noConversion"/>
  </si>
  <si>
    <t>key</t>
    <phoneticPr fontId="1" type="noConversion"/>
  </si>
  <si>
    <t>ClassType</t>
    <phoneticPr fontId="1" type="noConversion"/>
  </si>
  <si>
    <t>int</t>
    <phoneticPr fontId="1" type="noConversion"/>
  </si>
  <si>
    <t>key</t>
  </si>
  <si>
    <t>int</t>
  </si>
  <si>
    <t>normal</t>
  </si>
  <si>
    <t>rice</t>
  </si>
  <si>
    <t>general</t>
  </si>
  <si>
    <t>legend</t>
  </si>
  <si>
    <t>normal</t>
    <phoneticPr fontId="1" type="noConversion"/>
  </si>
  <si>
    <t>general</t>
    <phoneticPr fontId="1" type="noConversion"/>
  </si>
  <si>
    <t>legend</t>
    <phoneticPr fontId="1" type="noConversion"/>
  </si>
  <si>
    <t>hero</t>
    <phoneticPr fontId="1" type="noConversion"/>
  </si>
  <si>
    <t>elite</t>
    <phoneticPr fontId="1" type="noConversion"/>
  </si>
  <si>
    <t>#grade</t>
    <phoneticPr fontId="1" type="noConversion"/>
  </si>
  <si>
    <t>gold</t>
  </si>
  <si>
    <t>daily_dungeon_grade_normal</t>
  </si>
  <si>
    <t>daily_dungeon_grade_elite</t>
  </si>
  <si>
    <t>daily_dungeon_grade_general</t>
  </si>
  <si>
    <t>daily_dungeon_grade_hero</t>
  </si>
  <si>
    <t>daily_dungeon_grade_legend</t>
  </si>
  <si>
    <t>dungeon_boss_grade</t>
  </si>
  <si>
    <t>hp_mul</t>
  </si>
  <si>
    <t>atk_mul</t>
  </si>
  <si>
    <t>def_mul</t>
  </si>
  <si>
    <t>soul_stone_count</t>
  </si>
  <si>
    <t>time_stone_count</t>
  </si>
  <si>
    <t>elite</t>
  </si>
  <si>
    <t>hero</t>
  </si>
  <si>
    <t>daily_dungeon_boss_commander</t>
  </si>
  <si>
    <t>commander</t>
  </si>
  <si>
    <t>QinShiHuang</t>
  </si>
  <si>
    <t>진시황</t>
  </si>
  <si>
    <t>daily_dungeon_boss_champion</t>
  </si>
  <si>
    <t>champion</t>
  </si>
  <si>
    <t>LianPo</t>
  </si>
  <si>
    <t>염파</t>
  </si>
  <si>
    <t>daily_dungeon_boss_vanguard</t>
  </si>
  <si>
    <t>vanguard</t>
  </si>
  <si>
    <t>XiangYu</t>
  </si>
  <si>
    <t>항우</t>
  </si>
  <si>
    <t>daily_dungeon_boss_chaser</t>
  </si>
  <si>
    <t>chaser</t>
  </si>
  <si>
    <t>YueYi</t>
  </si>
  <si>
    <t>악의</t>
  </si>
  <si>
    <t>daily_dungeon_boss_archer</t>
  </si>
  <si>
    <t>archer</t>
  </si>
  <si>
    <t>YangYouji</t>
  </si>
  <si>
    <t>양유기</t>
  </si>
  <si>
    <t>daily_dungeon_boss_strategist</t>
  </si>
  <si>
    <t>strategist</t>
  </si>
  <si>
    <t>JiangShang</t>
  </si>
  <si>
    <t>강상(태공망)</t>
  </si>
  <si>
    <t>weekday</t>
  </si>
  <si>
    <t>dungeon_boss_class</t>
  </si>
  <si>
    <t>monster_key</t>
  </si>
  <si>
    <t>#boss_name</t>
  </si>
  <si>
    <t>#class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</si>
</sst>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2" sqref="A2:B14"/>
    </sheetView>
  </sheetViews>
  <sheetFormatPr defaultRowHeight="16.5" x14ac:dyDescent="0.3"/>
  <cols>
    <col min="1" max="1" width="9.75" bestFit="1" customWidth="1"/>
    <col min="2" max="2" width="10" bestFit="1" customWidth="1"/>
    <col min="6" max="6" width="33" bestFit="1" customWidth="1"/>
  </cols>
  <sheetData>
    <row r="1" spans="1:2" x14ac:dyDescent="0.3">
      <c r="A1" t="s">
        <v>2</v>
      </c>
    </row>
    <row r="2" spans="1:2" x14ac:dyDescent="0.3">
      <c r="A2" s="10" t="s">
        <v>31</v>
      </c>
      <c r="B2" s="11">
        <v>0</v>
      </c>
    </row>
    <row r="3" spans="1:2" x14ac:dyDescent="0.3">
      <c r="A3" s="10" t="s">
        <v>35</v>
      </c>
      <c r="B3" s="11">
        <v>1</v>
      </c>
    </row>
    <row r="4" spans="1:2" x14ac:dyDescent="0.3">
      <c r="A4" s="10" t="s">
        <v>39</v>
      </c>
      <c r="B4" s="11">
        <v>2</v>
      </c>
    </row>
    <row r="5" spans="1:2" x14ac:dyDescent="0.3">
      <c r="A5" s="10" t="s">
        <v>43</v>
      </c>
      <c r="B5" s="11">
        <v>3</v>
      </c>
    </row>
    <row r="6" spans="1:2" x14ac:dyDescent="0.3">
      <c r="A6" s="10" t="s">
        <v>47</v>
      </c>
      <c r="B6" s="11">
        <v>4</v>
      </c>
    </row>
    <row r="7" spans="1:2" x14ac:dyDescent="0.3">
      <c r="A7" s="10" t="s">
        <v>51</v>
      </c>
      <c r="B7" s="11">
        <v>5</v>
      </c>
    </row>
    <row r="10" spans="1:2" x14ac:dyDescent="0.3">
      <c r="A10" t="s">
        <v>10</v>
      </c>
      <c r="B10">
        <v>0</v>
      </c>
    </row>
    <row r="11" spans="1:2" x14ac:dyDescent="0.3">
      <c r="A11" t="s">
        <v>14</v>
      </c>
      <c r="B11">
        <v>1</v>
      </c>
    </row>
    <row r="12" spans="1:2" x14ac:dyDescent="0.3">
      <c r="A12" t="s">
        <v>11</v>
      </c>
      <c r="B12">
        <v>2</v>
      </c>
    </row>
    <row r="13" spans="1:2" x14ac:dyDescent="0.3">
      <c r="A13" t="s">
        <v>13</v>
      </c>
      <c r="B13">
        <v>3</v>
      </c>
    </row>
    <row r="14" spans="1:2" x14ac:dyDescent="0.3">
      <c r="A14" t="s">
        <v>12</v>
      </c>
      <c r="B14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F46F-68D3-4E63-B700-B9F81B9C8277}">
  <dimension ref="A1:J7"/>
  <sheetViews>
    <sheetView workbookViewId="0">
      <selection activeCell="B3" sqref="B3"/>
    </sheetView>
  </sheetViews>
  <sheetFormatPr defaultRowHeight="16.5" x14ac:dyDescent="0.3"/>
  <cols>
    <col min="1" max="1" width="24.25" bestFit="1" customWidth="1"/>
    <col min="2" max="2" width="7" bestFit="1" customWidth="1"/>
    <col min="3" max="3" width="19.25" bestFit="1" customWidth="1"/>
    <col min="4" max="4" width="7.375" bestFit="1" customWidth="1"/>
    <col min="5" max="5" width="7.75" bestFit="1" customWidth="1"/>
    <col min="6" max="6" width="7.875" bestFit="1" customWidth="1"/>
    <col min="7" max="7" width="15.625" bestFit="1" customWidth="1"/>
    <col min="8" max="8" width="4.5" bestFit="1" customWidth="1"/>
    <col min="9" max="9" width="5" bestFit="1" customWidth="1"/>
    <col min="10" max="10" width="16" bestFit="1" customWidth="1"/>
  </cols>
  <sheetData>
    <row r="1" spans="1:10" x14ac:dyDescent="0.3">
      <c r="A1" s="4" t="s">
        <v>1</v>
      </c>
      <c r="B1" s="4" t="s">
        <v>15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7</v>
      </c>
      <c r="I1" s="4" t="s">
        <v>16</v>
      </c>
      <c r="J1" s="4" t="s">
        <v>27</v>
      </c>
    </row>
    <row r="2" spans="1:10" x14ac:dyDescent="0.3">
      <c r="A2" s="4" t="s">
        <v>0</v>
      </c>
      <c r="B2" s="4" t="s">
        <v>3</v>
      </c>
      <c r="C2" s="4" t="s">
        <v>5</v>
      </c>
      <c r="D2" s="4" t="s">
        <v>0</v>
      </c>
      <c r="E2" s="4" t="s">
        <v>0</v>
      </c>
      <c r="F2" s="4" t="s">
        <v>0</v>
      </c>
      <c r="G2" s="4" t="s">
        <v>3</v>
      </c>
      <c r="H2" s="4" t="s">
        <v>3</v>
      </c>
      <c r="I2" s="4" t="s">
        <v>3</v>
      </c>
      <c r="J2" s="4" t="s">
        <v>3</v>
      </c>
    </row>
    <row r="3" spans="1:10" x14ac:dyDescent="0.3">
      <c r="A3" s="5" t="s">
        <v>17</v>
      </c>
      <c r="B3" s="5" t="s">
        <v>6</v>
      </c>
      <c r="C3" s="5">
        <f>VLOOKUP(B3,Overview!A10:B14,2,FALSE)</f>
        <v>0</v>
      </c>
      <c r="D3" s="5">
        <v>1</v>
      </c>
      <c r="E3" s="5">
        <v>1</v>
      </c>
      <c r="F3" s="5">
        <v>1</v>
      </c>
      <c r="G3" s="5">
        <v>1</v>
      </c>
      <c r="H3" s="5">
        <v>100</v>
      </c>
      <c r="I3" s="5">
        <v>100</v>
      </c>
      <c r="J3" s="5">
        <v>0</v>
      </c>
    </row>
    <row r="4" spans="1:10" x14ac:dyDescent="0.3">
      <c r="A4" s="5" t="s">
        <v>18</v>
      </c>
      <c r="B4" s="5" t="s">
        <v>28</v>
      </c>
      <c r="C4" s="5">
        <f>VLOOKUP(B4,Overview!A11:B21,2,FALSE)</f>
        <v>1</v>
      </c>
      <c r="D4" s="5">
        <v>1</v>
      </c>
      <c r="E4" s="5">
        <v>1</v>
      </c>
      <c r="F4" s="5">
        <v>1</v>
      </c>
      <c r="G4" s="5">
        <v>2</v>
      </c>
      <c r="H4" s="5">
        <v>200</v>
      </c>
      <c r="I4" s="5">
        <v>200</v>
      </c>
      <c r="J4" s="5">
        <v>0</v>
      </c>
    </row>
    <row r="5" spans="1:10" x14ac:dyDescent="0.3">
      <c r="A5" s="5" t="s">
        <v>19</v>
      </c>
      <c r="B5" s="5" t="s">
        <v>8</v>
      </c>
      <c r="C5" s="5">
        <f>VLOOKUP(B5,Overview!A12:B22,2,FALSE)</f>
        <v>2</v>
      </c>
      <c r="D5" s="5">
        <v>1</v>
      </c>
      <c r="E5" s="5">
        <v>1</v>
      </c>
      <c r="F5" s="5">
        <v>1</v>
      </c>
      <c r="G5" s="5">
        <v>3</v>
      </c>
      <c r="H5" s="5">
        <v>300</v>
      </c>
      <c r="I5" s="5">
        <v>300</v>
      </c>
      <c r="J5" s="5">
        <v>1</v>
      </c>
    </row>
    <row r="6" spans="1:10" x14ac:dyDescent="0.3">
      <c r="A6" s="5" t="s">
        <v>20</v>
      </c>
      <c r="B6" s="5" t="s">
        <v>29</v>
      </c>
      <c r="C6" s="5">
        <f>VLOOKUP(B6,Overview!A13:B23,2,FALSE)</f>
        <v>3</v>
      </c>
      <c r="D6" s="5">
        <v>1</v>
      </c>
      <c r="E6" s="5">
        <v>1</v>
      </c>
      <c r="F6" s="5">
        <v>1</v>
      </c>
      <c r="G6" s="5">
        <v>4</v>
      </c>
      <c r="H6" s="5">
        <v>400</v>
      </c>
      <c r="I6" s="5">
        <v>400</v>
      </c>
      <c r="J6" s="5">
        <v>2</v>
      </c>
    </row>
    <row r="7" spans="1:10" x14ac:dyDescent="0.3">
      <c r="A7" s="5" t="s">
        <v>21</v>
      </c>
      <c r="B7" s="5" t="s">
        <v>9</v>
      </c>
      <c r="C7" s="5">
        <f>VLOOKUP(B7,Overview!A14:B24,2,FALSE)</f>
        <v>4</v>
      </c>
      <c r="D7" s="5">
        <v>1</v>
      </c>
      <c r="E7" s="5">
        <v>1</v>
      </c>
      <c r="F7" s="5">
        <v>1</v>
      </c>
      <c r="G7" s="5">
        <v>5</v>
      </c>
      <c r="H7" s="5">
        <v>500</v>
      </c>
      <c r="I7" s="5">
        <v>500</v>
      </c>
      <c r="J7" s="5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873B-B31A-4110-93A3-D7A2ED5125F3}">
  <dimension ref="A1:F8"/>
  <sheetViews>
    <sheetView tabSelected="1" workbookViewId="0">
      <selection activeCell="C21" sqref="C21"/>
    </sheetView>
  </sheetViews>
  <sheetFormatPr defaultColWidth="36" defaultRowHeight="16.5" x14ac:dyDescent="0.3"/>
  <cols>
    <col min="1" max="1" width="27.375" bestFit="1" customWidth="1"/>
    <col min="2" max="2" width="8.625" bestFit="1" customWidth="1"/>
    <col min="3" max="3" width="10" bestFit="1" customWidth="1"/>
    <col min="4" max="4" width="18.5" customWidth="1"/>
    <col min="5" max="5" width="11.625" bestFit="1" customWidth="1"/>
    <col min="6" max="6" width="11.375" bestFit="1" customWidth="1"/>
  </cols>
  <sheetData>
    <row r="1" spans="1:6" ht="17.25" thickBot="1" x14ac:dyDescent="0.35">
      <c r="A1" s="1" t="s">
        <v>4</v>
      </c>
      <c r="B1" s="6" t="s">
        <v>54</v>
      </c>
      <c r="C1" s="1" t="s">
        <v>58</v>
      </c>
      <c r="D1" s="1" t="s">
        <v>55</v>
      </c>
      <c r="E1" s="1" t="s">
        <v>56</v>
      </c>
      <c r="F1" s="1" t="s">
        <v>57</v>
      </c>
    </row>
    <row r="2" spans="1:6" ht="17.25" thickBot="1" x14ac:dyDescent="0.35">
      <c r="A2" s="2" t="s">
        <v>0</v>
      </c>
      <c r="B2" s="2" t="s">
        <v>3</v>
      </c>
      <c r="C2" s="2" t="s">
        <v>3</v>
      </c>
      <c r="D2" s="2" t="s">
        <v>3</v>
      </c>
      <c r="E2" s="2" t="s">
        <v>0</v>
      </c>
      <c r="F2" s="2" t="s">
        <v>0</v>
      </c>
    </row>
    <row r="3" spans="1:6" ht="17.25" thickBot="1" x14ac:dyDescent="0.35">
      <c r="A3" s="8" t="s">
        <v>30</v>
      </c>
      <c r="B3" s="9">
        <v>1</v>
      </c>
      <c r="C3" s="9" t="s">
        <v>31</v>
      </c>
      <c r="D3" s="9">
        <f>VLOOKUP(C3,Overview!A2:B7,2,FALSE)</f>
        <v>0</v>
      </c>
      <c r="E3" s="9" t="s">
        <v>32</v>
      </c>
      <c r="F3" s="9" t="s">
        <v>33</v>
      </c>
    </row>
    <row r="4" spans="1:6" ht="17.25" thickBot="1" x14ac:dyDescent="0.35">
      <c r="A4" s="7" t="s">
        <v>34</v>
      </c>
      <c r="B4" s="3">
        <v>2</v>
      </c>
      <c r="C4" s="3" t="s">
        <v>35</v>
      </c>
      <c r="D4" s="9">
        <f>VLOOKUP(C4,Overview!A3:B8,2,FALSE)</f>
        <v>1</v>
      </c>
      <c r="E4" s="3" t="s">
        <v>36</v>
      </c>
      <c r="F4" s="3" t="s">
        <v>37</v>
      </c>
    </row>
    <row r="5" spans="1:6" ht="17.25" thickBot="1" x14ac:dyDescent="0.35">
      <c r="A5" s="7" t="s">
        <v>38</v>
      </c>
      <c r="B5" s="3">
        <v>3</v>
      </c>
      <c r="C5" s="3" t="s">
        <v>39</v>
      </c>
      <c r="D5" s="9">
        <f>VLOOKUP(C5,Overview!A4:B9,2,FALSE)</f>
        <v>2</v>
      </c>
      <c r="E5" s="3" t="s">
        <v>40</v>
      </c>
      <c r="F5" s="3" t="s">
        <v>41</v>
      </c>
    </row>
    <row r="6" spans="1:6" ht="17.25" thickBot="1" x14ac:dyDescent="0.35">
      <c r="A6" s="7" t="s">
        <v>42</v>
      </c>
      <c r="B6" s="3">
        <v>4</v>
      </c>
      <c r="C6" s="3" t="s">
        <v>43</v>
      </c>
      <c r="D6" s="9">
        <f>VLOOKUP(C6,Overview!A5:B9,2,FALSE)</f>
        <v>3</v>
      </c>
      <c r="E6" s="3" t="s">
        <v>44</v>
      </c>
      <c r="F6" s="3" t="s">
        <v>45</v>
      </c>
    </row>
    <row r="7" spans="1:6" ht="17.25" thickBot="1" x14ac:dyDescent="0.35">
      <c r="A7" s="7" t="s">
        <v>46</v>
      </c>
      <c r="B7" s="3">
        <v>5</v>
      </c>
      <c r="C7" s="3" t="s">
        <v>47</v>
      </c>
      <c r="D7" s="9">
        <f>VLOOKUP(C7,Overview!A6:B9,2,FALSE)</f>
        <v>4</v>
      </c>
      <c r="E7" s="3" t="s">
        <v>48</v>
      </c>
      <c r="F7" s="3" t="s">
        <v>49</v>
      </c>
    </row>
    <row r="8" spans="1:6" ht="17.25" thickBot="1" x14ac:dyDescent="0.35">
      <c r="A8" s="7" t="s">
        <v>50</v>
      </c>
      <c r="B8" s="3">
        <v>6</v>
      </c>
      <c r="C8" s="3" t="s">
        <v>51</v>
      </c>
      <c r="D8" s="9">
        <f>VLOOKUP(C8,Overview!A7:B9,2,FALSE)</f>
        <v>5</v>
      </c>
      <c r="E8" s="3" t="s">
        <v>52</v>
      </c>
      <c r="F8" s="3" t="s">
        <v>53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Overview</vt:lpstr>
      <vt:lpstr>s_daily_dungeon_grade</vt:lpstr>
      <vt:lpstr>s_daily_dungeon_boss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2026-08-31T10:34:35Z</dcterms:modified>
</cp:coreProperties>
</file>